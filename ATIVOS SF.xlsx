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showInkAnnotation="0"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https://irmaosfranciosi-my.sharepoint.com/personal/yan_vieira_sociedadefranciosi_com_br/Documents/PATRIMONIO/"/>
    </mc:Choice>
  </mc:AlternateContent>
  <xr:revisionPtr revIDLastSave="565" documentId="8_{471C9491-4C7B-4A6E-8152-D85A6219A649}" xr6:coauthVersionLast="47" xr6:coauthVersionMax="47" xr10:uidLastSave="{424FA953-B673-4722-9F5C-2579C2D75D0C}"/>
  <bookViews>
    <workbookView xWindow="-23148" yWindow="4680" windowWidth="23256" windowHeight="12456" tabRatio="762" xr2:uid="{00000000-000D-0000-FFFF-FFFF00000000}"/>
  </bookViews>
  <sheets>
    <sheet name="Patrimonio 2025" sheetId="22" r:id="rId1"/>
    <sheet name="Planilha2" sheetId="24" r:id="rId2"/>
    <sheet name="Analise de Dados" sheetId="16" r:id="rId3"/>
  </sheets>
  <definedNames>
    <definedName name="_xlnm._FilterDatabase" localSheetId="0" hidden="1">'Patrimonio 2025'!$Q$1:$R$1</definedName>
    <definedName name="Fazenda">#REF!</definedName>
    <definedName name="Operação">#REF!</definedName>
    <definedName name="RealceValor">IFERROR(IF(#REF!="Sim",TRUE,FALSE),FALSE)</definedName>
    <definedName name="UF">#REF!</definedName>
  </definedNames>
  <calcPr calcId="191028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22" i="24" l="1" a="1"/>
  <c r="A1522" i="24" s="1"/>
  <c r="N1547" i="2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<sst xmlns="http://schemas.openxmlformats.org/spreadsheetml/2006/main" count="14171" uniqueCount="5043">
  <si>
    <t xml:space="preserve">ITEM </t>
  </si>
  <si>
    <t xml:space="preserve">IS </t>
  </si>
  <si>
    <t>NOTA FISCAL</t>
  </si>
  <si>
    <t>CLASSE DO ATIVO</t>
  </si>
  <si>
    <t>PLACA</t>
  </si>
  <si>
    <t>CHASSI</t>
  </si>
  <si>
    <t>DESCRIÇÃO DO ITEM</t>
  </si>
  <si>
    <t>FORNECEDOR/CLIENTE</t>
  </si>
  <si>
    <t>CNPJ</t>
  </si>
  <si>
    <t>DATA EMISSÃO</t>
  </si>
  <si>
    <t>VALOR</t>
  </si>
  <si>
    <t>ADESIVADO</t>
  </si>
  <si>
    <t>FAZENDA</t>
  </si>
  <si>
    <t>VEI-0045</t>
  </si>
  <si>
    <t>IS000001</t>
  </si>
  <si>
    <t>RCS8B96</t>
  </si>
  <si>
    <t>9BM958478LB186083</t>
  </si>
  <si>
    <t>CAMINHAO MERCEDES BENZ AXOR 3344/48</t>
  </si>
  <si>
    <t>MERCEDES-BENZ DO BRASIL LTDA</t>
  </si>
  <si>
    <t>VIA CARGA</t>
  </si>
  <si>
    <t>OK</t>
  </si>
  <si>
    <t>IMO-031</t>
  </si>
  <si>
    <t>IS000002</t>
  </si>
  <si>
    <t>SEM PLACA</t>
  </si>
  <si>
    <t>LAJEDO I</t>
  </si>
  <si>
    <t>IMO-032</t>
  </si>
  <si>
    <t>IS000003</t>
  </si>
  <si>
    <t>LAJEDO II</t>
  </si>
  <si>
    <t>IMO-033</t>
  </si>
  <si>
    <t>IS000004</t>
  </si>
  <si>
    <t>LAJEDO III</t>
  </si>
  <si>
    <t>IMO-045</t>
  </si>
  <si>
    <t>IS000005</t>
  </si>
  <si>
    <t>SANTO EXPEDITO X (AMBIENTAL)</t>
  </si>
  <si>
    <t>IMO-050</t>
  </si>
  <si>
    <t>IS000006</t>
  </si>
  <si>
    <t>SANTO EXPEDITO IX (AMBIENTAL)</t>
  </si>
  <si>
    <t>EQU-0110</t>
  </si>
  <si>
    <t>IS000007</t>
  </si>
  <si>
    <t>NOTA NÃO ENCONTRADA</t>
  </si>
  <si>
    <t>MAQUINA INVERSORA DE SOLDA BAMBOZZI</t>
  </si>
  <si>
    <t>TRA-0028</t>
  </si>
  <si>
    <t>IS000008</t>
  </si>
  <si>
    <t>TRATOR AGRICOLA MASSEY FERGUSON MF275</t>
  </si>
  <si>
    <t>SANTO EXPEDITO</t>
  </si>
  <si>
    <t>TRA-0029</t>
  </si>
  <si>
    <t>IS000009</t>
  </si>
  <si>
    <t>ZACA72889</t>
  </si>
  <si>
    <t>TRATOR AGRICOLA NEW HOLAND 7630</t>
  </si>
  <si>
    <t>IMP-0009</t>
  </si>
  <si>
    <t>IS000010</t>
  </si>
  <si>
    <t>COMBOIO DE LUBRIFICACAO</t>
  </si>
  <si>
    <t>TRA-0023</t>
  </si>
  <si>
    <t>IS000011</t>
  </si>
  <si>
    <t>1BM6125JPBD000492</t>
  </si>
  <si>
    <t>TRATOR AGRICOLA JOHN DEERE 6125</t>
  </si>
  <si>
    <t>IMP-0084</t>
  </si>
  <si>
    <t>IS000012</t>
  </si>
  <si>
    <t>EQU-0146</t>
  </si>
  <si>
    <t>IS000013</t>
  </si>
  <si>
    <t>CLASSIFICADOR DE SEMENTES CS 3000</t>
  </si>
  <si>
    <t>IMO-042</t>
  </si>
  <si>
    <t>IS000014</t>
  </si>
  <si>
    <t>SANTA ROSA (AMBIENTAL)</t>
  </si>
  <si>
    <t>IS000015</t>
  </si>
  <si>
    <t xml:space="preserve">CASA DIRETOR BENFEITORIA RESIDENCIAL </t>
  </si>
  <si>
    <t>SANTA LUCIA</t>
  </si>
  <si>
    <t>IMP-0069</t>
  </si>
  <si>
    <t>IS000016</t>
  </si>
  <si>
    <t>PRANCHA IMAVI</t>
  </si>
  <si>
    <t>EQU-0014</t>
  </si>
  <si>
    <t>IS000017</t>
  </si>
  <si>
    <t>GERADOR STEMAC 170 KVA</t>
  </si>
  <si>
    <t>IS000018</t>
  </si>
  <si>
    <t>RAMPA DE LAVAGEM BENFEITORIA FUNCIONAL FAZ ST. LUCIA</t>
  </si>
  <si>
    <t>IMP-0036</t>
  </si>
  <si>
    <t>IS000019</t>
  </si>
  <si>
    <t>PULVERIZADOR COLUMBIA JACTO 2000LTS</t>
  </si>
  <si>
    <t>JATOBA</t>
  </si>
  <si>
    <t>IMO-040</t>
  </si>
  <si>
    <t>IS000020</t>
  </si>
  <si>
    <t>SANTA EDWIGES</t>
  </si>
  <si>
    <t>EQU-0029</t>
  </si>
  <si>
    <t>IS000021</t>
  </si>
  <si>
    <t>TANQUE DE COMBUSTIVEL 12.000LTS</t>
  </si>
  <si>
    <t>EQU-0111</t>
  </si>
  <si>
    <t>IS000022</t>
  </si>
  <si>
    <t>MAQUINA P/ PRENSAGEM MANGUEIRA</t>
  </si>
  <si>
    <t>IMO-046</t>
  </si>
  <si>
    <t>IS000023</t>
  </si>
  <si>
    <t xml:space="preserve">REDE DE ALTA TENSAO INFRAESTRUTURA ELETRICA FAZ. GRANDE LESTE </t>
  </si>
  <si>
    <t>GRANDE LESTE</t>
  </si>
  <si>
    <t>IMO-047</t>
  </si>
  <si>
    <t>IS000024</t>
  </si>
  <si>
    <t xml:space="preserve">REDE DE BAIXA TENSAO INFRAESTRUTURA ELETRICA FAZ. GRANDE LESTE </t>
  </si>
  <si>
    <t>IMP-0045</t>
  </si>
  <si>
    <t>IS000025</t>
  </si>
  <si>
    <t>TMV00048200A00AN02012</t>
  </si>
  <si>
    <t>BAZUCA TANKER MAGNUM 20000</t>
  </si>
  <si>
    <t>IMP-0046</t>
  </si>
  <si>
    <t>IS000026</t>
  </si>
  <si>
    <t>TMV00012000B00</t>
  </si>
  <si>
    <t>IS000027</t>
  </si>
  <si>
    <t>MONITOR DELL 22 E2222HS</t>
  </si>
  <si>
    <t>MELLO E MELLO TECNOLOGIA LTDA</t>
  </si>
  <si>
    <t>24.923.049/0001-84</t>
  </si>
  <si>
    <t>ESCRITORIO CENTRAL</t>
  </si>
  <si>
    <t>IS000028</t>
  </si>
  <si>
    <t>MOTOBOMBEADOR EBARA BHS12500 TRIFASICO 60HZ</t>
  </si>
  <si>
    <t>EBARA BOMBAS AMERICA DO SUL LTDA - LEM</t>
  </si>
  <si>
    <t>46.138.319/0013-12</t>
  </si>
  <si>
    <t>MVU-0027</t>
  </si>
  <si>
    <t>IS000029</t>
  </si>
  <si>
    <t>BEBEDOURO 2 TORNEIRAS</t>
  </si>
  <si>
    <t>EQU-0019</t>
  </si>
  <si>
    <t>IS000030</t>
  </si>
  <si>
    <t>BALANCA RODOVIARIA TOLEDO</t>
  </si>
  <si>
    <t>EQU-0141</t>
  </si>
  <si>
    <t>IS000031</t>
  </si>
  <si>
    <t>KIT DE ABASTECIMENTO PARA DIESEL</t>
  </si>
  <si>
    <t>MVU-0033</t>
  </si>
  <si>
    <t>IS000032</t>
  </si>
  <si>
    <t>FORNO TURBO TOSTANDO FLEX FTF-10E</t>
  </si>
  <si>
    <t>EXCLUSIVA UTILIDADES E EMBALAGENS LTDA</t>
  </si>
  <si>
    <t>04.023.539/0001-17</t>
  </si>
  <si>
    <t>IMP-0080</t>
  </si>
  <si>
    <t>IS000033</t>
  </si>
  <si>
    <t>ROCADEIRA JM RUTD 2.0</t>
  </si>
  <si>
    <t>EQU-0027</t>
  </si>
  <si>
    <t>IS000034</t>
  </si>
  <si>
    <t>MAQUINA INVERSORA DE SOLDA ESAB 408</t>
  </si>
  <si>
    <t>IMP-0085</t>
  </si>
  <si>
    <t>IS000035</t>
  </si>
  <si>
    <t>PIPA 5.000 LTS</t>
  </si>
  <si>
    <t>EQU-0147</t>
  </si>
  <si>
    <t>IS000036</t>
  </si>
  <si>
    <t>IMP-0189</t>
  </si>
  <si>
    <t>IS000037</t>
  </si>
  <si>
    <t xml:space="preserve">CARRETA AGRICOLA 2 RODAS LIXO </t>
  </si>
  <si>
    <t>IMP-0086</t>
  </si>
  <si>
    <t>IS000038</t>
  </si>
  <si>
    <t>COMBOIO CRUZADOR JACTO 3000</t>
  </si>
  <si>
    <t>EQU-0023</t>
  </si>
  <si>
    <t>IS000039</t>
  </si>
  <si>
    <t>MEDIDOR DE UMIDADE MOTOMCO MODELO 919</t>
  </si>
  <si>
    <t>EQU-0002</t>
  </si>
  <si>
    <t>IS000040</t>
  </si>
  <si>
    <t>MOTO SERRA STHIL MAGNUM 038</t>
  </si>
  <si>
    <t>EQU-0030</t>
  </si>
  <si>
    <t>IS000041</t>
  </si>
  <si>
    <t>CORTADOR DE GRAMA STIHL FS 85</t>
  </si>
  <si>
    <t>IMP-0050</t>
  </si>
  <si>
    <t>IS000042</t>
  </si>
  <si>
    <t>CACAMBA IMAVI</t>
  </si>
  <si>
    <t>IMP-0064</t>
  </si>
  <si>
    <t>IS000043</t>
  </si>
  <si>
    <t>IMP-0018</t>
  </si>
  <si>
    <t>IS000044</t>
  </si>
  <si>
    <t>CARRETA GRANELEIRA NINJA 32000</t>
  </si>
  <si>
    <t>IMP-0093</t>
  </si>
  <si>
    <t>IS000045</t>
  </si>
  <si>
    <t>COMBOIO DE LUBRIFICAÇÃO</t>
  </si>
  <si>
    <t>IMP-0011</t>
  </si>
  <si>
    <t>IS000046</t>
  </si>
  <si>
    <t>SUBSOLADOR CIVEMASA</t>
  </si>
  <si>
    <t>IMP-0070</t>
  </si>
  <si>
    <t>IS000047</t>
  </si>
  <si>
    <t>EQUIPAMENTO CONCHA</t>
  </si>
  <si>
    <t xml:space="preserve">                                                  </t>
  </si>
  <si>
    <t>IMO-044</t>
  </si>
  <si>
    <t>IS000048</t>
  </si>
  <si>
    <t>SANTO ANTONIO RESERVA</t>
  </si>
  <si>
    <t>TRA-0003</t>
  </si>
  <si>
    <t>IS000049</t>
  </si>
  <si>
    <t>HCCZM290CDCM07898</t>
  </si>
  <si>
    <t>TRATOR AGRICOLA CASE MAGNUM 290</t>
  </si>
  <si>
    <t>MAXUM MAQUINAS E EQUIPAMENTOS LTDA</t>
  </si>
  <si>
    <t>IMP-0038</t>
  </si>
  <si>
    <t>IS000050</t>
  </si>
  <si>
    <t>CHUPIM ROSCA TRANSPORTADORA</t>
  </si>
  <si>
    <t>IMP-0034</t>
  </si>
  <si>
    <t>IS000051</t>
  </si>
  <si>
    <t>IMP-0067</t>
  </si>
  <si>
    <t>IS000052</t>
  </si>
  <si>
    <t>MVU-0043</t>
  </si>
  <si>
    <t>IS000053</t>
  </si>
  <si>
    <t>AR CONDICIONADO GREE 12.000</t>
  </si>
  <si>
    <t>Nosso Lar Lojas de Departamentos Ltda-Lj111</t>
  </si>
  <si>
    <t>00.607.587/0029-00</t>
  </si>
  <si>
    <t>MVU-0044</t>
  </si>
  <si>
    <t>IS000054</t>
  </si>
  <si>
    <t>IMP-0004</t>
  </si>
  <si>
    <t>IS000055</t>
  </si>
  <si>
    <t>PIPA TANQUE C/ DOLLY 20.000LTS</t>
  </si>
  <si>
    <t>IS000056</t>
  </si>
  <si>
    <t>STARLINK MINI</t>
  </si>
  <si>
    <t>TECNOSUL COMPANY LTDA</t>
  </si>
  <si>
    <t>26.037.394/0001-46</t>
  </si>
  <si>
    <t>IMP-0073</t>
  </si>
  <si>
    <t>IS000057</t>
  </si>
  <si>
    <t>BAZUCA MASCHIETTO CG 12000</t>
  </si>
  <si>
    <t>IS000058</t>
  </si>
  <si>
    <t>ESTRADA INTERNA FAZ. GRANDE LESTE</t>
  </si>
  <si>
    <t>DANIEL FRANCIOSI</t>
  </si>
  <si>
    <t>IMP-0072</t>
  </si>
  <si>
    <t>IS000059</t>
  </si>
  <si>
    <t>IS000060</t>
  </si>
  <si>
    <t>CASA DOS MOTORISTAS FAZ. GRANDE LESTE</t>
  </si>
  <si>
    <t>IMP-0166</t>
  </si>
  <si>
    <t>IS000061</t>
  </si>
  <si>
    <t>REFEITORIO MOVEL / 24 LUGARES</t>
  </si>
  <si>
    <t>MVU-0037</t>
  </si>
  <si>
    <t>IS000062</t>
  </si>
  <si>
    <t>BEBEDOURO INDUSTRIAL INOX TS-2 TORNEIRAS</t>
  </si>
  <si>
    <t>MVU-0039</t>
  </si>
  <si>
    <t>IS000063</t>
  </si>
  <si>
    <t>TV LG 42 POL LED</t>
  </si>
  <si>
    <t>TRA-0012</t>
  </si>
  <si>
    <t>IS000064</t>
  </si>
  <si>
    <t>1BM5065EJE4001125</t>
  </si>
  <si>
    <t>TRATOR AGRICOLA JOHN DEERE 5065E</t>
  </si>
  <si>
    <t>TRA-0013</t>
  </si>
  <si>
    <t>IS000065</t>
  </si>
  <si>
    <t>TRA-0014</t>
  </si>
  <si>
    <t>IS000066</t>
  </si>
  <si>
    <t>1BM5065ECE4001118</t>
  </si>
  <si>
    <t>TRA-0015</t>
  </si>
  <si>
    <t>IS000067</t>
  </si>
  <si>
    <t>1BM5065ETE4001122</t>
  </si>
  <si>
    <t>IMP-0079</t>
  </si>
  <si>
    <t>IS000068</t>
  </si>
  <si>
    <t>CARRETA AGRICOLA ACTON</t>
  </si>
  <si>
    <t>TRA-0009</t>
  </si>
  <si>
    <t>IS000069</t>
  </si>
  <si>
    <t>1BM5065ELE4001311</t>
  </si>
  <si>
    <t>TRA-0011</t>
  </si>
  <si>
    <t>IS000070</t>
  </si>
  <si>
    <t>1BM5065ELE4001258</t>
  </si>
  <si>
    <t>EQU-0021</t>
  </si>
  <si>
    <t>IS000071</t>
  </si>
  <si>
    <t>BALANCA RODOVIARIA SATURNO SBR 2402 FULL ELETRONIC</t>
  </si>
  <si>
    <t>MAQ-0001</t>
  </si>
  <si>
    <t>IS000072</t>
  </si>
  <si>
    <t>HBZNW20ECEAE06522</t>
  </si>
  <si>
    <t>PA CARREGADEIRA CASE W20E</t>
  </si>
  <si>
    <t>IMP-0016</t>
  </si>
  <si>
    <t>IS000073</t>
  </si>
  <si>
    <t>3015514P12248</t>
  </si>
  <si>
    <t>DISTRIBUIDOR DE CORRETIVOS BRUTTUS 12000</t>
  </si>
  <si>
    <t>IMP-0043</t>
  </si>
  <si>
    <t>IS000074</t>
  </si>
  <si>
    <t>IMP-0048</t>
  </si>
  <si>
    <t>IS000075</t>
  </si>
  <si>
    <t>HERCULES 10000 INOX</t>
  </si>
  <si>
    <t>IMP-0047</t>
  </si>
  <si>
    <t>IS000076</t>
  </si>
  <si>
    <t>PLA-0001</t>
  </si>
  <si>
    <t>IS000077</t>
  </si>
  <si>
    <t>PLANTADEIRA STARA ABSOLUTA 35</t>
  </si>
  <si>
    <t>PLA-0002</t>
  </si>
  <si>
    <t>IS000078</t>
  </si>
  <si>
    <t>31463/14</t>
  </si>
  <si>
    <t>IMP-0008</t>
  </si>
  <si>
    <t>IS000079</t>
  </si>
  <si>
    <t>CARRRETA AGRICOLA</t>
  </si>
  <si>
    <t>EQU-0140</t>
  </si>
  <si>
    <t>IS000080</t>
  </si>
  <si>
    <t>KIT DE ABASTECIMENTO PARA QUEROSENE</t>
  </si>
  <si>
    <t>MVU-0046</t>
  </si>
  <si>
    <t>IS000081</t>
  </si>
  <si>
    <t>AR CONDICIONADO 9.000 BTUS</t>
  </si>
  <si>
    <t>MVU-0047</t>
  </si>
  <si>
    <t>IS000082</t>
  </si>
  <si>
    <t>IMP-0003</t>
  </si>
  <si>
    <t>IS000083</t>
  </si>
  <si>
    <t>PIPA TANQUE COMBOIO</t>
  </si>
  <si>
    <t>EQU-0143</t>
  </si>
  <si>
    <t>IS000084</t>
  </si>
  <si>
    <t>CAIXA D'AGUA TANQUE 10.000 QUEROSENE</t>
  </si>
  <si>
    <t>EQU-0144</t>
  </si>
  <si>
    <t>IS000085</t>
  </si>
  <si>
    <t>MVU-0016</t>
  </si>
  <si>
    <t>IS000086</t>
  </si>
  <si>
    <t>BEBEDOURO INOX</t>
  </si>
  <si>
    <t>IMP-0002</t>
  </si>
  <si>
    <t>IS000087</t>
  </si>
  <si>
    <t>EMBUTIDORA DE GRAOS INGRAIN 100</t>
  </si>
  <si>
    <t>IMO-049</t>
  </si>
  <si>
    <t>IS000088</t>
  </si>
  <si>
    <t>CASA DO GERADOR FAZ. SANTO EXPEDITO BENFEITORIA FUNCIONAL</t>
  </si>
  <si>
    <t>EQU-0036</t>
  </si>
  <si>
    <t>IS000089</t>
  </si>
  <si>
    <t>EQUIPAMENTO LIMPEZA E SECAGEM DE GRAOS</t>
  </si>
  <si>
    <t>IMP-0029</t>
  </si>
  <si>
    <t>IS000090</t>
  </si>
  <si>
    <t>DESTRUIDOR DE SOQUEIRA TRITON</t>
  </si>
  <si>
    <t>TRA-0010</t>
  </si>
  <si>
    <t>IS000091</t>
  </si>
  <si>
    <t>1BM5065EVE4001242</t>
  </si>
  <si>
    <t>TRA-0017</t>
  </si>
  <si>
    <t>IS000092</t>
  </si>
  <si>
    <t>1BM5065ECE4001121</t>
  </si>
  <si>
    <t>TRA-0019</t>
  </si>
  <si>
    <t>IS000093</t>
  </si>
  <si>
    <t>1BM5065EEE4001411</t>
  </si>
  <si>
    <t>IS000094</t>
  </si>
  <si>
    <t>CELULAR SAMSUNG GALAXY A 35 5G 6GB RAM 128GB AZUL ESCURO</t>
  </si>
  <si>
    <t>PLA-0003</t>
  </si>
  <si>
    <t>IS000095</t>
  </si>
  <si>
    <t>PLANTADEIRA CASE ASM 1224</t>
  </si>
  <si>
    <t>PLA-0007</t>
  </si>
  <si>
    <t>IS000096</t>
  </si>
  <si>
    <t>MVU-0029</t>
  </si>
  <si>
    <t>IS000097</t>
  </si>
  <si>
    <t>GELADEIRA BRASTEMP</t>
  </si>
  <si>
    <t>IMP-0090</t>
  </si>
  <si>
    <t>IS000098</t>
  </si>
  <si>
    <t>PENEIRÃO KAJUMAQ KJ 083</t>
  </si>
  <si>
    <t>EQU-0114</t>
  </si>
  <si>
    <t>IS000099</t>
  </si>
  <si>
    <t>MAQUINA DE COSTURA INDUSTRIAL PORTATIL  HC73BP-1</t>
  </si>
  <si>
    <t>IMP-0089</t>
  </si>
  <si>
    <t>IS000100</t>
  </si>
  <si>
    <t>EQU-0013</t>
  </si>
  <si>
    <t>IS000101</t>
  </si>
  <si>
    <t>GERADOR MERCEDES BENS SINCRONO</t>
  </si>
  <si>
    <t>IMP-0037</t>
  </si>
  <si>
    <t>IS000102</t>
  </si>
  <si>
    <t>PLAINA PLANNER 710 GTS</t>
  </si>
  <si>
    <t>IMP-0052</t>
  </si>
  <si>
    <t>IS000103</t>
  </si>
  <si>
    <t>COLHEITADEIRA TRITON CS</t>
  </si>
  <si>
    <t>IMP-0054</t>
  </si>
  <si>
    <t>IS000104</t>
  </si>
  <si>
    <t>EQU-0028</t>
  </si>
  <si>
    <t>IS000105</t>
  </si>
  <si>
    <t>CORTADOR DE GRAMA JOHN DEERE D170</t>
  </si>
  <si>
    <t>VEI-0016</t>
  </si>
  <si>
    <t>IS000106</t>
  </si>
  <si>
    <t>IFW7284</t>
  </si>
  <si>
    <t>ONIBUS MERCEBES BENZ</t>
  </si>
  <si>
    <t>IMP-0007</t>
  </si>
  <si>
    <t>IS000107</t>
  </si>
  <si>
    <t>EQU-0069</t>
  </si>
  <si>
    <t>IS000108</t>
  </si>
  <si>
    <t>MAQUINA DE SOLDA ESAB SUPER BANTAM 256</t>
  </si>
  <si>
    <t>MVU-0028</t>
  </si>
  <si>
    <t>IS000109</t>
  </si>
  <si>
    <t>FORNO INDUSTRIAL ITAJOBI A GAS</t>
  </si>
  <si>
    <t>EQU-0041</t>
  </si>
  <si>
    <t>IS000110</t>
  </si>
  <si>
    <t>GERADOR AGRALE M790</t>
  </si>
  <si>
    <t>TRA-0016</t>
  </si>
  <si>
    <t>IS000111</t>
  </si>
  <si>
    <t>1BM5065EHE4001410</t>
  </si>
  <si>
    <t>EQU-0125</t>
  </si>
  <si>
    <t>IS000112</t>
  </si>
  <si>
    <t>CARREGADOR DE BATERIA</t>
  </si>
  <si>
    <t>EQU-0153</t>
  </si>
  <si>
    <t>IS000113</t>
  </si>
  <si>
    <t>DESCAROCADOR 1</t>
  </si>
  <si>
    <t>EQU-0154</t>
  </si>
  <si>
    <t>IS000114</t>
  </si>
  <si>
    <t>ALIMENTADOR 1</t>
  </si>
  <si>
    <t>EQU-0155</t>
  </si>
  <si>
    <t>IS000115</t>
  </si>
  <si>
    <t>DESCAROCADOR 2</t>
  </si>
  <si>
    <t>EQU-0156</t>
  </si>
  <si>
    <t>IS000116</t>
  </si>
  <si>
    <t>ALIMENTADOR 2</t>
  </si>
  <si>
    <t>EQU-0157</t>
  </si>
  <si>
    <t>IS000117</t>
  </si>
  <si>
    <t>ALIMENTADOR 3</t>
  </si>
  <si>
    <t>EQU-0158</t>
  </si>
  <si>
    <t>IS000118</t>
  </si>
  <si>
    <t>DESCAROÇADOR 3</t>
  </si>
  <si>
    <t>EQU-0159</t>
  </si>
  <si>
    <t>IS000119</t>
  </si>
  <si>
    <t>CAIXA DE SOBRA LUMMUS</t>
  </si>
  <si>
    <t>EQU-0160</t>
  </si>
  <si>
    <t>IS000120</t>
  </si>
  <si>
    <t>LIMPA PLUMA 1</t>
  </si>
  <si>
    <t>EQU-0161</t>
  </si>
  <si>
    <t>IS000121</t>
  </si>
  <si>
    <t>LIMPA PLUMA 2</t>
  </si>
  <si>
    <t>EQU-0162</t>
  </si>
  <si>
    <t>IS000122</t>
  </si>
  <si>
    <t>LIMPA PLUMA 3</t>
  </si>
  <si>
    <t>EQU-0163</t>
  </si>
  <si>
    <t>IS000123</t>
  </si>
  <si>
    <t>TORRE DE SECAGEM 1 24 GAVETAS</t>
  </si>
  <si>
    <t>EQU-0164</t>
  </si>
  <si>
    <t>IS000124</t>
  </si>
  <si>
    <t>PRE-LIMPEZA LUMMUS</t>
  </si>
  <si>
    <t>EQU-0165</t>
  </si>
  <si>
    <t>IS000125</t>
  </si>
  <si>
    <t>TORRE DE SECAGEM 2 24 GAVETAS</t>
  </si>
  <si>
    <t>EQU-0166</t>
  </si>
  <si>
    <t>IS000126</t>
  </si>
  <si>
    <t>DESCOMPACTADOR DE FARDOS 1</t>
  </si>
  <si>
    <t>EQU-0167</t>
  </si>
  <si>
    <t>IS000127</t>
  </si>
  <si>
    <t>DESCOMPACTADOR DE FARDOS 2</t>
  </si>
  <si>
    <t>EQU-0168</t>
  </si>
  <si>
    <t>IS000128</t>
  </si>
  <si>
    <t>EXASTOR DE SOBRAS</t>
  </si>
  <si>
    <t>EQU-0169</t>
  </si>
  <si>
    <t>IS000129</t>
  </si>
  <si>
    <t>EXASTOR DE FIBRILHA</t>
  </si>
  <si>
    <t>EQU-0170</t>
  </si>
  <si>
    <t>IS000130</t>
  </si>
  <si>
    <t>EXASTOR EMPURRADOR</t>
  </si>
  <si>
    <t>EQU-0171</t>
  </si>
  <si>
    <t>IS000131</t>
  </si>
  <si>
    <t>EXASTOR BATEDOR</t>
  </si>
  <si>
    <t>EQU-0172</t>
  </si>
  <si>
    <t>IS000132</t>
  </si>
  <si>
    <t>EXASTOR DUPLO DE SUCCAO</t>
  </si>
  <si>
    <t>EQU-0173</t>
  </si>
  <si>
    <t>IS000133</t>
  </si>
  <si>
    <t>BATEDOR DE FIBRILHA</t>
  </si>
  <si>
    <t>EQU-0174</t>
  </si>
  <si>
    <t>IS000134</t>
  </si>
  <si>
    <t>PRENSA DE FIBRILHA</t>
  </si>
  <si>
    <t>EQU-0175</t>
  </si>
  <si>
    <t>IS000135</t>
  </si>
  <si>
    <t>CALDEIRA</t>
  </si>
  <si>
    <t>EQU-0176</t>
  </si>
  <si>
    <t>IS000136</t>
  </si>
  <si>
    <t>COMPRESSOR DE AR TECHTO PLATINUM TB20</t>
  </si>
  <si>
    <t>EQU-0177</t>
  </si>
  <si>
    <t>IS000137</t>
  </si>
  <si>
    <t>CONDENSADOR DA PRENSA DE FARDINHO</t>
  </si>
  <si>
    <t>EQU-0066</t>
  </si>
  <si>
    <t>IS000138</t>
  </si>
  <si>
    <t>MAQUINA FRICKE MERKLE BALMER 300</t>
  </si>
  <si>
    <t>EQU-0122</t>
  </si>
  <si>
    <t>IS000139</t>
  </si>
  <si>
    <t>COMPRESSOR DE AR PRESSURE</t>
  </si>
  <si>
    <t>EQU-0026</t>
  </si>
  <si>
    <t>IS000140</t>
  </si>
  <si>
    <t>GERADOR MOD. C80-D6-4C CUMMINS</t>
  </si>
  <si>
    <t>MAQ-0002</t>
  </si>
  <si>
    <t>IS000141</t>
  </si>
  <si>
    <t>HBZNW20ECE06</t>
  </si>
  <si>
    <t>PA CARREGADEIRA CASE W20</t>
  </si>
  <si>
    <t>IS000142</t>
  </si>
  <si>
    <t>CERCAS E  DELIMITACOES FAZ. GRANDE LESTE</t>
  </si>
  <si>
    <t>PUL-0003</t>
  </si>
  <si>
    <t>IS000143</t>
  </si>
  <si>
    <t>03208D4</t>
  </si>
  <si>
    <t>PULVERIZADOR UNIPORT 2000</t>
  </si>
  <si>
    <t>IMP-0088</t>
  </si>
  <si>
    <t>IS000144</t>
  </si>
  <si>
    <t>TANQUE PIPA BOMBEIRO IMAVI COM MOTOR</t>
  </si>
  <si>
    <t>MVU-0022</t>
  </si>
  <si>
    <t>IS000145</t>
  </si>
  <si>
    <t>EQU-0109</t>
  </si>
  <si>
    <t>IS000146</t>
  </si>
  <si>
    <t>MAQUINA DE SOLDA BALMER FRICKE MERKLE B-400</t>
  </si>
  <si>
    <t>MVU-0031</t>
  </si>
  <si>
    <t>IS000147</t>
  </si>
  <si>
    <t>GELADEIRA CONSUL</t>
  </si>
  <si>
    <t>IMP-0049</t>
  </si>
  <si>
    <t>IS000148</t>
  </si>
  <si>
    <t>PULVERIZADOR MICRON COMBAT</t>
  </si>
  <si>
    <t>EQI-0078</t>
  </si>
  <si>
    <t>IS000149</t>
  </si>
  <si>
    <t>TV SAMSUNG 49 POL LED</t>
  </si>
  <si>
    <t>EQU-0035</t>
  </si>
  <si>
    <t>IS000150</t>
  </si>
  <si>
    <t>ROCADEIRA STHIL FS85</t>
  </si>
  <si>
    <t>MVU-0045</t>
  </si>
  <si>
    <t>IS000151</t>
  </si>
  <si>
    <t>AR CONDICIONADO GREE SPLIT 9000</t>
  </si>
  <si>
    <t>IMP-0066</t>
  </si>
  <si>
    <t>IS000152</t>
  </si>
  <si>
    <t>ALEI-160035 / ALEI-160034</t>
  </si>
  <si>
    <t>ALEIRADOR DE ARRASTO MORI 1600</t>
  </si>
  <si>
    <t>IMP-0056</t>
  </si>
  <si>
    <t>IS000153</t>
  </si>
  <si>
    <t>IMP-0032</t>
  </si>
  <si>
    <t>IS000154</t>
  </si>
  <si>
    <t>GRADE ARADORA 24X36</t>
  </si>
  <si>
    <t>MVU-0024</t>
  </si>
  <si>
    <t>IS000155</t>
  </si>
  <si>
    <t>FORNO INDUSTRIAL VENANCIO 80X60CM INOX A GAS FIRI9</t>
  </si>
  <si>
    <t>EQU-0001</t>
  </si>
  <si>
    <t>IS000156</t>
  </si>
  <si>
    <t>SOPRADOR STIHL BG 86C</t>
  </si>
  <si>
    <t>IMP-0081</t>
  </si>
  <si>
    <t>IS000157</t>
  </si>
  <si>
    <t>F01</t>
  </si>
  <si>
    <t>GUINCHO MANTOVANI BIG BAG</t>
  </si>
  <si>
    <t>IS000158</t>
  </si>
  <si>
    <t>46.138.319/0001-89</t>
  </si>
  <si>
    <t>IMP-0176</t>
  </si>
  <si>
    <t>IS000159</t>
  </si>
  <si>
    <t>PENEIRAO CAMIC MC088</t>
  </si>
  <si>
    <t>EQI-0061</t>
  </si>
  <si>
    <t>IS000160</t>
  </si>
  <si>
    <t>IMPRESSORA HP OFFICEJET 4500</t>
  </si>
  <si>
    <t>EQU-0068</t>
  </si>
  <si>
    <t>IS000161</t>
  </si>
  <si>
    <t>BALANCA SEMI-ANALITICA BK 4001</t>
  </si>
  <si>
    <t>EQU-0120</t>
  </si>
  <si>
    <t>IS000162</t>
  </si>
  <si>
    <t>EQU-0006</t>
  </si>
  <si>
    <t>IS000163</t>
  </si>
  <si>
    <t>GERADOR CINAP ACIONAMENTO TDF</t>
  </si>
  <si>
    <t>IMP-0065</t>
  </si>
  <si>
    <t>IS000164</t>
  </si>
  <si>
    <t>TANQUE PIPA BOMBEIRO GASCOM 15000 LTS</t>
  </si>
  <si>
    <t>EQU-0044</t>
  </si>
  <si>
    <t>IS000165</t>
  </si>
  <si>
    <t>TANQUE COMBUSTIVEL MOVEL 3600LTS</t>
  </si>
  <si>
    <t>MVU-0032</t>
  </si>
  <si>
    <t>IS000166</t>
  </si>
  <si>
    <t>REFRIGERADOR CONSUL</t>
  </si>
  <si>
    <t>EQU-0136</t>
  </si>
  <si>
    <t>IS000167</t>
  </si>
  <si>
    <t>CORTADOR DE GRAMA TRAPP MC 50E</t>
  </si>
  <si>
    <t>MVU-0023</t>
  </si>
  <si>
    <t>IS000168</t>
  </si>
  <si>
    <t>BEBEDOURO INDUSTRIAL 50 LTS  2 TORNEIRAS</t>
  </si>
  <si>
    <t>IMP-0055</t>
  </si>
  <si>
    <t>IS000169</t>
  </si>
  <si>
    <t>D2-816</t>
  </si>
  <si>
    <t>IMP-0058</t>
  </si>
  <si>
    <t>IS000170</t>
  </si>
  <si>
    <t>D2-811</t>
  </si>
  <si>
    <t>IMP-0062</t>
  </si>
  <si>
    <t>IS000171</t>
  </si>
  <si>
    <t>D2-824</t>
  </si>
  <si>
    <t>EQI-0064</t>
  </si>
  <si>
    <t>IS000172</t>
  </si>
  <si>
    <t>COMPUTADOR INTEL CORE I3 4GB</t>
  </si>
  <si>
    <t>EQU-0010</t>
  </si>
  <si>
    <t>IS000173</t>
  </si>
  <si>
    <t>COMPRESSOR DE AR PRESSURE 20 PES 250L</t>
  </si>
  <si>
    <t>IMP-0053</t>
  </si>
  <si>
    <t>IS000174</t>
  </si>
  <si>
    <t>LB433R00113</t>
  </si>
  <si>
    <t>ENFARDADEIRA CASE IH LB433</t>
  </si>
  <si>
    <t>IS000175</t>
  </si>
  <si>
    <t>ESTACAO VACUO P/ AR CONDICIONADO TECVACUO 220V</t>
  </si>
  <si>
    <t>JF COMERCIO DE PARAFUSOS FERRAMENTAS E MAQUINAS LTDA</t>
  </si>
  <si>
    <t>42.215.694/0001-24</t>
  </si>
  <si>
    <t>IS000176</t>
  </si>
  <si>
    <t>MAQUINA INVERSORA DE SOLDA ESAB LHN 242</t>
  </si>
  <si>
    <t>PORTO BRASIL AGRICOLA EIRELI</t>
  </si>
  <si>
    <t>34.054.429/0002-64</t>
  </si>
  <si>
    <t>MVU-0015</t>
  </si>
  <si>
    <t>IS000177</t>
  </si>
  <si>
    <t>FREEZER CONSUL 340 LT</t>
  </si>
  <si>
    <t>GERAS ELETROMOVEIS LTDA</t>
  </si>
  <si>
    <t>09.559.010/0001-36</t>
  </si>
  <si>
    <t>IMP-0019</t>
  </si>
  <si>
    <t>IS000178</t>
  </si>
  <si>
    <t>0192/010</t>
  </si>
  <si>
    <t>EXTRATORA DE GRAOS OUTGRAIN 200</t>
  </si>
  <si>
    <t>EQU-0045</t>
  </si>
  <si>
    <t>IS000179</t>
  </si>
  <si>
    <t>TANQUE DE COMBUSTIVEL 15000 LTS DIESEL POSTO SANTO EXPEDITO</t>
  </si>
  <si>
    <t>IMO-035</t>
  </si>
  <si>
    <t>IS000180</t>
  </si>
  <si>
    <t>LOTE 04 -CABECEIRA RIBEIRÃO DA PRATA 2º ETAPA</t>
  </si>
  <si>
    <t>IMO-037</t>
  </si>
  <si>
    <t>IS000181</t>
  </si>
  <si>
    <t>LOTE 05 -CABECEIRA RIBEIRÃO DA PRATA 2º ETAPA</t>
  </si>
  <si>
    <t>IMP-0087</t>
  </si>
  <si>
    <t>IS000182</t>
  </si>
  <si>
    <t>CARRETA AGRICOLA FACCHINI</t>
  </si>
  <si>
    <t>IMO-036</t>
  </si>
  <si>
    <t>IS000183</t>
  </si>
  <si>
    <t>LOTE 04A -CABECEIRA RIBEIRÃO DA PRATA 2º ETAPA</t>
  </si>
  <si>
    <t>IMP-0118</t>
  </si>
  <si>
    <t>IS000184</t>
  </si>
  <si>
    <t>CARRETA AGRICOLA</t>
  </si>
  <si>
    <t>IMO-034</t>
  </si>
  <si>
    <t>IS000185</t>
  </si>
  <si>
    <t>LOTE 03 -CABECEIRA RIBEIRÃO DA PRATA 2º ETAPA</t>
  </si>
  <si>
    <t>IMP-0039</t>
  </si>
  <si>
    <t>IS000186</t>
  </si>
  <si>
    <t>EQI-0013</t>
  </si>
  <si>
    <t>IS000187</t>
  </si>
  <si>
    <t>TV SEMP TOSHIBA 49 POL LED</t>
  </si>
  <si>
    <t>RAPHAEL AUGUSTO PACHECO MODICA</t>
  </si>
  <si>
    <t>04.127.630/0001-82</t>
  </si>
  <si>
    <t>IS000188</t>
  </si>
  <si>
    <t>CHAVE DE IMPACTO MAKITA DTW300RTJ 18V BIVOLT</t>
  </si>
  <si>
    <t>IMP-0092</t>
  </si>
  <si>
    <t>IS000189</t>
  </si>
  <si>
    <t>MB34C400779</t>
  </si>
  <si>
    <t>GRADE NIVELADORA 120X22</t>
  </si>
  <si>
    <t>IMP-0061</t>
  </si>
  <si>
    <t>IS000190</t>
  </si>
  <si>
    <t>D2-886</t>
  </si>
  <si>
    <t>IMP-0074</t>
  </si>
  <si>
    <t>IS000191</t>
  </si>
  <si>
    <t>CFFL170077</t>
  </si>
  <si>
    <t>CEIFADEIRA FLEX MORI</t>
  </si>
  <si>
    <t>IMP-0075</t>
  </si>
  <si>
    <t>IS000192</t>
  </si>
  <si>
    <t>CFFL170126</t>
  </si>
  <si>
    <t>IMP-0057</t>
  </si>
  <si>
    <t>IS000193</t>
  </si>
  <si>
    <t>IMP-0059</t>
  </si>
  <si>
    <t>IS000194</t>
  </si>
  <si>
    <t>IMP-0060</t>
  </si>
  <si>
    <t>IS000195</t>
  </si>
  <si>
    <t>D2-887</t>
  </si>
  <si>
    <t>VEI-0017</t>
  </si>
  <si>
    <t>IS000196</t>
  </si>
  <si>
    <t>BQJ0290</t>
  </si>
  <si>
    <t>9BM386389PB968204</t>
  </si>
  <si>
    <t>CAMINHAO MERCEDES BENZ LK 2325</t>
  </si>
  <si>
    <t>IMP-0024</t>
  </si>
  <si>
    <t>IS000197</t>
  </si>
  <si>
    <t>PIPA 10000LTS</t>
  </si>
  <si>
    <t>IMP-0040</t>
  </si>
  <si>
    <t>IS000198</t>
  </si>
  <si>
    <t>GRADE ARADORA CIVEMASA GVC 28X32</t>
  </si>
  <si>
    <t>IMP-0051</t>
  </si>
  <si>
    <t>IS000199</t>
  </si>
  <si>
    <t>IMP-0068</t>
  </si>
  <si>
    <t>IS000200</t>
  </si>
  <si>
    <t>TRANSPORTADOR DE CEREAIS / DALLA</t>
  </si>
  <si>
    <t>IMP-0137</t>
  </si>
  <si>
    <t>IS000201</t>
  </si>
  <si>
    <t>IMP-0110</t>
  </si>
  <si>
    <t>IS000202</t>
  </si>
  <si>
    <t>ROLO COMPACTADOR CAMIC</t>
  </si>
  <si>
    <t>IMP-0131</t>
  </si>
  <si>
    <t>IS000203</t>
  </si>
  <si>
    <t>IMP-0132</t>
  </si>
  <si>
    <t>IS000204</t>
  </si>
  <si>
    <t>IMP-0133</t>
  </si>
  <si>
    <t>IS000205</t>
  </si>
  <si>
    <t>ROLO COMPACTADOR</t>
  </si>
  <si>
    <t>IMP-0134</t>
  </si>
  <si>
    <t>IS000206</t>
  </si>
  <si>
    <t>IMP-0135</t>
  </si>
  <si>
    <t>IS000207</t>
  </si>
  <si>
    <t>EQU-0015</t>
  </si>
  <si>
    <t>IS000208</t>
  </si>
  <si>
    <t>TRATADOR MISTURADOR DE SEMENTES TMS1000</t>
  </si>
  <si>
    <t>EQU-0016</t>
  </si>
  <si>
    <t>IS000209</t>
  </si>
  <si>
    <t>PLA-0008</t>
  </si>
  <si>
    <t>IS000210</t>
  </si>
  <si>
    <t>ABS-BH 10184</t>
  </si>
  <si>
    <t>PLANTADEIRA STARA ABSOLUTA 44-41</t>
  </si>
  <si>
    <t>CAMPOESTE-MAQUINAS BAHIA LTDA</t>
  </si>
  <si>
    <t>11.673.562/0001-12</t>
  </si>
  <si>
    <t>IS000211</t>
  </si>
  <si>
    <t>GUARITA FAZ. SANTA LUCIA 6m2 BENFEITORIA EM IMOVEL RURAL</t>
  </si>
  <si>
    <t>AER-0001</t>
  </si>
  <si>
    <t>IS000212</t>
  </si>
  <si>
    <t>AERONAVE AIR TRACTOR AT-502B</t>
  </si>
  <si>
    <t>VEI-0020</t>
  </si>
  <si>
    <t>IS000213</t>
  </si>
  <si>
    <t>9C2KE0238JR300247</t>
  </si>
  <si>
    <t>MOTOCICLETA HONDA CRF 150 FBR</t>
  </si>
  <si>
    <t>LUZ MOTOS, COMERCIO, SERVICOS E PECAS LTDA</t>
  </si>
  <si>
    <t>IS000214</t>
  </si>
  <si>
    <t>GALPAO DEFENSIVOS FAZ. SANTO EXPEDITO BENFEITORIA EM IMOVEL RURAL</t>
  </si>
  <si>
    <t>IS000215</t>
  </si>
  <si>
    <t>MEDIDOR DE UMIDADE JOHN DEERE</t>
  </si>
  <si>
    <t>IMP-0126</t>
  </si>
  <si>
    <t>IS000216</t>
  </si>
  <si>
    <t>PLANTADEIRA 1 LINHA/JMF</t>
  </si>
  <si>
    <t>MVU-0021</t>
  </si>
  <si>
    <t>IS000217</t>
  </si>
  <si>
    <t>BEBEDOURO INDUSTRIAL INOX 200LTS-4 TORNEIRAS</t>
  </si>
  <si>
    <t>EQU-0025</t>
  </si>
  <si>
    <t>IS000218</t>
  </si>
  <si>
    <t>POLICORTE MOTOMIL SC-100T C/ MOTOR 3 HP</t>
  </si>
  <si>
    <t>AGROTOTAL COM DE PECAS E EQUIP AGRICOLA LTDA</t>
  </si>
  <si>
    <t>73.383.192/0001-36</t>
  </si>
  <si>
    <t>EQU-0022</t>
  </si>
  <si>
    <t>IS000219</t>
  </si>
  <si>
    <t>MOTOBOMBA BRANCO BD-705 CF</t>
  </si>
  <si>
    <t>DEUSDETE SOUSA SANTIAGO e CIA LTDA</t>
  </si>
  <si>
    <t>01.966.026/0001-51</t>
  </si>
  <si>
    <t>EQU-0047</t>
  </si>
  <si>
    <t>IS000220</t>
  </si>
  <si>
    <t>MOTOBOMBA BRANCO BD705 CF 3POL</t>
  </si>
  <si>
    <t>EQU-0024</t>
  </si>
  <si>
    <t>IS000221</t>
  </si>
  <si>
    <t>MEDIDOR DE UMIDADE MOTOMCO MODEL 999</t>
  </si>
  <si>
    <t>IMO-038</t>
  </si>
  <si>
    <t>IS000222</t>
  </si>
  <si>
    <t>FAZENDA SANTO EXPEDITO II</t>
  </si>
  <si>
    <t>MVU-0001</t>
  </si>
  <si>
    <t>IS000223</t>
  </si>
  <si>
    <t>TV MONITOR PANASONIC 32 POL HD LED</t>
  </si>
  <si>
    <t>GERAS ELETROMOVES LTDA</t>
  </si>
  <si>
    <t>MVU-0003</t>
  </si>
  <si>
    <t>IS000224</t>
  </si>
  <si>
    <t>SELF-SERVICE COM 8 CUBAS</t>
  </si>
  <si>
    <t>HOHL MAQUINAS AGRICOLAS LTDA</t>
  </si>
  <si>
    <t>01.608.488/0008-73</t>
  </si>
  <si>
    <t>EQU-0031</t>
  </si>
  <si>
    <t>IS000225</t>
  </si>
  <si>
    <t>RASTREADORES SF</t>
  </si>
  <si>
    <t>MVU-0005</t>
  </si>
  <si>
    <t>IS000226</t>
  </si>
  <si>
    <t>FREEZER CONSUL HORIZONTAL</t>
  </si>
  <si>
    <t>EQI-0051</t>
  </si>
  <si>
    <t>IS000227</t>
  </si>
  <si>
    <t>NOTEBOOK ASUS INTEL CORE I3 8GB</t>
  </si>
  <si>
    <t>ARTHUR LUNDGREN TECIDOS S A CASAS PERNAMBUCANAS</t>
  </si>
  <si>
    <t>61.099.834/0217-83</t>
  </si>
  <si>
    <t>IS000228</t>
  </si>
  <si>
    <t>RADIO MOTOROLA DEM-300 VHF DIGITAL 136-174 MHZ 45W</t>
  </si>
  <si>
    <t>MVU-0004</t>
  </si>
  <si>
    <t>IS000229</t>
  </si>
  <si>
    <t>FREEZER HORIZONTAL 2 PORTAS 534 LITROS</t>
  </si>
  <si>
    <t xml:space="preserve"> </t>
  </si>
  <si>
    <t>IMP-0027</t>
  </si>
  <si>
    <t>IS000230</t>
  </si>
  <si>
    <t>GUINCHO AGRICOLA MARCHESAN GATG</t>
  </si>
  <si>
    <t>EQI-0057</t>
  </si>
  <si>
    <t>IS000231</t>
  </si>
  <si>
    <t>IS000232</t>
  </si>
  <si>
    <t>IS000233</t>
  </si>
  <si>
    <t>MVU-0009</t>
  </si>
  <si>
    <t>IS000234</t>
  </si>
  <si>
    <t>FORNO INDUSTRIAL VENANCIO 80X60CM A GAS INOX FIRI9</t>
  </si>
  <si>
    <t>01.608.488/0001-05</t>
  </si>
  <si>
    <t>EQI-0067</t>
  </si>
  <si>
    <t>IS000235</t>
  </si>
  <si>
    <t>IS000236</t>
  </si>
  <si>
    <t>CELULAR SAMSUNG GALAXY A35 128GB</t>
  </si>
  <si>
    <t>MELLO E MELLO TECNOLOGIA LTDA.</t>
  </si>
  <si>
    <t>VEI-0025</t>
  </si>
  <si>
    <t>IS000237</t>
  </si>
  <si>
    <t>GWB6399</t>
  </si>
  <si>
    <t>CAMINHAO MERCEDES BENZ L 1313</t>
  </si>
  <si>
    <t>CONSTRUTORA COWAN SIA</t>
  </si>
  <si>
    <t>68.528.017/0001-50</t>
  </si>
  <si>
    <t>EQI-0054</t>
  </si>
  <si>
    <t>IS000238</t>
  </si>
  <si>
    <t>IMPRESSORA BROTHER</t>
  </si>
  <si>
    <t>EQU-0079</t>
  </si>
  <si>
    <t>IS000239</t>
  </si>
  <si>
    <t>BETONEIRA 400 LITROS COM MOTOR 220V</t>
  </si>
  <si>
    <t>EQU-0038</t>
  </si>
  <si>
    <t>IS000240</t>
  </si>
  <si>
    <t>KIT DE ABASTECIMENTO COM CAP. DE 5000 LT GASOLINA</t>
  </si>
  <si>
    <t xml:space="preserve">MULTIEQUIPAMENTOS LTDA  </t>
  </si>
  <si>
    <t>20.430.714/0001-47</t>
  </si>
  <si>
    <t>EQI-0007</t>
  </si>
  <si>
    <t>IS000241</t>
  </si>
  <si>
    <t>NOTEBOOK DELL CORE I3 4GB</t>
  </si>
  <si>
    <t>B2W COMPANHIA DIGITAL</t>
  </si>
  <si>
    <t>00.776.574/0013-90</t>
  </si>
  <si>
    <t>EQI-0072</t>
  </si>
  <si>
    <t>IS000242</t>
  </si>
  <si>
    <t>NOTEBOOK SONY VAIO INTEL CORE I3 4GB</t>
  </si>
  <si>
    <t>EQU-0037</t>
  </si>
  <si>
    <t>IS000243</t>
  </si>
  <si>
    <t>KIT DE ABASTECIMENTO COM CAP. DE 20000 LT DIESEL</t>
  </si>
  <si>
    <t xml:space="preserve">MULTIEQUIPAMENTOS LTDA ME </t>
  </si>
  <si>
    <t>EQU-0117</t>
  </si>
  <si>
    <t>IS000244</t>
  </si>
  <si>
    <t>CONTAINER SANITARIO</t>
  </si>
  <si>
    <t>EQU-0118</t>
  </si>
  <si>
    <t>IS000245</t>
  </si>
  <si>
    <t>CONTAINER LAVATORIO</t>
  </si>
  <si>
    <t>EQI-0005</t>
  </si>
  <si>
    <t>IS000246</t>
  </si>
  <si>
    <t>NOTEBOOK DELL CORE I3</t>
  </si>
  <si>
    <t>EQU-0119</t>
  </si>
  <si>
    <t>IS000247</t>
  </si>
  <si>
    <t>COMPRESSOR DE AR PRESSURE INDUSTRIAL 250L</t>
  </si>
  <si>
    <t>BC FERRAMENTARIA</t>
  </si>
  <si>
    <t>31.539.004/0001-76</t>
  </si>
  <si>
    <t>MVU-0007</t>
  </si>
  <si>
    <t>IS000248</t>
  </si>
  <si>
    <t>FOGAO INDUSTRIAL VENANCIO BRAVO</t>
  </si>
  <si>
    <t>EQU-0078</t>
  </si>
  <si>
    <t>IS000249</t>
  </si>
  <si>
    <t>MAQUINA DE COSTURA WAIG INDUSTRIAL WPCII 220V PORTATIL</t>
  </si>
  <si>
    <t>EQU-0046</t>
  </si>
  <si>
    <t>IS000250</t>
  </si>
  <si>
    <t>DESCONTAMINADOR DE DEFENSIVOS REINA DEGRADATOX FUNIL 600L</t>
  </si>
  <si>
    <t>OZ INO DE EQUIP GERADORES DE OZONO LTDA</t>
  </si>
  <si>
    <t>04.341.201/0001-03</t>
  </si>
  <si>
    <t>EQU-0057</t>
  </si>
  <si>
    <t>IS000251</t>
  </si>
  <si>
    <t>OZ - Industria de Equipamentos Geradores de Ozonio Ltda</t>
  </si>
  <si>
    <t>EQU-0051</t>
  </si>
  <si>
    <t>IS000252</t>
  </si>
  <si>
    <t>IS000253</t>
  </si>
  <si>
    <t>MACACO HIDRAULICO MARCON MJH 20 TONELADAS</t>
  </si>
  <si>
    <t>BORRACHAS ANHANGUERA LTDA</t>
  </si>
  <si>
    <t>07.421.103/0001-74</t>
  </si>
  <si>
    <t>IS000254</t>
  </si>
  <si>
    <t>RADIO HYTERA BP516 VHF 136-174MHZ 1500MA</t>
  </si>
  <si>
    <t>MVU-0019</t>
  </si>
  <si>
    <t>IS000255</t>
  </si>
  <si>
    <t>IMP-0178</t>
  </si>
  <si>
    <t>IS000256</t>
  </si>
  <si>
    <t>REFEITORIO MOVEL 20 LUGARES</t>
  </si>
  <si>
    <t>IMP-0179</t>
  </si>
  <si>
    <t>IS000257</t>
  </si>
  <si>
    <t>REFEITORIO MOVEL</t>
  </si>
  <si>
    <t>TRA-0030</t>
  </si>
  <si>
    <t>IS000258</t>
  </si>
  <si>
    <t>1BM6100EAJA001132</t>
  </si>
  <si>
    <t>TRATOR AGRICOLA JOHN DEERE 6100E</t>
  </si>
  <si>
    <t>AGROSUL MAQUINAS LTDA</t>
  </si>
  <si>
    <t>40.512.337/0004-45</t>
  </si>
  <si>
    <t>TRA-0032</t>
  </si>
  <si>
    <t>IS000259</t>
  </si>
  <si>
    <t>1BM6100EKJA001187</t>
  </si>
  <si>
    <t>TRA-0033</t>
  </si>
  <si>
    <t>IS000260</t>
  </si>
  <si>
    <t>1BM6100ETJ001140</t>
  </si>
  <si>
    <t>TRA-0034</t>
  </si>
  <si>
    <t>IS000261</t>
  </si>
  <si>
    <t>1BM6100EPJA001186</t>
  </si>
  <si>
    <t>TRA-0031</t>
  </si>
  <si>
    <t>IS000262</t>
  </si>
  <si>
    <t>1BM6100EPJA001141</t>
  </si>
  <si>
    <t>IMP-0091</t>
  </si>
  <si>
    <t>IS000263</t>
  </si>
  <si>
    <t>ALEI180126</t>
  </si>
  <si>
    <t>IMP-0115</t>
  </si>
  <si>
    <t>IS000264</t>
  </si>
  <si>
    <t>ALEI170055</t>
  </si>
  <si>
    <t>MORI IND. E COM. IMPL .AGRIC. LTDA -EPP</t>
  </si>
  <si>
    <t>04.799.096/0001-50</t>
  </si>
  <si>
    <t>IMP-0116</t>
  </si>
  <si>
    <t>IS000265</t>
  </si>
  <si>
    <t>ALEI170056</t>
  </si>
  <si>
    <t>MORI IND. E COM. IMPL. AGRIC. LTDA- EPP</t>
  </si>
  <si>
    <t>EQU-0049</t>
  </si>
  <si>
    <t>IS000266</t>
  </si>
  <si>
    <t>CARROCERIA CARGO 1119</t>
  </si>
  <si>
    <t>CARROCERIAS IDEAL LTDA - EPP</t>
  </si>
  <si>
    <t>01.037.506/0001-38</t>
  </si>
  <si>
    <t>EQU-0050</t>
  </si>
  <si>
    <t>IS000267</t>
  </si>
  <si>
    <t>TANQUE DE COMBUSTIVEL 20.000 LTS QUEROSENE HANGAR SANTO EXPEDITO</t>
  </si>
  <si>
    <t xml:space="preserve">GILMAR A  KOLLN E CIA LTDA </t>
  </si>
  <si>
    <t>79.205.530/0001-26</t>
  </si>
  <si>
    <t>EQU-0054</t>
  </si>
  <si>
    <t>IS000268</t>
  </si>
  <si>
    <t>TANQUE DE COMBUSTIVEL 10.000 LTS OLEO DEGOMADO SANTO EXPEDITO</t>
  </si>
  <si>
    <t>GILMAR A KOLLN E CIA LTDA</t>
  </si>
  <si>
    <t>VEI-0029</t>
  </si>
  <si>
    <t>IS000269</t>
  </si>
  <si>
    <t>PLE3903</t>
  </si>
  <si>
    <t>9BFWEA7B4KBS45955</t>
  </si>
  <si>
    <t>CAMINHAO FORD CARGO 1119</t>
  </si>
  <si>
    <t>MAX COMERCIO E SERVICO DE CAMINHOES LTDA</t>
  </si>
  <si>
    <t>07.659.172/0001-10</t>
  </si>
  <si>
    <t>IMP-0112</t>
  </si>
  <si>
    <t>IS000270</t>
  </si>
  <si>
    <t>CARRETINHA REBOQUE PARA MOTOCICLETA</t>
  </si>
  <si>
    <t>EQU-0048</t>
  </si>
  <si>
    <t>IS000271</t>
  </si>
  <si>
    <t>CABINE SUPLEMENTAR CARGO 1119</t>
  </si>
  <si>
    <t>EQI-0058</t>
  </si>
  <si>
    <t>IS000272</t>
  </si>
  <si>
    <t>COMPUTADOR INTEL PENTIUM 4GB</t>
  </si>
  <si>
    <t>EQU-0139</t>
  </si>
  <si>
    <t>IS000273</t>
  </si>
  <si>
    <t>BOMBA CENTRIFUGA BC-21R 2.1/2 7,5CV MONO 220/440V</t>
  </si>
  <si>
    <t>TRA-0035</t>
  </si>
  <si>
    <t>IS000274</t>
  </si>
  <si>
    <t>HCCZFA95VJCY77197</t>
  </si>
  <si>
    <t>TRATOR AGRICOLA FARMALL 95</t>
  </si>
  <si>
    <t>02.227.267/0002-22</t>
  </si>
  <si>
    <t>EQU-0058</t>
  </si>
  <si>
    <t>IS000275</t>
  </si>
  <si>
    <t>MAQUINA INVERSORA DE SOLDA ESAB BANTAM 180I MOD 733115</t>
  </si>
  <si>
    <t>K COMERCIAL DE MAQUINAS EREU</t>
  </si>
  <si>
    <t>21.533.098/0001-12</t>
  </si>
  <si>
    <t>EQI-0068</t>
  </si>
  <si>
    <t>IS000276</t>
  </si>
  <si>
    <t>COMPUTADOR ADM 2GB</t>
  </si>
  <si>
    <t>MVU-0010</t>
  </si>
  <si>
    <t>IS000277</t>
  </si>
  <si>
    <t>AR CONDICIONADO DE 12000 BTUS</t>
  </si>
  <si>
    <t>EQU-0061</t>
  </si>
  <si>
    <t>IS000278</t>
  </si>
  <si>
    <t>CARREGADOR DE BATERIA VONDER COM AUX DE PARTIDA 12/24 X 200 AMP</t>
  </si>
  <si>
    <t>IMPERIAL COM. DE PARAFUSO FERR E MAQ LTDA</t>
  </si>
  <si>
    <t>01.716.186/0001-42</t>
  </si>
  <si>
    <t>EQU-0059</t>
  </si>
  <si>
    <t>IS000279</t>
  </si>
  <si>
    <t>COMPRESSOR DE AR PRESSURE 25 PES 250L</t>
  </si>
  <si>
    <t>CANAA COMPRESSORES LTDA ME</t>
  </si>
  <si>
    <t>05.697.975/0001-34</t>
  </si>
  <si>
    <t>EQI-0004</t>
  </si>
  <si>
    <t>IS000280</t>
  </si>
  <si>
    <t>NOTEBOOK DELL VOSTRO CORE I3 4G</t>
  </si>
  <si>
    <t>EQU-0042</t>
  </si>
  <si>
    <t>IS000281</t>
  </si>
  <si>
    <t>PRE MISTURADOR SIMPLES 3POL 1.000LT INOX</t>
  </si>
  <si>
    <t>GINO PANOSSO</t>
  </si>
  <si>
    <t>06.340.299/0001-00</t>
  </si>
  <si>
    <t>IMP-0120</t>
  </si>
  <si>
    <t>IS000282</t>
  </si>
  <si>
    <t>GUINCHO HIDRAULICO SOLLUS</t>
  </si>
  <si>
    <t>CAMPOESTE-MAQUNAS BAHIA LTDA</t>
  </si>
  <si>
    <t>EQU-0076</t>
  </si>
  <si>
    <t>IS000283</t>
  </si>
  <si>
    <t>APARELHO DE RADIONAVEGACAO ZTN 112560-80</t>
  </si>
  <si>
    <t>EQU-0149</t>
  </si>
  <si>
    <t>IS000284</t>
  </si>
  <si>
    <t>TANQUE PRE-MISTURA DEFENSIVO 500LTS</t>
  </si>
  <si>
    <t>EQU-0062</t>
  </si>
  <si>
    <t>IS000285</t>
  </si>
  <si>
    <t>IBM COMERCIO DE BOMBAS E MOTORES LTDA</t>
  </si>
  <si>
    <t>EQU-0055</t>
  </si>
  <si>
    <t>IS000286</t>
  </si>
  <si>
    <t>KIT SKID DE ABASTECIMENTO PARA QUEROSENE</t>
  </si>
  <si>
    <t>SULFILTROS EQUIP. IND. E AMBIENTAIS - EIRELI - ME</t>
  </si>
  <si>
    <t>22.187.515/0001-85</t>
  </si>
  <si>
    <t>EQI-0081</t>
  </si>
  <si>
    <t>IS000287</t>
  </si>
  <si>
    <t>TV SONY 50 POL LED</t>
  </si>
  <si>
    <t>VEI-0033</t>
  </si>
  <si>
    <t>IS000288</t>
  </si>
  <si>
    <t>9C2KE0236JR300408</t>
  </si>
  <si>
    <t>MOTO FORMOSA LTDA</t>
  </si>
  <si>
    <t>IS000289</t>
  </si>
  <si>
    <t>IMPRESSORA MULTIFUNCIONAL HP M432 LASER</t>
  </si>
  <si>
    <t>E R COSTA EIRELI</t>
  </si>
  <si>
    <t>12.215.644/0001-86</t>
  </si>
  <si>
    <t>IS000290</t>
  </si>
  <si>
    <t>STARLINK KIT V4 (ANTENA+ROTEADOR WI-FI)</t>
  </si>
  <si>
    <t>EVANGELISTA</t>
  </si>
  <si>
    <t>EQI-0001</t>
  </si>
  <si>
    <t>IS000291</t>
  </si>
  <si>
    <t>NOTEBOOK DELL CORE I5 8GB</t>
  </si>
  <si>
    <t>IMP-0128</t>
  </si>
  <si>
    <t>IS000292</t>
  </si>
  <si>
    <t>CFFL190167</t>
  </si>
  <si>
    <t>MORI IND. E COM. IMPL. AGRC. LTDA- EPP</t>
  </si>
  <si>
    <t>IMP-0130</t>
  </si>
  <si>
    <t>IS000293</t>
  </si>
  <si>
    <t>CFFL190168</t>
  </si>
  <si>
    <t>EQU-0056</t>
  </si>
  <si>
    <t>IS000294</t>
  </si>
  <si>
    <t>CABINE SUPLEMENTAR F-4000</t>
  </si>
  <si>
    <t>ALVORADA CARROCERIAS METALICAS LTDA</t>
  </si>
  <si>
    <t>25.139.189/0001-29</t>
  </si>
  <si>
    <t>IMP-0125</t>
  </si>
  <si>
    <t>IS000295</t>
  </si>
  <si>
    <t xml:space="preserve">ROCADEIRA DE ARRASTO MFW ROTD 1800 </t>
  </si>
  <si>
    <t>UNICAMPO MAQUINAS E EQUIPAMENTOS AGRICOLAS</t>
  </si>
  <si>
    <t>13.373.265/0001-87</t>
  </si>
  <si>
    <t>EQI-0074</t>
  </si>
  <si>
    <t>IS000296</t>
  </si>
  <si>
    <t>NOTEBOOK DELL CORE I5 4GB</t>
  </si>
  <si>
    <t>EQI-0070</t>
  </si>
  <si>
    <t>IS000297</t>
  </si>
  <si>
    <t>TORRE ESTAIADA QUADRADA  25</t>
  </si>
  <si>
    <t>EQI-0071</t>
  </si>
  <si>
    <t>IS000298</t>
  </si>
  <si>
    <t>TORRE ESTAIADA QUADRADA  20</t>
  </si>
  <si>
    <t>EQI-0053</t>
  </si>
  <si>
    <t>IS000299</t>
  </si>
  <si>
    <t>COMPUTADOR INTEL I5 4GB</t>
  </si>
  <si>
    <t>BARREIRAS INFORMATICA LTDA</t>
  </si>
  <si>
    <t>34.374.702/0004-08</t>
  </si>
  <si>
    <t>EQI-0056</t>
  </si>
  <si>
    <t>IS000300</t>
  </si>
  <si>
    <t>PROJETOR EPSON POWERLITE S41+3300</t>
  </si>
  <si>
    <t>EQI-0008</t>
  </si>
  <si>
    <t>IS000301</t>
  </si>
  <si>
    <t>TORRE ESTAIADA QUADRADA 20M</t>
  </si>
  <si>
    <t>EQI-0009</t>
  </si>
  <si>
    <t>IS000302</t>
  </si>
  <si>
    <t>TORRE ESTAIADA QUADRADA 30M</t>
  </si>
  <si>
    <t>EQU-0086</t>
  </si>
  <si>
    <t>IS000303</t>
  </si>
  <si>
    <t>PALETEIRA HIDRAULICA MANUAL 2 TON RODAS DUPLA</t>
  </si>
  <si>
    <t>IMPERIAL COM. DE PARAFUSO FERR. E MAQ LTDA</t>
  </si>
  <si>
    <t>EQU-0077</t>
  </si>
  <si>
    <t>IS000304</t>
  </si>
  <si>
    <t>CONJUNTO CAIXA SEMENTE DE CAPIM</t>
  </si>
  <si>
    <t>MRSAGRO DO BRASIL NO. E COM. DE MAQ. AGRIC. LTDA</t>
  </si>
  <si>
    <t>20.210.169/0001-83</t>
  </si>
  <si>
    <t>EQI-0052</t>
  </si>
  <si>
    <t>IS000305</t>
  </si>
  <si>
    <t>IMPRESSORA HP LASER JET M1212</t>
  </si>
  <si>
    <t>EQI-0075</t>
  </si>
  <si>
    <t>IS000306</t>
  </si>
  <si>
    <t>EQU-0063</t>
  </si>
  <si>
    <t>IS000307</t>
  </si>
  <si>
    <t>SEMEADORA ADUBADORA IKEDA MS100 CR ACOPLAVEL A TRATORES</t>
  </si>
  <si>
    <t>BAMAGRIL - BARCELLOS MAQUINAS AGRICOLAS BAHIA LTDA</t>
  </si>
  <si>
    <t>04.428.098/0001-33</t>
  </si>
  <si>
    <t>COL-0011</t>
  </si>
  <si>
    <t>IS000308</t>
  </si>
  <si>
    <t>N09996X026008</t>
  </si>
  <si>
    <t>COLHEITADEIRA DE ALGODAO JOHN DEERE 9996</t>
  </si>
  <si>
    <t>SLC AGRICOLA S A</t>
  </si>
  <si>
    <t>89.096.457/0040-61</t>
  </si>
  <si>
    <t>IMP-0142</t>
  </si>
  <si>
    <t>IS000309</t>
  </si>
  <si>
    <t>CARRETA TRANSBORDO BUSA BASS BOY CTA 550</t>
  </si>
  <si>
    <t>COL-0009</t>
  </si>
  <si>
    <t>IS000310</t>
  </si>
  <si>
    <t>N09996X024016</t>
  </si>
  <si>
    <t>EQU-0092</t>
  </si>
  <si>
    <t>IS000311</t>
  </si>
  <si>
    <t>APARELHO DE RADIONAVEGACAO ZTN94020</t>
  </si>
  <si>
    <t>02.227.267/0001-41</t>
  </si>
  <si>
    <t>EQU-0093</t>
  </si>
  <si>
    <t>IS000312</t>
  </si>
  <si>
    <t>EQU-0080</t>
  </si>
  <si>
    <t>IS000313</t>
  </si>
  <si>
    <t>MOTOBOMBA BRANCO B4T 710L</t>
  </si>
  <si>
    <t>COMERCIAL JUSTI LTDA ME</t>
  </si>
  <si>
    <t>04.750.954/0001-72</t>
  </si>
  <si>
    <t>PUL-0007</t>
  </si>
  <si>
    <t>IS000314</t>
  </si>
  <si>
    <t>PRCYP350TJPC03236</t>
  </si>
  <si>
    <t>PULVERIZADOR CASE IH PATRIOT 350</t>
  </si>
  <si>
    <t>MAXIJM MAQUINAS E EQUIPAMENTOS LTDA</t>
  </si>
  <si>
    <t>02.227.267/0003-03</t>
  </si>
  <si>
    <t>TRA-0036</t>
  </si>
  <si>
    <t>IS000315</t>
  </si>
  <si>
    <t>HCCZFA95TJCY76783</t>
  </si>
  <si>
    <t>TRA-0037</t>
  </si>
  <si>
    <t>IS000316</t>
  </si>
  <si>
    <t>HCCZFA95CJCY72689</t>
  </si>
  <si>
    <t>TRA-0038</t>
  </si>
  <si>
    <t>IS000317</t>
  </si>
  <si>
    <t>HCCZFA95HJCY72515</t>
  </si>
  <si>
    <t>TRA-0039</t>
  </si>
  <si>
    <t>IS000318</t>
  </si>
  <si>
    <t>HCCZFA95EJCY82471</t>
  </si>
  <si>
    <t>TRA-0040</t>
  </si>
  <si>
    <t>IS000319</t>
  </si>
  <si>
    <t>HCCZFA80HJCY78368</t>
  </si>
  <si>
    <t>TRATOR AGRICOLA FARMALL 80</t>
  </si>
  <si>
    <t>TRA-0041</t>
  </si>
  <si>
    <t>IS000320</t>
  </si>
  <si>
    <t>HCCZFA80LJCY79107</t>
  </si>
  <si>
    <t>TRA-0042</t>
  </si>
  <si>
    <t>IS000321</t>
  </si>
  <si>
    <t>HCCZFA80KJCY78518</t>
  </si>
  <si>
    <t>TRA-0043</t>
  </si>
  <si>
    <t>IS000322</t>
  </si>
  <si>
    <t>HCCZFA80KJCY78283</t>
  </si>
  <si>
    <t>TRA-0044</t>
  </si>
  <si>
    <t>IS000323</t>
  </si>
  <si>
    <t>HCCZFA80LJCY78261</t>
  </si>
  <si>
    <t>TRA-0045</t>
  </si>
  <si>
    <t>IS000324</t>
  </si>
  <si>
    <t>HCCZFA80HJCY78487</t>
  </si>
  <si>
    <t>IMP-0147</t>
  </si>
  <si>
    <t>IS000325</t>
  </si>
  <si>
    <t>IMP-0139</t>
  </si>
  <si>
    <t>IS000326</t>
  </si>
  <si>
    <t>PRENSA DE ALGODAO BUSA EB11T</t>
  </si>
  <si>
    <t>IMP-0140</t>
  </si>
  <si>
    <t>IS000327</t>
  </si>
  <si>
    <t>MVU-0011</t>
  </si>
  <si>
    <t>IS000328</t>
  </si>
  <si>
    <t>TV PHILCO 49 POL LED</t>
  </si>
  <si>
    <t>MIXTEL DISTRIBUIDORA LTDA.</t>
  </si>
  <si>
    <t>07.941.752/0008-72</t>
  </si>
  <si>
    <t>EQU-0064</t>
  </si>
  <si>
    <t>IS000329</t>
  </si>
  <si>
    <t>MOTOSSERRA STIHL MS 382 40CM</t>
  </si>
  <si>
    <t>IMP-0141</t>
  </si>
  <si>
    <t>IS000330</t>
  </si>
  <si>
    <t>EQU-0145</t>
  </si>
  <si>
    <t>IS000331</t>
  </si>
  <si>
    <t>CAIXA D'AGUA TANQUE 10.000 OLEO DEGOMADO</t>
  </si>
  <si>
    <t>EQI-0059</t>
  </si>
  <si>
    <t>IS000332</t>
  </si>
  <si>
    <t>EQU-0067</t>
  </si>
  <si>
    <t>IS000333</t>
  </si>
  <si>
    <t>CARREGADOR DE BATERIA VONDER CBV 950</t>
  </si>
  <si>
    <t>IMP-0143</t>
  </si>
  <si>
    <t>IS000334</t>
  </si>
  <si>
    <t>MVU-0013</t>
  </si>
  <si>
    <t>IS000335</t>
  </si>
  <si>
    <t>CATRAL REFRIGERACAO E ELETRODOMESTICOS LTDA</t>
  </si>
  <si>
    <t>02.375.921/0011-36</t>
  </si>
  <si>
    <t>EQI-0011</t>
  </si>
  <si>
    <t>IS000336</t>
  </si>
  <si>
    <t>COMPUTADOR PENTIUM I3</t>
  </si>
  <si>
    <t>BEL MICRO COMPUTADORES LTDA</t>
  </si>
  <si>
    <t>71.052.559/0003-75</t>
  </si>
  <si>
    <t>EQU-0098</t>
  </si>
  <si>
    <t>IS000337</t>
  </si>
  <si>
    <t>LAVADORA INDUSTRIAL DE ALTA PRESSAO JACTO J500 C/ MOTOR 3CV MONO</t>
  </si>
  <si>
    <t>EQU-0148</t>
  </si>
  <si>
    <t>IS000338</t>
  </si>
  <si>
    <t>MAQUINA DE QUEIMAR DESFIBRADOR</t>
  </si>
  <si>
    <t>IMP-0144</t>
  </si>
  <si>
    <t>IS000339</t>
  </si>
  <si>
    <t>IMP-0151</t>
  </si>
  <si>
    <t>IS000340</t>
  </si>
  <si>
    <t>PRENSA DE ALGODAO BUSA EB10T</t>
  </si>
  <si>
    <t>IMP-0180</t>
  </si>
  <si>
    <t>IS000341</t>
  </si>
  <si>
    <t>REFEITORIO MOVEL 24 LUGARES</t>
  </si>
  <si>
    <t>IMP-0148</t>
  </si>
  <si>
    <t>IS000342</t>
  </si>
  <si>
    <t>OFICINA MOVEL // CONTAINER // 6 RODAS</t>
  </si>
  <si>
    <t>EQU-0070</t>
  </si>
  <si>
    <t>IS000343</t>
  </si>
  <si>
    <t>BALANCA DE GANCHO 2.000 KG</t>
  </si>
  <si>
    <t>EQI-0014</t>
  </si>
  <si>
    <t>IS000344</t>
  </si>
  <si>
    <t>IMPRESSORA ZEBRA GC 420 TT 203 DPI USB, SERIAL E PARALELA - G</t>
  </si>
  <si>
    <t>ITEMOBILE DO BRASIL LTDA</t>
  </si>
  <si>
    <t>05.374.042/0001-06</t>
  </si>
  <si>
    <t>IS000345</t>
  </si>
  <si>
    <t>DESKTOP DELL OPTIPLEX 3080 CORE I5 10ª</t>
  </si>
  <si>
    <t>EQI-0006</t>
  </si>
  <si>
    <t>IS000346</t>
  </si>
  <si>
    <t>NOTEBOOK DELL I3</t>
  </si>
  <si>
    <t>IMP-0188</t>
  </si>
  <si>
    <t>IS000347</t>
  </si>
  <si>
    <t>TANQUE PIPA GUERRA 20.000LTS</t>
  </si>
  <si>
    <t>IS000348</t>
  </si>
  <si>
    <t>MAQUINA INVERSORA DE SOLDA ESAB</t>
  </si>
  <si>
    <t>IMP-0153</t>
  </si>
  <si>
    <t>IS000349</t>
  </si>
  <si>
    <t>TANQUE PIPA DOLLY 20.000LTS</t>
  </si>
  <si>
    <t>IMP-0152</t>
  </si>
  <si>
    <t>IS000350</t>
  </si>
  <si>
    <t>TRITURADOR HERDER FLV800</t>
  </si>
  <si>
    <t>IROPEL COMERCIAL AGRICOLA LTDA</t>
  </si>
  <si>
    <t>96.819.032/0001-92</t>
  </si>
  <si>
    <t>IS000351</t>
  </si>
  <si>
    <t>CARRETA AGRICOLA PARA BIG BAG ANTIGO BASS BOY IMP-149</t>
  </si>
  <si>
    <t>IMP-0150</t>
  </si>
  <si>
    <t>IS000352</t>
  </si>
  <si>
    <t>CARRETA TRANSBORDO BASS BOY BUSA CTA 550</t>
  </si>
  <si>
    <t>89.096.457/0016-31</t>
  </si>
  <si>
    <t>EQI-0012</t>
  </si>
  <si>
    <t>IS000353</t>
  </si>
  <si>
    <t>IMPRESSORA TERMICA BEMATECH MP 4200HS STANDART</t>
  </si>
  <si>
    <t>STANDBYTE INFORMATICA EIRELI</t>
  </si>
  <si>
    <t>EQI-0073</t>
  </si>
  <si>
    <t>IS000354</t>
  </si>
  <si>
    <t>EQU-0106</t>
  </si>
  <si>
    <t>IS000355</t>
  </si>
  <si>
    <t>CONJUNTO DE MAQUINA PINHALENSE MESA DE GRAVIDADE</t>
  </si>
  <si>
    <t>PINHALENSE S/A-MAQUNAS AGRICOLAS</t>
  </si>
  <si>
    <t>54.224.423/0002-03</t>
  </si>
  <si>
    <t>MVU-0014</t>
  </si>
  <si>
    <t>IS000356</t>
  </si>
  <si>
    <t>FREEZER HORIZONTAL 500 LTS</t>
  </si>
  <si>
    <t>RODRIGO BRAVO</t>
  </si>
  <si>
    <t>03.321.060/0006-09</t>
  </si>
  <si>
    <t>TRA-0046</t>
  </si>
  <si>
    <t>IS000357</t>
  </si>
  <si>
    <t>JEEZC420CKF318639</t>
  </si>
  <si>
    <t>TRATOR AGRICOLA STEIGER 420 HD</t>
  </si>
  <si>
    <t>MVU-0012</t>
  </si>
  <si>
    <t>IS000358</t>
  </si>
  <si>
    <t>BEBEDOURO INDUSTRIAL INOX 150 LT 2 TORNEIRAS</t>
  </si>
  <si>
    <t>HOHL MAQUNASAGRICOLAS LTDA</t>
  </si>
  <si>
    <t>EQU-0087</t>
  </si>
  <si>
    <t>IS000359</t>
  </si>
  <si>
    <t>EQU-0003</t>
  </si>
  <si>
    <t>IS000360</t>
  </si>
  <si>
    <t>RETIFICADEIRA BOSCH GGS 28 LCE PROFESSIONAL</t>
  </si>
  <si>
    <t>VEI-0038</t>
  </si>
  <si>
    <t>IS000361</t>
  </si>
  <si>
    <t>9C2KC2500KR069066</t>
  </si>
  <si>
    <t>MOTOCICLETA HONDA CG 160 START</t>
  </si>
  <si>
    <t>EQU-0081</t>
  </si>
  <si>
    <t>IS000362</t>
  </si>
  <si>
    <t>MOTOBOMBA BRANCO BD705CF 3 POL</t>
  </si>
  <si>
    <t>IMP-0157</t>
  </si>
  <si>
    <t>IS000363</t>
  </si>
  <si>
    <t>HEA-BJ12243</t>
  </si>
  <si>
    <t>SEMEADORA ADUBADORA HERCULES 15000</t>
  </si>
  <si>
    <t>EQU-0102</t>
  </si>
  <si>
    <t>IS000364</t>
  </si>
  <si>
    <t>MAQUINA PRENSAGEM MANGUEIRA PE80 TF 220V MONO</t>
  </si>
  <si>
    <t>PRENSSO MAQUINAS LTDA</t>
  </si>
  <si>
    <t>04.290.957/0001-70</t>
  </si>
  <si>
    <t>IMP-0154</t>
  </si>
  <si>
    <t>IS000365</t>
  </si>
  <si>
    <t>CFFL190181</t>
  </si>
  <si>
    <t>CEIFADEIRA MORI FLEX</t>
  </si>
  <si>
    <t>IMP-0155</t>
  </si>
  <si>
    <t>IS000366</t>
  </si>
  <si>
    <t>CFFL190180</t>
  </si>
  <si>
    <t>IMP-0184</t>
  </si>
  <si>
    <t>IS000367</t>
  </si>
  <si>
    <t>ESTEIRA TRANSPORTADOR DE CEREAIS DALLA</t>
  </si>
  <si>
    <t>EQI-0076</t>
  </si>
  <si>
    <t>IS000368</t>
  </si>
  <si>
    <t>IMP-0160</t>
  </si>
  <si>
    <t>IS000369</t>
  </si>
  <si>
    <t>FDC00531401</t>
  </si>
  <si>
    <t>SUBSOLADOR TERRUS 12H SSC</t>
  </si>
  <si>
    <t>GTS DO BRASIL LTDA</t>
  </si>
  <si>
    <t>EQI-0003</t>
  </si>
  <si>
    <t>IS000370</t>
  </si>
  <si>
    <t>CPU DUAL CORE CELERON 4GB</t>
  </si>
  <si>
    <t>EQU-0105</t>
  </si>
  <si>
    <t>IS000371</t>
  </si>
  <si>
    <t>TANQUE DE COMBUSTIVEL 15.000 LTS DIESEL POSTO SANTO EXPEDITO</t>
  </si>
  <si>
    <t>MVU-0040</t>
  </si>
  <si>
    <t>IS000372</t>
  </si>
  <si>
    <t>MVU-0041</t>
  </si>
  <si>
    <t>IS000373</t>
  </si>
  <si>
    <t>MVU-0042</t>
  </si>
  <si>
    <t>IS000374</t>
  </si>
  <si>
    <t>IMP-0127</t>
  </si>
  <si>
    <t>IS000375</t>
  </si>
  <si>
    <t>CFFL191066</t>
  </si>
  <si>
    <t>EQU-0091</t>
  </si>
  <si>
    <t>IS000376</t>
  </si>
  <si>
    <t>TANQUE PRE-MISTURA DEFENSIVOS DIVISA 2.000L</t>
  </si>
  <si>
    <t>PUL-0006</t>
  </si>
  <si>
    <t>IS000377</t>
  </si>
  <si>
    <t>02834M3</t>
  </si>
  <si>
    <t>PULVERIZADOR AUTOPROPELIDO JACTO UNIPORT 2000</t>
  </si>
  <si>
    <t>IMP-0158</t>
  </si>
  <si>
    <t>IS000378</t>
  </si>
  <si>
    <t>GUINCHO BAG TRITON TR-819 2.2 TONELADAS</t>
  </si>
  <si>
    <t>TRITON MAQUINAS AGRICOLAS LTDA</t>
  </si>
  <si>
    <t>IMP-0161</t>
  </si>
  <si>
    <t>IS000379</t>
  </si>
  <si>
    <t>IMP-0159</t>
  </si>
  <si>
    <t>IS000380</t>
  </si>
  <si>
    <t>0121300010-0-8</t>
  </si>
  <si>
    <t>PLAINA NIVELADORA AGRICOLA</t>
  </si>
  <si>
    <t>MARCHESAN IMPL E MAQ AGRIC TATU SA</t>
  </si>
  <si>
    <t>52.311.289/0001-63</t>
  </si>
  <si>
    <t>EQU-0101</t>
  </si>
  <si>
    <t>IS000381</t>
  </si>
  <si>
    <t>MOTOBOMBA HONDA WB30XH</t>
  </si>
  <si>
    <t>08.074.058/0002-72</t>
  </si>
  <si>
    <t>EQI-0069</t>
  </si>
  <si>
    <t>IS000382</t>
  </si>
  <si>
    <t>IMPRESSORA SAMSUNG M288X</t>
  </si>
  <si>
    <t>EQU-0099</t>
  </si>
  <si>
    <t>IS000383</t>
  </si>
  <si>
    <t>CORTADOR DE GRAMA TRAPP RM-600G 6HP A GASOLINA</t>
  </si>
  <si>
    <t>EQU-0115</t>
  </si>
  <si>
    <t>IS000384</t>
  </si>
  <si>
    <t>CONTAINER DEPOSITO 01</t>
  </si>
  <si>
    <t>EQU-0116</t>
  </si>
  <si>
    <t>IS000385</t>
  </si>
  <si>
    <t>CONTAINER DEPOSITO 02</t>
  </si>
  <si>
    <t>VEI-0039</t>
  </si>
  <si>
    <t>IS000386</t>
  </si>
  <si>
    <t>QTW3J43</t>
  </si>
  <si>
    <t>9BM958134LB161587</t>
  </si>
  <si>
    <t>CAMINHAO MERCEDES BENZ ATEGO 1419 MB</t>
  </si>
  <si>
    <t>MERCEDES-BENZ DO BRASIL LTDA.</t>
  </si>
  <si>
    <t>MAQ-0003</t>
  </si>
  <si>
    <t>IS000387</t>
  </si>
  <si>
    <t>M5AI09440</t>
  </si>
  <si>
    <t>EMPILHADEIRA HANGCHA CPCD25/XRG2</t>
  </si>
  <si>
    <t>MONIQUE PIZATTO GARCIA</t>
  </si>
  <si>
    <t>EQU-0097</t>
  </si>
  <si>
    <t>IS000388</t>
  </si>
  <si>
    <t>MOTOBOMBA HONDA WB20XH</t>
  </si>
  <si>
    <t>IMP-0164</t>
  </si>
  <si>
    <t>IS000389</t>
  </si>
  <si>
    <t>0101090072--8758</t>
  </si>
  <si>
    <t>TERRACEADOR SUPER TATU DE ARRASTO</t>
  </si>
  <si>
    <t>AGRICOLA SIMABA LTDA</t>
  </si>
  <si>
    <t>MVU-0017</t>
  </si>
  <si>
    <t>IS000390</t>
  </si>
  <si>
    <t>TV PANASONIC 32 POL LED</t>
  </si>
  <si>
    <t>MVU-0038</t>
  </si>
  <si>
    <t>IS000391</t>
  </si>
  <si>
    <t>TV SEMP TOSHIBA 32 POL</t>
  </si>
  <si>
    <t>EQU-0088</t>
  </si>
  <si>
    <t>IS000392</t>
  </si>
  <si>
    <t>MESA DE GRAVIDADE BENEFICIAMENTO BRACHIARIA</t>
  </si>
  <si>
    <t>EQU-0089</t>
  </si>
  <si>
    <t>IS000393</t>
  </si>
  <si>
    <t>TANQUE PRÉ-MISTURA DEFENSIVOS</t>
  </si>
  <si>
    <t>EQU-0090</t>
  </si>
  <si>
    <t>IS000394</t>
  </si>
  <si>
    <t>CONJUNTO CAIXA DE SEMENTE CAPIM</t>
  </si>
  <si>
    <t>EQU-0094</t>
  </si>
  <si>
    <t>IS000395</t>
  </si>
  <si>
    <t>OFICINA MOVEL / JAT</t>
  </si>
  <si>
    <t>EQU-0095</t>
  </si>
  <si>
    <t>IS000396</t>
  </si>
  <si>
    <t>CONTAINER DEFENSIVOS</t>
  </si>
  <si>
    <t>EQI-0066</t>
  </si>
  <si>
    <t>IS000397</t>
  </si>
  <si>
    <t>IMPRESSORA HP-DESKJET 2676</t>
  </si>
  <si>
    <t>MVU-0020</t>
  </si>
  <si>
    <t>IS000398</t>
  </si>
  <si>
    <t>TV AOC 32 POL</t>
  </si>
  <si>
    <t>IMP-0129</t>
  </si>
  <si>
    <t>IS000399</t>
  </si>
  <si>
    <t>CFFL190169</t>
  </si>
  <si>
    <t>EQU-0103</t>
  </si>
  <si>
    <t>IS000400</t>
  </si>
  <si>
    <t>CARROCERIA DE MADEIRA ABERTA 1419</t>
  </si>
  <si>
    <t>CARROCERIAS HERINGER LTDA</t>
  </si>
  <si>
    <t>21.990.908/0001-60</t>
  </si>
  <si>
    <t>EQU-0104</t>
  </si>
  <si>
    <t>IS000401</t>
  </si>
  <si>
    <t>CABINE SUPLEMENTAR</t>
  </si>
  <si>
    <t>IMP-0162</t>
  </si>
  <si>
    <t>IS000402</t>
  </si>
  <si>
    <t>CFFL2000001</t>
  </si>
  <si>
    <t>MORI IND. E COM. IMPL. AGRIC. LTDA- Epp</t>
  </si>
  <si>
    <t>IMP-0163</t>
  </si>
  <si>
    <t>IS000403</t>
  </si>
  <si>
    <t>CFFL2000002</t>
  </si>
  <si>
    <t>IMP-0172</t>
  </si>
  <si>
    <t>IS000404</t>
  </si>
  <si>
    <t>2019CSC2400JM044F</t>
  </si>
  <si>
    <t>COLHEITADEIRA DE CAPIM JUMBO 2.4 CSC 2000</t>
  </si>
  <si>
    <t>CSC INDUSTRIA E COMERCIO DE MAQUINAS E EQUIPAMENTOS LTDA</t>
  </si>
  <si>
    <t>03.637.657/0001-52</t>
  </si>
  <si>
    <t>IMP-0181</t>
  </si>
  <si>
    <t>IS000405</t>
  </si>
  <si>
    <t>CFFL170076</t>
  </si>
  <si>
    <t>IMP-0182</t>
  </si>
  <si>
    <t>IS000406</t>
  </si>
  <si>
    <t>VEI-0040</t>
  </si>
  <si>
    <t>IS000407</t>
  </si>
  <si>
    <t>QTW4D59</t>
  </si>
  <si>
    <t>8AJDA3CD3L1811562</t>
  </si>
  <si>
    <t>CAMINHONETE TOYOTA HILUX CD DSL 4X4 POWER PACK</t>
  </si>
  <si>
    <t>TOYOTA DO BRASIL LTDA</t>
  </si>
  <si>
    <t>IS000408</t>
  </si>
  <si>
    <t>NOSSO LAR LOJAS DE DEPARTAMENTOS LTDA</t>
  </si>
  <si>
    <t>IMP-0156</t>
  </si>
  <si>
    <t>IS000409</t>
  </si>
  <si>
    <t>COLHEITADEIRA DE CAPIM JUMBO 2.4 CSC 2000 / IMP-156</t>
  </si>
  <si>
    <t>MVU-0036</t>
  </si>
  <si>
    <t>IS000410</t>
  </si>
  <si>
    <t>IMP-0171</t>
  </si>
  <si>
    <t>IS000411</t>
  </si>
  <si>
    <t>2019CSC2400JM043F</t>
  </si>
  <si>
    <t>COLHEITADEIRA DE CAPIM JUMBO 2.4 CSC 2000 / IMP-171</t>
  </si>
  <si>
    <t>CSC INDUSTRIA E COMERCIO DE MAQ. E EQUIP LTDA</t>
  </si>
  <si>
    <t>IS000412</t>
  </si>
  <si>
    <t>FREEZER CONSUL HORIZONTAL 2 PORTAS 534 LTS</t>
  </si>
  <si>
    <t>IS000413</t>
  </si>
  <si>
    <t>MAQUINA DE JATO DE AREIA 280 LT CJ</t>
  </si>
  <si>
    <t>ANDRADE ENGENHARIA INDUSTRIAL LTDA</t>
  </si>
  <si>
    <t>46.174.234/0001-56</t>
  </si>
  <si>
    <t>EQI-0060</t>
  </si>
  <si>
    <t>IS000414</t>
  </si>
  <si>
    <t>EQU-0142</t>
  </si>
  <si>
    <t>IS000415</t>
  </si>
  <si>
    <t>TANQUE DE COMBUSTIVEL 15.000</t>
  </si>
  <si>
    <t>EQI-0063</t>
  </si>
  <si>
    <t>IS000416</t>
  </si>
  <si>
    <t>IMPRESSORA LASER BROTHER DCP-1602</t>
  </si>
  <si>
    <t>MVU-0025</t>
  </si>
  <si>
    <t>IS000417</t>
  </si>
  <si>
    <t>CORTADOR DE FRIOS ARBEL 170 SX 3.0</t>
  </si>
  <si>
    <t>MVU-0026</t>
  </si>
  <si>
    <t>IS000418</t>
  </si>
  <si>
    <t>MVU-0030</t>
  </si>
  <si>
    <t>IS000419</t>
  </si>
  <si>
    <t>EQU-0100</t>
  </si>
  <si>
    <t>IS000420</t>
  </si>
  <si>
    <t>MAQ-0004</t>
  </si>
  <si>
    <t>IS000421</t>
  </si>
  <si>
    <t>6200B417181</t>
  </si>
  <si>
    <t>COLHEITADEIRA ALEIRADOR JOHN DEERE 6200</t>
  </si>
  <si>
    <t>ROGERIO HERBERTO MULLER</t>
  </si>
  <si>
    <t>EQU-0112</t>
  </si>
  <si>
    <t>IS000422</t>
  </si>
  <si>
    <t>PRE-MISTURA DE 3 POLEGAS INOX DE 1.000 LTS</t>
  </si>
  <si>
    <t>EQU-0108</t>
  </si>
  <si>
    <t>IS000423</t>
  </si>
  <si>
    <t>MEDIDOR DE UMIDADE GEHAKA G600</t>
  </si>
  <si>
    <t>IMP-0165</t>
  </si>
  <si>
    <t>IS000424</t>
  </si>
  <si>
    <t>EMBUTIDORA DE GRAOS MARCHER BRASIL INGRAIN 100</t>
  </si>
  <si>
    <t>IS000425</t>
  </si>
  <si>
    <t>LAVADORA ALTA PRESSAO CHIAPERINI  LJ-3100 220V</t>
  </si>
  <si>
    <t>EQU-0123</t>
  </si>
  <si>
    <t>IS000426</t>
  </si>
  <si>
    <t>MAQUINA DE SOLDA ESAB MIG 450</t>
  </si>
  <si>
    <t>EQU-0135</t>
  </si>
  <si>
    <t>IS000427</t>
  </si>
  <si>
    <t>MAQUINA DE SOLDA ESAB ARC 406</t>
  </si>
  <si>
    <t>IS000428</t>
  </si>
  <si>
    <t>IMP-190</t>
  </si>
  <si>
    <t>IS000429</t>
  </si>
  <si>
    <t>IMP-195</t>
  </si>
  <si>
    <t>IS000430</t>
  </si>
  <si>
    <t>RCT7F80</t>
  </si>
  <si>
    <t>9EP310720L1003568</t>
  </si>
  <si>
    <t>REBOQUE DOLLY FACCHINI</t>
  </si>
  <si>
    <t>IMP-196</t>
  </si>
  <si>
    <t>IS000431</t>
  </si>
  <si>
    <t>9EP021020L1003567</t>
  </si>
  <si>
    <t>CARRETA BASCULANTE NOMA GRANELEIRO</t>
  </si>
  <si>
    <t>VEI-0044</t>
  </si>
  <si>
    <t>IS000432</t>
  </si>
  <si>
    <t>ENY1H84</t>
  </si>
  <si>
    <t>9BFXCCE5U5ABB44141</t>
  </si>
  <si>
    <t xml:space="preserve">CAMINHAO FORD CARGO 1517E + COMBOIO GASCOM </t>
  </si>
  <si>
    <t>COMOVEL - COMERCIAL MONTEALTENSE DE VEICULOS LTDA</t>
  </si>
  <si>
    <t>10.640.121/0001-51</t>
  </si>
  <si>
    <t>IMP-0186</t>
  </si>
  <si>
    <t>IS000433</t>
  </si>
  <si>
    <t>CARRETA AGRICOLA TRITON 5TON</t>
  </si>
  <si>
    <t>MVU-0034</t>
  </si>
  <si>
    <t>IS000434</t>
  </si>
  <si>
    <t>FREEZER HORIZONTAL ELETROLUX 385 LT</t>
  </si>
  <si>
    <t>VEI-0042</t>
  </si>
  <si>
    <t>IS000435</t>
  </si>
  <si>
    <t>KUV4F26</t>
  </si>
  <si>
    <t>9BWR882W78R806205</t>
  </si>
  <si>
    <t>ONIBUS VW 1519 TIPO URBANO / ESCOLAR</t>
  </si>
  <si>
    <t>TRANSMONICI TRANSPORTE E TURISMO LTDA</t>
  </si>
  <si>
    <t>VEI-0043</t>
  </si>
  <si>
    <t>IS000436</t>
  </si>
  <si>
    <t>HMW1J96</t>
  </si>
  <si>
    <t>9BM695304BB805267</t>
  </si>
  <si>
    <t>CAMINHAO MERCEDES BENZ L1620</t>
  </si>
  <si>
    <t>IMP-0167</t>
  </si>
  <si>
    <t>IS000437</t>
  </si>
  <si>
    <t>C158</t>
  </si>
  <si>
    <t>ANCINHO ENLEIRADOR PLAT AE4000</t>
  </si>
  <si>
    <t>MATSUDA EQUIPAMENTOS LTDA</t>
  </si>
  <si>
    <t>IMP-0169</t>
  </si>
  <si>
    <t>IS000438</t>
  </si>
  <si>
    <t>C159</t>
  </si>
  <si>
    <t>67.758.532/0001-63</t>
  </si>
  <si>
    <t>IMP-0170</t>
  </si>
  <si>
    <t>IS000439</t>
  </si>
  <si>
    <t>C160</t>
  </si>
  <si>
    <t>EQU-0121</t>
  </si>
  <si>
    <t>IS000440</t>
  </si>
  <si>
    <t>SOPRADOR COSTAL STIHL BR 600</t>
  </si>
  <si>
    <t>MAQ-0005</t>
  </si>
  <si>
    <t>IS000441</t>
  </si>
  <si>
    <t>HBZNW20FALAE11354</t>
  </si>
  <si>
    <t>PA CARREGADEIRA W20F RJ</t>
  </si>
  <si>
    <t>CNH INDUSTRIAL BRASIL LTDA.</t>
  </si>
  <si>
    <t>01.844.555/0020-45</t>
  </si>
  <si>
    <t>IMP-0173</t>
  </si>
  <si>
    <t>IS000442</t>
  </si>
  <si>
    <t>18/05453</t>
  </si>
  <si>
    <t>ROCADEIRA DE ARRASTO PICCIN RPCO3000</t>
  </si>
  <si>
    <t>IMP-0168</t>
  </si>
  <si>
    <t>IS000443</t>
  </si>
  <si>
    <t>UBRATAN FRANCISCO FRANCOSI</t>
  </si>
  <si>
    <t>IMP-0174</t>
  </si>
  <si>
    <t>IS000444</t>
  </si>
  <si>
    <t>CARRETA TANQUE MEPEL COMBATE A INCENDIO 12.500 LT</t>
  </si>
  <si>
    <t>MARCIO BORTOLOTTO SERVICOS E AGRICOLA EREU</t>
  </si>
  <si>
    <t>IMP-191</t>
  </si>
  <si>
    <t>IS000445</t>
  </si>
  <si>
    <t>EQI-0062</t>
  </si>
  <si>
    <t>IS000446</t>
  </si>
  <si>
    <t>DRONE PARROT  ANAFI WORK  4K</t>
  </si>
  <si>
    <t>EQU-0065</t>
  </si>
  <si>
    <t>IS000447</t>
  </si>
  <si>
    <t>ESMERILHADEIRA BOSCH GWS 26-230</t>
  </si>
  <si>
    <t>IMP-0187</t>
  </si>
  <si>
    <t>IS000448</t>
  </si>
  <si>
    <t>0102330338-0-8</t>
  </si>
  <si>
    <t>GRADE NIVELADORA MARCHESAN FLUTUANTE</t>
  </si>
  <si>
    <t>EQU-0137</t>
  </si>
  <si>
    <t>IS000449</t>
  </si>
  <si>
    <t>ROCADEIRA A COMBUSTAO STIHL KA 85R</t>
  </si>
  <si>
    <t>IMP-0175</t>
  </si>
  <si>
    <t>IS000450</t>
  </si>
  <si>
    <t>2020CSC2400JM056F</t>
  </si>
  <si>
    <t>PENEIRAO USINA CSC2000</t>
  </si>
  <si>
    <t>CSC INDUSTRIA E COMERCIO DE MAQUINAS E EQUIPAMENTOS</t>
  </si>
  <si>
    <t>MAQ-0007</t>
  </si>
  <si>
    <t>IS000451</t>
  </si>
  <si>
    <t>CQ7300A033779</t>
  </si>
  <si>
    <t>COLHEITADEIRA ALEIRADOR JD 7300 / MAQ-007</t>
  </si>
  <si>
    <t>ELLY DE LIMA</t>
  </si>
  <si>
    <t>EQU-0127</t>
  </si>
  <si>
    <t>IS000452</t>
  </si>
  <si>
    <t>BALANÇA DE PISO UL-2500/5</t>
  </si>
  <si>
    <t>IMP-0177</t>
  </si>
  <si>
    <t>IS000453</t>
  </si>
  <si>
    <t>RF0211580420</t>
  </si>
  <si>
    <t>ROLO FACA AGRICOLA KATRINA MOD COMPACTADOR 9000</t>
  </si>
  <si>
    <t>EQU-0129</t>
  </si>
  <si>
    <t>IS000454</t>
  </si>
  <si>
    <t>CAMARA DE LIMPEZA POR DENSIDADE</t>
  </si>
  <si>
    <t>EQU-0130</t>
  </si>
  <si>
    <t>IS000455</t>
  </si>
  <si>
    <t>EQU-0131</t>
  </si>
  <si>
    <t>IS000456</t>
  </si>
  <si>
    <t>SEPARADOR DENSIMETRICO</t>
  </si>
  <si>
    <t>EQU-0132</t>
  </si>
  <si>
    <t>IS000457</t>
  </si>
  <si>
    <t>EQU-0134</t>
  </si>
  <si>
    <t>IS000458</t>
  </si>
  <si>
    <t>EXAUSTOR DE FARELO</t>
  </si>
  <si>
    <t>IMP-0185</t>
  </si>
  <si>
    <t>IS000459</t>
  </si>
  <si>
    <t>OFICINA MOVEL</t>
  </si>
  <si>
    <t>PUL-011</t>
  </si>
  <si>
    <t>IS000460</t>
  </si>
  <si>
    <t>PRCYP350TPLPC04137</t>
  </si>
  <si>
    <t>MAQ-0008</t>
  </si>
  <si>
    <t>IS000461</t>
  </si>
  <si>
    <t>P232L-4931-9663</t>
  </si>
  <si>
    <t>EMPILHADEIRA CLARK C30?</t>
  </si>
  <si>
    <t>EQU-0152</t>
  </si>
  <si>
    <t>IS000462</t>
  </si>
  <si>
    <t>BALANCA DE PLATAFORMA DIGITAL 40X50 300 KG</t>
  </si>
  <si>
    <t>IMP-0183</t>
  </si>
  <si>
    <t>IS000463</t>
  </si>
  <si>
    <t>0102090066--979</t>
  </si>
  <si>
    <t>GRADE ARADORA 18X36POL</t>
  </si>
  <si>
    <t>AGRICOLA SIMABA LTD</t>
  </si>
  <si>
    <t>04.815.160/0001-40</t>
  </si>
  <si>
    <t>EQU-0151</t>
  </si>
  <si>
    <t>IS000464</t>
  </si>
  <si>
    <t>ENSACADEIRA MANUAL - BICA ABERTA 270 X 140 MM</t>
  </si>
  <si>
    <t>EQU-193</t>
  </si>
  <si>
    <t>IS000465</t>
  </si>
  <si>
    <t>EQU-154</t>
  </si>
  <si>
    <t>IS000466</t>
  </si>
  <si>
    <t>MAQUINA DE LIMPEZA DE GRAOS MODELO MPL-120</t>
  </si>
  <si>
    <t>IMP-248</t>
  </si>
  <si>
    <t>IS000467</t>
  </si>
  <si>
    <t>HCCB40FCHNCK21047</t>
  </si>
  <si>
    <t>PLATAFORMA DE GRAOS DRAPER TERRAFLEX 3162 45 PES</t>
  </si>
  <si>
    <t>IMP-249</t>
  </si>
  <si>
    <t>IS000468</t>
  </si>
  <si>
    <t>HCCB40FCANCK21052</t>
  </si>
  <si>
    <t>IMP-217</t>
  </si>
  <si>
    <t>IS000469</t>
  </si>
  <si>
    <t>CLASSIFICADOR DE SEMENTE BIG CLASS 5000</t>
  </si>
  <si>
    <t>MVU-052</t>
  </si>
  <si>
    <t>IS000470</t>
  </si>
  <si>
    <t>TV MONITOR MULTILASER 32 POL</t>
  </si>
  <si>
    <t>GERAIS ELETROMOVEIS LTDA</t>
  </si>
  <si>
    <t>IMP-192</t>
  </si>
  <si>
    <t>IS000471</t>
  </si>
  <si>
    <t>REI-CA10893</t>
  </si>
  <si>
    <t>CARRETA AGRICOLA REBOKE 25000 INOX GRANELEIRA</t>
  </si>
  <si>
    <t>EQU-157</t>
  </si>
  <si>
    <t>IS000472</t>
  </si>
  <si>
    <t>EQU-188</t>
  </si>
  <si>
    <t>IS000473</t>
  </si>
  <si>
    <t>TANQUE PRE-MISTURA DEFENSIVOS DIVISA 3'' 1000 LTS</t>
  </si>
  <si>
    <t>COL-012</t>
  </si>
  <si>
    <t>IS000474</t>
  </si>
  <si>
    <t>JHFY9230JLJB14926</t>
  </si>
  <si>
    <t>COLHEITADEIRA DE GRAOS CASE IH AXIAL FLOW 9230</t>
  </si>
  <si>
    <t>IMP-194</t>
  </si>
  <si>
    <t>IS000475</t>
  </si>
  <si>
    <t>HCCBDF45AHCC01176</t>
  </si>
  <si>
    <t>PUL-008</t>
  </si>
  <si>
    <t>IS000476</t>
  </si>
  <si>
    <t>HEM-CA11101</t>
  </si>
  <si>
    <t>SEMEADORA ADUBADORA HERCULES 6.0</t>
  </si>
  <si>
    <t>IS000477</t>
  </si>
  <si>
    <t>RVZ8B89</t>
  </si>
  <si>
    <t>8AJBA3CD3P1755331</t>
  </si>
  <si>
    <t>CAMINHONETE TOYOTA HILUX CD SRX 4X4</t>
  </si>
  <si>
    <t>IMP-193</t>
  </si>
  <si>
    <t>IS000478</t>
  </si>
  <si>
    <t>EQU-155</t>
  </si>
  <si>
    <t>IS000479</t>
  </si>
  <si>
    <t>EQUIPAMENTO HIDR IMAVI G-25</t>
  </si>
  <si>
    <t>EQU-187</t>
  </si>
  <si>
    <t>IS000480</t>
  </si>
  <si>
    <t>MOTOBOMBA VONDER 7,0 HP</t>
  </si>
  <si>
    <t>EQU-189</t>
  </si>
  <si>
    <t>IS000481</t>
  </si>
  <si>
    <t>MVU-051</t>
  </si>
  <si>
    <t>IS000482</t>
  </si>
  <si>
    <t>AR CONDICIONADO PHILCO 24000 BTUS</t>
  </si>
  <si>
    <t>B2W Companhia Digital</t>
  </si>
  <si>
    <t>00.776.574/0015-51</t>
  </si>
  <si>
    <t>IMP-197</t>
  </si>
  <si>
    <t>IS000483</t>
  </si>
  <si>
    <t>FPL0091200203</t>
  </si>
  <si>
    <t>PLAINA NIVELADORA PLANNER 310 HD GTS</t>
  </si>
  <si>
    <t>EQU-192</t>
  </si>
  <si>
    <t>IS000484</t>
  </si>
  <si>
    <t>CORTADOR DE GRAMA HUSQVARNA LC140 4,5HP</t>
  </si>
  <si>
    <t>EQU-190</t>
  </si>
  <si>
    <t>IS000485</t>
  </si>
  <si>
    <t>SERRA RAPIDA BOSCH POLICORTE PORTATIL 14</t>
  </si>
  <si>
    <t>EQU-191</t>
  </si>
  <si>
    <t>IS000486</t>
  </si>
  <si>
    <t>FURADEIRA SCHULZ COL. FSC 32 P</t>
  </si>
  <si>
    <t>MVU-050</t>
  </si>
  <si>
    <t>IS000487</t>
  </si>
  <si>
    <t>TV SMART 50 POL</t>
  </si>
  <si>
    <t>EQI-080</t>
  </si>
  <si>
    <t>IS000488</t>
  </si>
  <si>
    <t>IMPRESSORA XEROX MULTIFUNCIONAL B205</t>
  </si>
  <si>
    <t>MAQ-010</t>
  </si>
  <si>
    <t>IS000489</t>
  </si>
  <si>
    <t>6200D825000</t>
  </si>
  <si>
    <t>EQU-194</t>
  </si>
  <si>
    <t>IS000490</t>
  </si>
  <si>
    <t>SERRA RAPIDA BOSCH POLICORTE 14 POL</t>
  </si>
  <si>
    <t>EQU-195</t>
  </si>
  <si>
    <t>IS000491</t>
  </si>
  <si>
    <t>SOPRADOR COSTAL STIHL BR 430</t>
  </si>
  <si>
    <t>EQU-196</t>
  </si>
  <si>
    <t>IS000492</t>
  </si>
  <si>
    <t>EQU-197</t>
  </si>
  <si>
    <t>IS000493</t>
  </si>
  <si>
    <t>ASPIRADOR SUGADOR DE GRAOS INDUSTRIAL</t>
  </si>
  <si>
    <t>VEI-047</t>
  </si>
  <si>
    <t>IS000494</t>
  </si>
  <si>
    <t>RDE6B84</t>
  </si>
  <si>
    <t>JB01E0M018836</t>
  </si>
  <si>
    <t>MOTOCICLETA HONDA POP 110I</t>
  </si>
  <si>
    <t>EQU-205</t>
  </si>
  <si>
    <t>IS000495</t>
  </si>
  <si>
    <t>MODULO CLASSIFICADOR TRIEUR</t>
  </si>
  <si>
    <t>IMP-204</t>
  </si>
  <si>
    <t>IS000496</t>
  </si>
  <si>
    <t>CARRETA TANQUE COMBATE A INCENDIO 15.500 LT</t>
  </si>
  <si>
    <t>IMP-206</t>
  </si>
  <si>
    <t>IS000497</t>
  </si>
  <si>
    <t>IMP-207</t>
  </si>
  <si>
    <t>IS000498</t>
  </si>
  <si>
    <t>TRA-050</t>
  </si>
  <si>
    <t>IS000499</t>
  </si>
  <si>
    <t>HCCZ3C30VLCF13828</t>
  </si>
  <si>
    <t>TRATOR AGRICOLA CASE IH PUMA 230</t>
  </si>
  <si>
    <t>IS000500</t>
  </si>
  <si>
    <t>UBS UNIDADE BENEFICIAMENTO DE SEMENTES FAZ. SANTA LUCIA BENFEITORIA INDUSTRIAL</t>
  </si>
  <si>
    <t>IMP-205</t>
  </si>
  <si>
    <t>IS000501</t>
  </si>
  <si>
    <t>EXTRATORA DE GRAOS MARCHER OUTGRAIN 220</t>
  </si>
  <si>
    <t>UNICAMPO MAQUINAS E EQUIPAMENTOS AGRICOLAS LTDA</t>
  </si>
  <si>
    <t>IMP-209</t>
  </si>
  <si>
    <t>IS000502</t>
  </si>
  <si>
    <t>20/01241</t>
  </si>
  <si>
    <t>ROCADEIRA DE ARRASTO PICCIN RPCO3000 DUPLA</t>
  </si>
  <si>
    <t>IMP-200</t>
  </si>
  <si>
    <t>IS000503</t>
  </si>
  <si>
    <t>ALEI210180</t>
  </si>
  <si>
    <t>IMP-201</t>
  </si>
  <si>
    <t>IS000504</t>
  </si>
  <si>
    <t>ALEI210181</t>
  </si>
  <si>
    <t>IMP-202</t>
  </si>
  <si>
    <t>IS000505</t>
  </si>
  <si>
    <t>ALEI210184</t>
  </si>
  <si>
    <t>IMP-203</t>
  </si>
  <si>
    <t>IS000506</t>
  </si>
  <si>
    <t>ALEI210185</t>
  </si>
  <si>
    <t>IMP-208</t>
  </si>
  <si>
    <t>IS000507</t>
  </si>
  <si>
    <t>0121510066-0-19</t>
  </si>
  <si>
    <t>GRADE ARADORA CIVEMASA GASPCRC EHD S0518 SUPER PESADA</t>
  </si>
  <si>
    <t>COL-013</t>
  </si>
  <si>
    <t>IS000508</t>
  </si>
  <si>
    <t>JHFY9230HLJB15292</t>
  </si>
  <si>
    <t>EQI-081</t>
  </si>
  <si>
    <t>IS000509</t>
  </si>
  <si>
    <t>NOTEBOOK DELL INSPIRON I5 RAM 8GB SSD 256GB</t>
  </si>
  <si>
    <t>IMP-210</t>
  </si>
  <si>
    <t>IS000510</t>
  </si>
  <si>
    <t>EAGLE01-0198</t>
  </si>
  <si>
    <t>PLATAFORMA PARA CORTE DE MILHO EAGLE VENCE TUDO PM 20L BOCUDA EAGLE</t>
  </si>
  <si>
    <t>IMP-211</t>
  </si>
  <si>
    <t>IS000511</t>
  </si>
  <si>
    <t>2021CSC2400JM086D</t>
  </si>
  <si>
    <t>PENEIRA DE USINA CSC2000</t>
  </si>
  <si>
    <t>IMP-216</t>
  </si>
  <si>
    <t>IS000512</t>
  </si>
  <si>
    <t>EQUIPAMENTO CJ BIG BAG SERIE OURO</t>
  </si>
  <si>
    <t>CAMPOESTE MAQUINAS BAHIA ROSARIO LTDA</t>
  </si>
  <si>
    <t>40.355.474/0001-70</t>
  </si>
  <si>
    <t>PLA-009</t>
  </si>
  <si>
    <t>IS000513</t>
  </si>
  <si>
    <t>PLANTADEIRA DE ARRASTO MANTO VERDE</t>
  </si>
  <si>
    <t>MRS AGRO DO BRASIL INDUSTRIA E COM. DE MAQ. AGRICOLAS LTDA</t>
  </si>
  <si>
    <t>MVU-055</t>
  </si>
  <si>
    <t>IS000514</t>
  </si>
  <si>
    <t>REFRIGERADOR ELECTROLUX RE31 240L</t>
  </si>
  <si>
    <t>CLAUDINO S A LOJAS DE DEPARTAMENTOS</t>
  </si>
  <si>
    <t>06.862.627/0152-40</t>
  </si>
  <si>
    <t>IMP-218</t>
  </si>
  <si>
    <t>IS000515</t>
  </si>
  <si>
    <t>GRADE PICADORA DE DISCO RETO</t>
  </si>
  <si>
    <t>IMP-215</t>
  </si>
  <si>
    <t>IS000516</t>
  </si>
  <si>
    <t>CARRETA TANQUE MEPEL COMBATE A INCENDIO 15.500 LT</t>
  </si>
  <si>
    <t>IMPLEMAQ MAQ. E PECAS AGRICOLAS LTDA</t>
  </si>
  <si>
    <t>38.301.427/0001-00</t>
  </si>
  <si>
    <t>MVU-056</t>
  </si>
  <si>
    <t>IS000517</t>
  </si>
  <si>
    <t>FOGAO VENANCIO MAXI M6ED6 6 BOCAS</t>
  </si>
  <si>
    <t>MVU-057</t>
  </si>
  <si>
    <t>IS000518</t>
  </si>
  <si>
    <t>FOGAO VENANCIO MAXI M6ED6 6 BOCAS DUPLA</t>
  </si>
  <si>
    <t>IMP-214</t>
  </si>
  <si>
    <t>IS000519</t>
  </si>
  <si>
    <t>DEMOLIDOR MASTER GRADE PICADORA DE DISCO RETO</t>
  </si>
  <si>
    <t>FF IND COM E PREST DE SERVIOS DE IMPLEMENTOS AGRICOLAS LTDA</t>
  </si>
  <si>
    <t>40.730.937/0001-37</t>
  </si>
  <si>
    <t>MVU-053</t>
  </si>
  <si>
    <t>IS000520</t>
  </si>
  <si>
    <t>BEBEDOURO INDUSTRIAL INOX 4 TORNEIRAS 200 LTS</t>
  </si>
  <si>
    <t>IMP-212</t>
  </si>
  <si>
    <t>IS000521</t>
  </si>
  <si>
    <t>TAN2128827AB</t>
  </si>
  <si>
    <t>COMBOIO REBOQUE ANDRADE</t>
  </si>
  <si>
    <t>IS000522</t>
  </si>
  <si>
    <t>BENFEITORIA EM IMOVEL RURAL GALPAO MOEGA FAZ. SANTO EXPEDITO</t>
  </si>
  <si>
    <t>MVU-058</t>
  </si>
  <si>
    <t>IS000523</t>
  </si>
  <si>
    <t>FREEZER GELOPAR GPC-57BR VER C/GRAD</t>
  </si>
  <si>
    <t>IMP-224</t>
  </si>
  <si>
    <t>IS000524</t>
  </si>
  <si>
    <t>TAN2128826AB</t>
  </si>
  <si>
    <t>COMBOIO REBOQUE ANDRADE (LUBRIFICACAO)</t>
  </si>
  <si>
    <t>EQU-209</t>
  </si>
  <si>
    <t>IS000525</t>
  </si>
  <si>
    <t>EQU-211</t>
  </si>
  <si>
    <t>IS000526</t>
  </si>
  <si>
    <t>MAQ-011</t>
  </si>
  <si>
    <t>IS000527</t>
  </si>
  <si>
    <t>HBZN0865JMAF08574</t>
  </si>
  <si>
    <t>MOTONIVELADORA CASE MOD 865B</t>
  </si>
  <si>
    <t>TECHNICO COMERCIAL DE EQUIPAMENTOS SA</t>
  </si>
  <si>
    <t>13.330.634/0001-54</t>
  </si>
  <si>
    <t>MAQ-012</t>
  </si>
  <si>
    <t>IS000528</t>
  </si>
  <si>
    <t>HBZNW20FKMAE12965</t>
  </si>
  <si>
    <t>PA CARREGADEIRA CASE MOD W20F</t>
  </si>
  <si>
    <t>VEI-050</t>
  </si>
  <si>
    <t>IS000529</t>
  </si>
  <si>
    <t>RDK4F62</t>
  </si>
  <si>
    <t>8AJDA3CD0M1821595</t>
  </si>
  <si>
    <t>CAMINHONETE TOYOTA HILUX TOYOTA CD DIESEL 4x4 STD POWER PACK</t>
  </si>
  <si>
    <t>Toyota do Brasil Ltda</t>
  </si>
  <si>
    <t>59.104.760/0011-63</t>
  </si>
  <si>
    <t>IMP-219</t>
  </si>
  <si>
    <t>IS000530</t>
  </si>
  <si>
    <t>EQUIPAMENTO ROLLON MOD G-25</t>
  </si>
  <si>
    <t>IMAVI INDUSTRIA E COMERCIO EIRELI</t>
  </si>
  <si>
    <t>55.568.919/0001-78</t>
  </si>
  <si>
    <t>IMP-220</t>
  </si>
  <si>
    <t>IS000531</t>
  </si>
  <si>
    <t>IMP-221</t>
  </si>
  <si>
    <t>IS000532</t>
  </si>
  <si>
    <t>IMP-222</t>
  </si>
  <si>
    <t>IS000533</t>
  </si>
  <si>
    <t>IMP-223</t>
  </si>
  <si>
    <t>IS000534</t>
  </si>
  <si>
    <t>EQU-213</t>
  </si>
  <si>
    <t>IS000535</t>
  </si>
  <si>
    <t>SOPRADOR BG86</t>
  </si>
  <si>
    <t>EQU-214</t>
  </si>
  <si>
    <t>IS000536</t>
  </si>
  <si>
    <t>LAVADORA DE ALTA PRESSAO KARCHER HD585</t>
  </si>
  <si>
    <t>LEM COMERCIO DE EPIS LTDA</t>
  </si>
  <si>
    <t>13.168.084/0001-19</t>
  </si>
  <si>
    <t>EQU-212</t>
  </si>
  <si>
    <t>IS000537</t>
  </si>
  <si>
    <t>EQU-215</t>
  </si>
  <si>
    <t>IS000538</t>
  </si>
  <si>
    <t>CAIXA D'AGUA METALICA TUBULAR 50M³</t>
  </si>
  <si>
    <t>GILMAR A KOLLN EIREI</t>
  </si>
  <si>
    <t>MVU-068</t>
  </si>
  <si>
    <t>IS000539</t>
  </si>
  <si>
    <t>REFRIGERADOR ELETROLUX 260 LT</t>
  </si>
  <si>
    <t>EQU-223</t>
  </si>
  <si>
    <t>IS000540</t>
  </si>
  <si>
    <t>ROCADEIRA A COMBUSTAO STIHL FS 290 DM 300-3</t>
  </si>
  <si>
    <t>IMP-225</t>
  </si>
  <si>
    <t>IS000541</t>
  </si>
  <si>
    <t>CARRETA AGRICOLA TRITON 05 TON</t>
  </si>
  <si>
    <t>EQU-236</t>
  </si>
  <si>
    <t>IS000542</t>
  </si>
  <si>
    <t>CORRENTE NIVELADORA MODELO 10</t>
  </si>
  <si>
    <t>EQU-219</t>
  </si>
  <si>
    <t>IS000543</t>
  </si>
  <si>
    <t>MOTOBOMBA BRANCO B4T 706 3POL</t>
  </si>
  <si>
    <t>MVU-059</t>
  </si>
  <si>
    <t>IS000544</t>
  </si>
  <si>
    <t>AMASSADEIRA RAPIDA G.PANIZ SR-15 SS 220V</t>
  </si>
  <si>
    <t>MVU-060</t>
  </si>
  <si>
    <t>IS000545</t>
  </si>
  <si>
    <t>MESA INOX 430 1,40X70 C/ PRAT EPOXI INNAL</t>
  </si>
  <si>
    <t>EQU-241</t>
  </si>
  <si>
    <t>IS000546</t>
  </si>
  <si>
    <t>GERADOR MWM 33KVA D229-3</t>
  </si>
  <si>
    <t>MVU-061</t>
  </si>
  <si>
    <t>IS000547</t>
  </si>
  <si>
    <t>FORNO P/FOGAO BRASMAQ MED BPT. INOX MASTER</t>
  </si>
  <si>
    <t>BRASIMAQ COMERCIO DE MAQUINAS E EQUIPAMENTOS LTDA</t>
  </si>
  <si>
    <t>23.864.165/0001-07</t>
  </si>
  <si>
    <t>MVU-062</t>
  </si>
  <si>
    <t>IS000548</t>
  </si>
  <si>
    <t>FOGAO IND ITAJOBI 8BC 30X30 4QS/4QD MASTER</t>
  </si>
  <si>
    <t>MVU-063</t>
  </si>
  <si>
    <t>IS000549</t>
  </si>
  <si>
    <t>FORNO TURBO ELETRICO G-PANIZ FTE300 - 380V</t>
  </si>
  <si>
    <t>MVU-064</t>
  </si>
  <si>
    <t>IS000550</t>
  </si>
  <si>
    <t>MESA METAL M180</t>
  </si>
  <si>
    <t>MVU-065</t>
  </si>
  <si>
    <t>IS000551</t>
  </si>
  <si>
    <t>CAMARA DE CRESCIMENTO IMECA PAO FRANCES 58X70cm</t>
  </si>
  <si>
    <t>MVU-066</t>
  </si>
  <si>
    <t>IS000552</t>
  </si>
  <si>
    <t>FREEZER HORIZONTAL METALFRIO 546 LTS DA550B 220V</t>
  </si>
  <si>
    <t>MVU-067</t>
  </si>
  <si>
    <t>IS000553</t>
  </si>
  <si>
    <t>CILINDRO DE MASSA LAMINADOR GASTROMAQ CL300</t>
  </si>
  <si>
    <t>VEI-052</t>
  </si>
  <si>
    <t>IS000554</t>
  </si>
  <si>
    <t>IUH1J17</t>
  </si>
  <si>
    <t>9BSR6X400D3829755</t>
  </si>
  <si>
    <t>CAMINHAO SCANIA R 440 A 6X4</t>
  </si>
  <si>
    <t>MARCOS A. BENVEGNU &amp; CIA LTDA</t>
  </si>
  <si>
    <t>05.132.948/0001-14</t>
  </si>
  <si>
    <t>EQU-256</t>
  </si>
  <si>
    <t>IS000555</t>
  </si>
  <si>
    <t>SERRA POLICORTE BOSCH 14 220V GCO 14-24 2400W</t>
  </si>
  <si>
    <t>EQU-216</t>
  </si>
  <si>
    <t>IS000556</t>
  </si>
  <si>
    <t>BALANCA RODOVIARIA 950I 36X3,2M 120T METALICA</t>
  </si>
  <si>
    <t>TOLEDO DO BRASIL INDUSTRIA DE BALAN LTDA.</t>
  </si>
  <si>
    <t>59.704.510/0001-92</t>
  </si>
  <si>
    <t>EQU-217</t>
  </si>
  <si>
    <t>IS000557</t>
  </si>
  <si>
    <t>EQU-247</t>
  </si>
  <si>
    <t>IS000558</t>
  </si>
  <si>
    <t>ROCADEIRA A COMBUSTAO STIHL FS 290</t>
  </si>
  <si>
    <t>MVU-069</t>
  </si>
  <si>
    <t>IS000559</t>
  </si>
  <si>
    <t>IS000560</t>
  </si>
  <si>
    <t>MAQUINA DE CORTE DE PLASMA VONDER CUT-45</t>
  </si>
  <si>
    <t>EQU-257</t>
  </si>
  <si>
    <t>IS000561</t>
  </si>
  <si>
    <t>SOPRADOR STIHL BGA 86</t>
  </si>
  <si>
    <t>EQU-258</t>
  </si>
  <si>
    <t>IS000562</t>
  </si>
  <si>
    <t>COMPRESSOR DE AR PRESSURE 60PCM-425LTS</t>
  </si>
  <si>
    <t>IMPERIAL COM. DE PARAF. FER. E MAQ. LTDA</t>
  </si>
  <si>
    <t>IMP-229</t>
  </si>
  <si>
    <t>IS000563</t>
  </si>
  <si>
    <t>BRU-CB10740</t>
  </si>
  <si>
    <t>CAMPOESTE MAQUINAS BAHIA LTDA</t>
  </si>
  <si>
    <t>EQU-259</t>
  </si>
  <si>
    <t>IS000564</t>
  </si>
  <si>
    <t>PRENSA HIDRAULICA 30 TONELADAS</t>
  </si>
  <si>
    <t>IMP-230</t>
  </si>
  <si>
    <t>IS000565</t>
  </si>
  <si>
    <t>BRU-CB10741</t>
  </si>
  <si>
    <t>MVU-070</t>
  </si>
  <si>
    <t>IS000566</t>
  </si>
  <si>
    <t>TV LG SMART 65 POL UHD 4K</t>
  </si>
  <si>
    <t>SATELITAL BRASIL COMERCIO LTDA</t>
  </si>
  <si>
    <t>01.336.140/0006-02</t>
  </si>
  <si>
    <t>IMP-227</t>
  </si>
  <si>
    <t>IS000567</t>
  </si>
  <si>
    <t>0120530005--448</t>
  </si>
  <si>
    <t>PERFURADOR DE SOLO TATU 9 E 12 BROCAS</t>
  </si>
  <si>
    <t>MVU-071</t>
  </si>
  <si>
    <t>IS000568</t>
  </si>
  <si>
    <t>SELF-SERVICE TERMICO VENANCIO 8 CUBAS 220V</t>
  </si>
  <si>
    <t>EQI-089</t>
  </si>
  <si>
    <t>IS000569</t>
  </si>
  <si>
    <t>NOTEBOOK VAIO FE15 CORE I7 8GB SSD 512</t>
  </si>
  <si>
    <t>EQI-084</t>
  </si>
  <si>
    <t>IS000570</t>
  </si>
  <si>
    <t>REP CONTROL ID - IDCLASS BIO PROX ASK SSA</t>
  </si>
  <si>
    <t>ERICA MARIA BARBOSA DE OLIVEIRA</t>
  </si>
  <si>
    <t>31.750.676/0001-26</t>
  </si>
  <si>
    <t>EQI-085</t>
  </si>
  <si>
    <t>IS000571</t>
  </si>
  <si>
    <t>EQI-086</t>
  </si>
  <si>
    <t>IS000572</t>
  </si>
  <si>
    <t>IS000573</t>
  </si>
  <si>
    <t>MAQUINA INVERSORA DE SOLDA ESAB 420A RUSTLER 455I MIG/MAG/MM 4X4</t>
  </si>
  <si>
    <t>EQI-088</t>
  </si>
  <si>
    <t>IS000574</t>
  </si>
  <si>
    <t>EQU-221</t>
  </si>
  <si>
    <t>IS000575</t>
  </si>
  <si>
    <t>MOTOBOMBA BRANCO DIE 7CV AUTO 3 705CF</t>
  </si>
  <si>
    <t>KSMR5.COM DIGITAL LTDA</t>
  </si>
  <si>
    <t>38.089.670/0002-80</t>
  </si>
  <si>
    <t>EQU-207</t>
  </si>
  <si>
    <t>IS000576</t>
  </si>
  <si>
    <t>MAQUINA PRE LIMPEZA DE GRAOS MODELO MPL-120</t>
  </si>
  <si>
    <t>Kepler Weber Industrial S/A</t>
  </si>
  <si>
    <t>87.288.940/0031-21</t>
  </si>
  <si>
    <t>EQU-208</t>
  </si>
  <si>
    <t>IS000577</t>
  </si>
  <si>
    <t>SILO METALICO ELEVADO DE CEREAIS MOD 2412-E</t>
  </si>
  <si>
    <t>EQU-220</t>
  </si>
  <si>
    <t>IS000578</t>
  </si>
  <si>
    <t>MAQUINA PRENSAGEM MANGUEIRA PE80 TF 380V TRIF</t>
  </si>
  <si>
    <t>EQU-222</t>
  </si>
  <si>
    <t>IS000579</t>
  </si>
  <si>
    <t>MAQUINA RETIFICADORA SOLDA BALMER BR400A</t>
  </si>
  <si>
    <t>EQU-238</t>
  </si>
  <si>
    <t>IS000580</t>
  </si>
  <si>
    <t>CORTADOR GRAMA BRANCO B4T-6000 A GASOLINA</t>
  </si>
  <si>
    <t>EQU-328</t>
  </si>
  <si>
    <t>IS000581</t>
  </si>
  <si>
    <t>PIVOT CENTRAL 14 TORRES FOCKINK SERIE 82849</t>
  </si>
  <si>
    <t>EQU-329</t>
  </si>
  <si>
    <t>IS000582</t>
  </si>
  <si>
    <t>PIVOT CENTRAL 14 TORRES FOCKINK SERIE 82847</t>
  </si>
  <si>
    <t>EQU-330</t>
  </si>
  <si>
    <t>IS000583</t>
  </si>
  <si>
    <t>PIVOT CENTRAL 14 TORRES FOCKINK SERIE 82845</t>
  </si>
  <si>
    <t>EQU-331</t>
  </si>
  <si>
    <t>IS000584</t>
  </si>
  <si>
    <t>PIVOT CENTRAL 14 TORRES FOCKINK SERIE 82850</t>
  </si>
  <si>
    <t>EQU-332</t>
  </si>
  <si>
    <t>IS000585</t>
  </si>
  <si>
    <t>PIVOT CENTRAL 14 TORRES FOCKINK SERIE 82844</t>
  </si>
  <si>
    <t>EQU-333</t>
  </si>
  <si>
    <t>IS000586</t>
  </si>
  <si>
    <t>PIVOT CENTRAL 14 TORRES FOCKINK SERIE 82848</t>
  </si>
  <si>
    <t>EQU-334</t>
  </si>
  <si>
    <t>IS000587</t>
  </si>
  <si>
    <t>EQU-335</t>
  </si>
  <si>
    <t>IS000588</t>
  </si>
  <si>
    <t>PIVOT CENTRAL 14 TORRES FOCKINK SERIE 82846</t>
  </si>
  <si>
    <t>EQU-336</t>
  </si>
  <si>
    <t>IS000589</t>
  </si>
  <si>
    <t>EQU-337</t>
  </si>
  <si>
    <t>IS000590</t>
  </si>
  <si>
    <t>PIVOT CENTRAL 14 TORRES FOCKINK SERIE 82854</t>
  </si>
  <si>
    <t>IMP-228</t>
  </si>
  <si>
    <t>IS000591</t>
  </si>
  <si>
    <t>0102330303-9305</t>
  </si>
  <si>
    <t>GRADE NIVELADORA TATU GNFM/E 72X22 COM PNEUS</t>
  </si>
  <si>
    <t>IMP-233</t>
  </si>
  <si>
    <t>IS000592</t>
  </si>
  <si>
    <t>RDP7D85</t>
  </si>
  <si>
    <t>94BL0262MNR060657</t>
  </si>
  <si>
    <t>REBOQUE DOLLY FACCHINI 02 EIXOS CAMBAO RIGIDO</t>
  </si>
  <si>
    <t>FACCHINI S.A</t>
  </si>
  <si>
    <t>03.509.978/0037-82</t>
  </si>
  <si>
    <t>IMP-234</t>
  </si>
  <si>
    <t>IS000593</t>
  </si>
  <si>
    <t>RDP7H31</t>
  </si>
  <si>
    <t>94BB0902MNR060655</t>
  </si>
  <si>
    <t>CARRETA SEMI REBOQUE RODOTREM BASCULANTE 35M3 02</t>
  </si>
  <si>
    <t>FACCHINI S.A.</t>
  </si>
  <si>
    <t>IMP-235</t>
  </si>
  <si>
    <t>IS000594</t>
  </si>
  <si>
    <t>RDP4G59</t>
  </si>
  <si>
    <t>94BB0902MNR060656</t>
  </si>
  <si>
    <t>MVU-075</t>
  </si>
  <si>
    <t>IS000595</t>
  </si>
  <si>
    <t>MVU-077</t>
  </si>
  <si>
    <t>IS000596</t>
  </si>
  <si>
    <t>AR-CONDICIONADO SPLIT GREE 12000 GW12QC ECO GARDEN VERTICAL 220V</t>
  </si>
  <si>
    <t>ALMIR BATISTA LIMA JUNIOR 05198469580</t>
  </si>
  <si>
    <t>44.272.083/0001-43</t>
  </si>
  <si>
    <t>MVU-078</t>
  </si>
  <si>
    <t>IS000597</t>
  </si>
  <si>
    <t>MVU-079</t>
  </si>
  <si>
    <t>IS000598</t>
  </si>
  <si>
    <t>AR-CONDICIONADO SPLIT GREE 9000QB ECO GARDEN VERTICAL 220V</t>
  </si>
  <si>
    <t>MVU-080</t>
  </si>
  <si>
    <t>IS000599</t>
  </si>
  <si>
    <t>MVU-081</t>
  </si>
  <si>
    <t>IS000600</t>
  </si>
  <si>
    <t>PUL-012</t>
  </si>
  <si>
    <t>IS000601</t>
  </si>
  <si>
    <t>PRCYP350JMPC05246</t>
  </si>
  <si>
    <t>PULVERIZADOR AUTOPROPELIDO CASE IH PATRIOT 350</t>
  </si>
  <si>
    <t>TRA-051</t>
  </si>
  <si>
    <t>IS000602</t>
  </si>
  <si>
    <t>HCCZ3C30AMCF27446</t>
  </si>
  <si>
    <t>VEI-053</t>
  </si>
  <si>
    <t>IS000603</t>
  </si>
  <si>
    <t>RPA8J92</t>
  </si>
  <si>
    <t>9BM979026NB254567</t>
  </si>
  <si>
    <t>CAMINHAO MERCEDES BENZ ACCELO 815 COM CABINE</t>
  </si>
  <si>
    <t>59.104.273/0001-28</t>
  </si>
  <si>
    <t>VEI-054</t>
  </si>
  <si>
    <t>IS000604</t>
  </si>
  <si>
    <t>RPD5H47</t>
  </si>
  <si>
    <t>9BM958164NB253467</t>
  </si>
  <si>
    <t>CAMINHAO MERCEDES BENZ ATEGO 2426 COM CABINE</t>
  </si>
  <si>
    <t>59.104.273/0001-29</t>
  </si>
  <si>
    <t>VEI-056</t>
  </si>
  <si>
    <t>IS000605</t>
  </si>
  <si>
    <t>RDQ6D01</t>
  </si>
  <si>
    <t>9BD281A22NYW92744</t>
  </si>
  <si>
    <t>PICAPE FIAT STRADA ENDURANCE CP 1.4</t>
  </si>
  <si>
    <t>FCA FIAT CHRYSLER AUTOMOVEIS BRASIL LTDA</t>
  </si>
  <si>
    <t>16.701.716/0001-56</t>
  </si>
  <si>
    <t>EQU-227</t>
  </si>
  <si>
    <t>IS000606</t>
  </si>
  <si>
    <t>PIVOT CENTRAL VALLEY SERIE 13683</t>
  </si>
  <si>
    <t>EQU-228</t>
  </si>
  <si>
    <t>IS000607</t>
  </si>
  <si>
    <t>PIVOT CENTRAL VALLEY SERIE 13684</t>
  </si>
  <si>
    <t>EQU-229</t>
  </si>
  <si>
    <t>IS000608</t>
  </si>
  <si>
    <t>PIVOT CENTRAL VALLEY SERIE 13685</t>
  </si>
  <si>
    <t>EQU-230</t>
  </si>
  <si>
    <t>IS000609</t>
  </si>
  <si>
    <t>PIVOT CENTRAL VALLEY SERIE 13686</t>
  </si>
  <si>
    <t>EQU-231</t>
  </si>
  <si>
    <t>IS000610</t>
  </si>
  <si>
    <t>PIVOT CENTRAL VALLEY SERIE 13687</t>
  </si>
  <si>
    <t>EQU-232</t>
  </si>
  <si>
    <t>IS000611</t>
  </si>
  <si>
    <t>PIVOT CENTRAL VALLEY SERIE 13688</t>
  </si>
  <si>
    <t>EQU-233</t>
  </si>
  <si>
    <t>IS000612</t>
  </si>
  <si>
    <t>PIVOT CENTRAL VALLEY SERIE 13689</t>
  </si>
  <si>
    <t>EQU-234</t>
  </si>
  <si>
    <t>IS000613</t>
  </si>
  <si>
    <t>PIVOT CENTRAL VALLEY SERIE 13690</t>
  </si>
  <si>
    <t>IS000614</t>
  </si>
  <si>
    <t>EQI-082</t>
  </si>
  <si>
    <t>IS000615</t>
  </si>
  <si>
    <t>DESKTOP DELL SERVIDOR PRECISION 3450 SFF I7 16GB 512SSD</t>
  </si>
  <si>
    <t>LUCIANO WIBRANTZ LTDA</t>
  </si>
  <si>
    <t>EQI-083</t>
  </si>
  <si>
    <t>IS000616</t>
  </si>
  <si>
    <t>NOBREAK SMS ATRIUM RACK AR3000BI</t>
  </si>
  <si>
    <t>EQU-210</t>
  </si>
  <si>
    <t>IS000617</t>
  </si>
  <si>
    <t>CABINE SUPLEMENTAR 06 LUGARES</t>
  </si>
  <si>
    <t>JOSE FERNANDO PEDERSEN ME</t>
  </si>
  <si>
    <t>54.855.846/0001-32</t>
  </si>
  <si>
    <t>EQU-224</t>
  </si>
  <si>
    <t>IS000618</t>
  </si>
  <si>
    <t>FERRAMENTAS GERAIS COMERCIO IMP DE FERRAM. E MAQUINAS LTDA</t>
  </si>
  <si>
    <t>92.664.028/0038-33</t>
  </si>
  <si>
    <t>EQU-226</t>
  </si>
  <si>
    <t>IS000619</t>
  </si>
  <si>
    <t>GERADOR MWM 84KVA</t>
  </si>
  <si>
    <t>FEDERAL EQUIPAMENTOS LTDA</t>
  </si>
  <si>
    <t>03.684.019/0001-92</t>
  </si>
  <si>
    <t>MVU-072</t>
  </si>
  <si>
    <t>IS000620</t>
  </si>
  <si>
    <t>CLIMATIZADOR EVAPORATIVO P7 SUPERARE POLO CLIMA</t>
  </si>
  <si>
    <t>ANDREATI &amp; ZARAMELLO LTDA- ME</t>
  </si>
  <si>
    <t>21.977.034/0002-91</t>
  </si>
  <si>
    <t>MVU-073</t>
  </si>
  <si>
    <t>IS000621</t>
  </si>
  <si>
    <t>MVU-074</t>
  </si>
  <si>
    <t>IS000622</t>
  </si>
  <si>
    <t>VEI-057</t>
  </si>
  <si>
    <t>IS000623</t>
  </si>
  <si>
    <t>RPA2G81</t>
  </si>
  <si>
    <t>9BM958134NB255783</t>
  </si>
  <si>
    <t>CAMINHAO MERCEDES BENZ ATEGO 1419 COM CABINE</t>
  </si>
  <si>
    <t>EQU-260</t>
  </si>
  <si>
    <t>IS000624</t>
  </si>
  <si>
    <t>EQU-261</t>
  </si>
  <si>
    <t>IS000625</t>
  </si>
  <si>
    <t>PODADOR DE CERCA VIVA STIHL</t>
  </si>
  <si>
    <t>EQI-090</t>
  </si>
  <si>
    <t>IS000626</t>
  </si>
  <si>
    <t>IMPRESSORA MULTIFUNCIONAL XEROX B205</t>
  </si>
  <si>
    <t>VIKINGS DIGITAL REPRESENTACAO COMERCIAL E VENDA DE PRODUTOS</t>
  </si>
  <si>
    <t>24.804.709/0001-08</t>
  </si>
  <si>
    <t>EQU-242</t>
  </si>
  <si>
    <t>IS000627</t>
  </si>
  <si>
    <t>MAQUINA DE SOLDA ESAB MIG SMASHWELD 300I</t>
  </si>
  <si>
    <t>EQU-237</t>
  </si>
  <si>
    <t>IS000628</t>
  </si>
  <si>
    <t>MOTOSSERRA STIHL MS 382 40CM 36RS</t>
  </si>
  <si>
    <t>EQU-245</t>
  </si>
  <si>
    <t>IS000629</t>
  </si>
  <si>
    <t>CARROCERIA COM ASSOALHO NAVAL ATEGO 1419</t>
  </si>
  <si>
    <t>RAFAEL SMIDERLE</t>
  </si>
  <si>
    <t>28.371.007/0001-39</t>
  </si>
  <si>
    <t>EQU-240</t>
  </si>
  <si>
    <t>IS000630</t>
  </si>
  <si>
    <t>VEI-055</t>
  </si>
  <si>
    <t>IS000631</t>
  </si>
  <si>
    <t>9C2KC2500NR019197</t>
  </si>
  <si>
    <t>LUZ MOTOS, COMERCIO, SERVICOS E PECAS LTDA.</t>
  </si>
  <si>
    <t>08.074.058/0001-91</t>
  </si>
  <si>
    <t>EQU-239</t>
  </si>
  <si>
    <t>IS000632</t>
  </si>
  <si>
    <t>CHAVE DE IMPACTO DEWALT 20V</t>
  </si>
  <si>
    <t>MVU-083</t>
  </si>
  <si>
    <t>IS000633</t>
  </si>
  <si>
    <t>BEBEDOURO IND INOX 200 LTS 4 TORNEIRAS 220V</t>
  </si>
  <si>
    <t>EQU-244</t>
  </si>
  <si>
    <t>IS000634</t>
  </si>
  <si>
    <t>CARROCERIA COM ASSOALHO NAVAL ACCELO 815</t>
  </si>
  <si>
    <t>IMP-236</t>
  </si>
  <si>
    <t>IS000635</t>
  </si>
  <si>
    <t>MAX CALDA 3500L MEPEL MXC 1ERS A15</t>
  </si>
  <si>
    <t>MEPEL MAQUINAS E EQUIPAMENTOS LTDA</t>
  </si>
  <si>
    <t>90.157.108/0001-85</t>
  </si>
  <si>
    <t>EQU-262</t>
  </si>
  <si>
    <t>IS000636</t>
  </si>
  <si>
    <t>MAQUINA DE MEIO FIO PAVIMAX MD-250 S</t>
  </si>
  <si>
    <t>PAVIMAK INDUSTRIA E COMERCIO DE MAQUINAS LTDA</t>
  </si>
  <si>
    <t>05.572.063/0001-36</t>
  </si>
  <si>
    <t>IMP-237</t>
  </si>
  <si>
    <t>IS000637</t>
  </si>
  <si>
    <t>INJETOR FERTILIZ. INJEFER D VALLEY C/1</t>
  </si>
  <si>
    <t>VALMONT INDUSTRIA E COMERCIO LTDA</t>
  </si>
  <si>
    <t>01.669.679/0002-50</t>
  </si>
  <si>
    <t>VEI-058</t>
  </si>
  <si>
    <t>IS000638</t>
  </si>
  <si>
    <t>9C2KC2500NR049862</t>
  </si>
  <si>
    <t>EQU-246</t>
  </si>
  <si>
    <t>IS000639</t>
  </si>
  <si>
    <t>MEDIDOR DE UMIDADE GEHAKA MODELO G650</t>
  </si>
  <si>
    <t>DELTA MANUTENCAO COMERCIO E REPRESENTACAO LTDA</t>
  </si>
  <si>
    <t>17.321.807/0001-29</t>
  </si>
  <si>
    <t>EQU-243</t>
  </si>
  <si>
    <t>IS000640</t>
  </si>
  <si>
    <t>ZEFERINO &amp; CIA LTDA</t>
  </si>
  <si>
    <t>02.023.193/0001-21</t>
  </si>
  <si>
    <t>EQU-254</t>
  </si>
  <si>
    <t>IS000641</t>
  </si>
  <si>
    <t>BALANCA PLATAFORMA DIGITAL 300 KG</t>
  </si>
  <si>
    <t>MVU-084</t>
  </si>
  <si>
    <t>IS000642</t>
  </si>
  <si>
    <t>AR CONDICIONADO SPLIT 18.000 BTUS</t>
  </si>
  <si>
    <t>MVU-085</t>
  </si>
  <si>
    <t>IS000643</t>
  </si>
  <si>
    <t>REFRIGERADOR HORIZONTAL 532 LTS</t>
  </si>
  <si>
    <t>PLA-010</t>
  </si>
  <si>
    <t>IS000644</t>
  </si>
  <si>
    <t>PSUP02-0406</t>
  </si>
  <si>
    <t xml:space="preserve">PLANTADEIRA SEMEADORA ADUBADORA DE ARRASTO VENCE TUDO PAMPEANA </t>
  </si>
  <si>
    <t>INDUSTRIA DE IMPLEMENTOS AGRICOLAS VENCE TUDO IMPORTACAO E E</t>
  </si>
  <si>
    <t>92.544.196/0001-01</t>
  </si>
  <si>
    <t>EQU-253</t>
  </si>
  <si>
    <t>IS000645</t>
  </si>
  <si>
    <t>CARREGADOR DE BATERIA BIVOLT CBI 800 VONDER</t>
  </si>
  <si>
    <t>MVU-086</t>
  </si>
  <si>
    <t>IS000646</t>
  </si>
  <si>
    <t>AR CONDICIONADO SPLIT GREE ECO GARDEN 18.000</t>
  </si>
  <si>
    <t>EQU-255</t>
  </si>
  <si>
    <t>IS000647</t>
  </si>
  <si>
    <t>TOLEDO DO BRASIL INDUSTRIA DE BALAN LTDA</t>
  </si>
  <si>
    <t>MVU-087</t>
  </si>
  <si>
    <t>IS000648</t>
  </si>
  <si>
    <t>AR CONDICIONADO SPLIT 9000 BTUS</t>
  </si>
  <si>
    <t>A R DOS SANTOS LIMA LTDA</t>
  </si>
  <si>
    <t>24.424.885/0001-14</t>
  </si>
  <si>
    <t>MAQ-013</t>
  </si>
  <si>
    <t>IS000649</t>
  </si>
  <si>
    <t>HBZNW20FJNAE13901</t>
  </si>
  <si>
    <t>EQU-263</t>
  </si>
  <si>
    <t>IS000650</t>
  </si>
  <si>
    <t>CORTADOR DE GRAMA MAKITA 460MM GASOLINA</t>
  </si>
  <si>
    <t>FEMAKBRASIL COM. DE MAQUINAS E FERRAMENTAS EIRELLI</t>
  </si>
  <si>
    <t>27.917.473/0001-04</t>
  </si>
  <si>
    <t>EQU-265</t>
  </si>
  <si>
    <t>IS000651</t>
  </si>
  <si>
    <t>ROCADEIRA DE ARRASTO SANTA ISABEL 2 FACAS</t>
  </si>
  <si>
    <t>MVU-090</t>
  </si>
  <si>
    <t>IS000652</t>
  </si>
  <si>
    <t>MVU-091</t>
  </si>
  <si>
    <t>IS000653</t>
  </si>
  <si>
    <t>MVU-092</t>
  </si>
  <si>
    <t>IS000654</t>
  </si>
  <si>
    <t>MVU-088</t>
  </si>
  <si>
    <t>IS000655</t>
  </si>
  <si>
    <t>EQU-266</t>
  </si>
  <si>
    <t>IS000656</t>
  </si>
  <si>
    <t>LAVADORA DE ALTA PRESSAO STIHL RE110</t>
  </si>
  <si>
    <t>EQU-264</t>
  </si>
  <si>
    <t>IS000657</t>
  </si>
  <si>
    <t>CARREGADOR BATERIA BIVOLT CIB 800 VONDER</t>
  </si>
  <si>
    <t>JF Com. Parafusos Ferramentas Maquinas Ltda</t>
  </si>
  <si>
    <t>MVU-093</t>
  </si>
  <si>
    <t>IS000658</t>
  </si>
  <si>
    <t>FOGAO INDUSTRIAL 06 BOCAS</t>
  </si>
  <si>
    <t>MVU-094</t>
  </si>
  <si>
    <t>IS000659</t>
  </si>
  <si>
    <t>FORNO TURBO GAS 10 MONO 220V FTG300</t>
  </si>
  <si>
    <t>MVU-099</t>
  </si>
  <si>
    <t>IS000660</t>
  </si>
  <si>
    <t>FREEZER HORIZ GELOPAR GHBS 510BR 2 PORTAS</t>
  </si>
  <si>
    <t>TRA-052</t>
  </si>
  <si>
    <t>IS000661</t>
  </si>
  <si>
    <t>HCCZFA10VNCJ40028</t>
  </si>
  <si>
    <t>TRATOR AGRICOLA DE RODAS CASE IH FARMALL 100</t>
  </si>
  <si>
    <t>TRA-053</t>
  </si>
  <si>
    <t>IS000662</t>
  </si>
  <si>
    <t>HCCZFA10LNCJ39805</t>
  </si>
  <si>
    <t>TRA-054</t>
  </si>
  <si>
    <t>IS000663</t>
  </si>
  <si>
    <t>HCCZFA10PNC40136</t>
  </si>
  <si>
    <t>TRA-055</t>
  </si>
  <si>
    <t>IS000664</t>
  </si>
  <si>
    <t>HCCZFA10VNCJ39834</t>
  </si>
  <si>
    <t>TRA-056</t>
  </si>
  <si>
    <t>IS000665</t>
  </si>
  <si>
    <t>HCCZGA10CNCJ40134</t>
  </si>
  <si>
    <t>TRA-057</t>
  </si>
  <si>
    <t>IS000666</t>
  </si>
  <si>
    <t>HCCZ3F11PNCG41786</t>
  </si>
  <si>
    <t>TRATOR AGRICOLA DE RODAS CASE IH FARMALL 110</t>
  </si>
  <si>
    <t>TRA-058</t>
  </si>
  <si>
    <t>IS000667</t>
  </si>
  <si>
    <t>HCCZ3C15HNCF36073</t>
  </si>
  <si>
    <t>TRATOR AGRICOLA DE RODAS CASE IH PUMA 215</t>
  </si>
  <si>
    <t>TRA-059</t>
  </si>
  <si>
    <t>IS000668</t>
  </si>
  <si>
    <t>HCCZFA10KNCJ39859</t>
  </si>
  <si>
    <t>TRA-060</t>
  </si>
  <si>
    <t>IS000669</t>
  </si>
  <si>
    <t>HCCZFA10KNCJ39800</t>
  </si>
  <si>
    <t>TRA-061</t>
  </si>
  <si>
    <t>IS000670</t>
  </si>
  <si>
    <t>HCCZFA10TNCJ40037</t>
  </si>
  <si>
    <t>TRA-062</t>
  </si>
  <si>
    <t>IS000671</t>
  </si>
  <si>
    <t>HCCZFA10TNCJ39826</t>
  </si>
  <si>
    <t>TRA-063</t>
  </si>
  <si>
    <t>IS000672</t>
  </si>
  <si>
    <t>HCCZ3F11JNCG42035</t>
  </si>
  <si>
    <t>TRA-064</t>
  </si>
  <si>
    <t>IS000673</t>
  </si>
  <si>
    <t>HCCZ3F11VNCG41695</t>
  </si>
  <si>
    <t>TRA-065</t>
  </si>
  <si>
    <t>IS000674</t>
  </si>
  <si>
    <t>HCCZ3F11PNCG38200</t>
  </si>
  <si>
    <t>TRA-066</t>
  </si>
  <si>
    <t>IS000675</t>
  </si>
  <si>
    <t>HCCZ3F11TNCG41964</t>
  </si>
  <si>
    <t>TRA-067</t>
  </si>
  <si>
    <t>IS000676</t>
  </si>
  <si>
    <t>HCCZ3C15ENCF37246</t>
  </si>
  <si>
    <t>VEI-062</t>
  </si>
  <si>
    <t>IS000677</t>
  </si>
  <si>
    <t>9C2KC2500NR082031</t>
  </si>
  <si>
    <t>MVU-095</t>
  </si>
  <si>
    <t>IS000678</t>
  </si>
  <si>
    <t>FORNO TURBO GAS G-PANIZ 10 MONO 220V FTG300</t>
  </si>
  <si>
    <t>IMP-241</t>
  </si>
  <si>
    <t>IS000679</t>
  </si>
  <si>
    <t>VT25220023</t>
  </si>
  <si>
    <t>TRITURADOR DE PALHA MORI VT-250</t>
  </si>
  <si>
    <t>Mori Ind. e Com. de Implementos Agricolas Ltda</t>
  </si>
  <si>
    <t>MVU-096</t>
  </si>
  <si>
    <t>IS000680</t>
  </si>
  <si>
    <t>LIQUIDIFICADOR INDUSTRIAL DE 08 LITROS</t>
  </si>
  <si>
    <t>MVU-097</t>
  </si>
  <si>
    <t>IS000681</t>
  </si>
  <si>
    <t>BATEDEIRA INDUSTRIAL DE 10 LITROS</t>
  </si>
  <si>
    <t>MVU-098</t>
  </si>
  <si>
    <t>IS000682</t>
  </si>
  <si>
    <t>FREEZER DE DUAS TAMPAS 534 LITROS</t>
  </si>
  <si>
    <t>VEI-060</t>
  </si>
  <si>
    <t>IS000683</t>
  </si>
  <si>
    <t>RPF9G31</t>
  </si>
  <si>
    <t>8AJDA3CD8N1826402</t>
  </si>
  <si>
    <t>CAMINHONETE TOYOTA HILUX CD DSL POWER PACK</t>
  </si>
  <si>
    <t>59.104.760/0005-15</t>
  </si>
  <si>
    <t>IS000684</t>
  </si>
  <si>
    <t>COMPRESSOR DE AR SCROLL 380V</t>
  </si>
  <si>
    <t>TERMOPROL ZANOTTI DO BRASIL LTDA</t>
  </si>
  <si>
    <t>88.165.931/0001-90</t>
  </si>
  <si>
    <t>TRA-068</t>
  </si>
  <si>
    <t>IS000685</t>
  </si>
  <si>
    <t>HCCZFA10HNCJ39871</t>
  </si>
  <si>
    <t>EQU-270</t>
  </si>
  <si>
    <t>IS000686</t>
  </si>
  <si>
    <t>CATADOR DE PEDRAS</t>
  </si>
  <si>
    <t>PINHALENSE S/A MAQUINAS AGRICOLAS</t>
  </si>
  <si>
    <t>MVU-101</t>
  </si>
  <si>
    <t>IS000687</t>
  </si>
  <si>
    <t>EBAZAR.COM.BR. LTDA</t>
  </si>
  <si>
    <t>03.007.331/0010-32</t>
  </si>
  <si>
    <t>MVU-054</t>
  </si>
  <si>
    <t>IS000688</t>
  </si>
  <si>
    <t>FREEZER METALFRIO DA420 220V</t>
  </si>
  <si>
    <t>Rodrigo Bravo - Irmaos Ltda</t>
  </si>
  <si>
    <t>EQU-275</t>
  </si>
  <si>
    <t>IS000689</t>
  </si>
  <si>
    <t>COMPRESSOR DE AR SCHULZ 8,5 50L 2,0 CV C/ RODAS</t>
  </si>
  <si>
    <t>EQU-269</t>
  </si>
  <si>
    <t>IS000690</t>
  </si>
  <si>
    <t xml:space="preserve">ASPIRADOR DE PO VONDER APV2475 75L </t>
  </si>
  <si>
    <t>GURGELMIX MAQUINAS E FERRAMENTAS S.A.</t>
  </si>
  <si>
    <t>29.302.348/0003-87</t>
  </si>
  <si>
    <t>EQU-274</t>
  </si>
  <si>
    <t>IS000691</t>
  </si>
  <si>
    <t>FURADEIRA ELETRICA IMPACTO 5/8 D21570k 1300W 220V</t>
  </si>
  <si>
    <t>EQI-093</t>
  </si>
  <si>
    <t>IS000692</t>
  </si>
  <si>
    <t>DESKTOP OPTIPLEX 3090 MICRO</t>
  </si>
  <si>
    <t>DELL COMPUTADORES DO BRASIL LTDA</t>
  </si>
  <si>
    <t>72.381.189/0010-01</t>
  </si>
  <si>
    <t>IMP-243</t>
  </si>
  <si>
    <t>IS000693</t>
  </si>
  <si>
    <t>PENEIRAO DE SEMENTES AGRO METALI</t>
  </si>
  <si>
    <t>AGRO METALI MAQUINAS E EQUIPAMENTOS AGRICOLAS LTDA</t>
  </si>
  <si>
    <t>44.078.109/0001-17</t>
  </si>
  <si>
    <t>IMP-262</t>
  </si>
  <si>
    <t>IS000694</t>
  </si>
  <si>
    <t>0120070097-0-6</t>
  </si>
  <si>
    <t>GRADE SUPER ARADORA CIVEMASA INTERMEDIARIA</t>
  </si>
  <si>
    <t>EQI-094</t>
  </si>
  <si>
    <t>IS000695</t>
  </si>
  <si>
    <t>COMPUTADOR INTEL PICHAU GAMER I5-10400F GEFORCE GTX 1650 4GB</t>
  </si>
  <si>
    <t>KABUM COMERCIO ELETRONICO S.A</t>
  </si>
  <si>
    <t>05.570.714/0008-25</t>
  </si>
  <si>
    <t>MVU-100</t>
  </si>
  <si>
    <t>IS000696</t>
  </si>
  <si>
    <t>TV SAMSUNG 60 POL 4K CRYSTAL</t>
  </si>
  <si>
    <t>Americanas S.A</t>
  </si>
  <si>
    <t>EQU-279</t>
  </si>
  <si>
    <t>IS000697</t>
  </si>
  <si>
    <t>GERADOR DE ENERGIA 3.5 KVA BRANCO B4T-3500 MONOFASICO</t>
  </si>
  <si>
    <t>MAQ-014</t>
  </si>
  <si>
    <t>IS000698</t>
  </si>
  <si>
    <t>HJSCN6AAJM0004444</t>
  </si>
  <si>
    <t>ESCAVADEIRA DE ESTEIRA R225LVS</t>
  </si>
  <si>
    <t>BMC MAQUINAS, EQUIP. PESADOS, ENGENHARIA E LOCACOES LTDA</t>
  </si>
  <si>
    <t>14.168.536/0001-25</t>
  </si>
  <si>
    <t>MVU-089</t>
  </si>
  <si>
    <t>IS000699</t>
  </si>
  <si>
    <t>EQU-273</t>
  </si>
  <si>
    <t>IS000700</t>
  </si>
  <si>
    <t>TERMOMETRO DIGITAL FAIXA -200 A 1352°C RESOLUCAO 0,1°C</t>
  </si>
  <si>
    <t>MVU-102</t>
  </si>
  <si>
    <t>IS000701</t>
  </si>
  <si>
    <t>AR CONDICIONADO GREE SPLIT 12000</t>
  </si>
  <si>
    <t>EQU-278</t>
  </si>
  <si>
    <t>IS000702</t>
  </si>
  <si>
    <t>EQUIPAMENTO HIDR IMAVI MOD. G-25C/TR. 3º EIXO</t>
  </si>
  <si>
    <t>IMP-244</t>
  </si>
  <si>
    <t>IS000703</t>
  </si>
  <si>
    <t>TANQUE BOMBEIRO 16000L KIT BOMBEIRO</t>
  </si>
  <si>
    <t>EQU-280</t>
  </si>
  <si>
    <t>IS000704</t>
  </si>
  <si>
    <t>BOMBA P/ABASTECIMENTO COMBUSTIVEL 60LT/MIN</t>
  </si>
  <si>
    <t>CASA DOS POSTOS Com.Serv.Mot. Bombas e Pecas Ltda</t>
  </si>
  <si>
    <t>37.330.081/0001-06</t>
  </si>
  <si>
    <t>EQU-281</t>
  </si>
  <si>
    <t>IS000705</t>
  </si>
  <si>
    <t>SOPRADOR TIPO ROOTS R100</t>
  </si>
  <si>
    <t>EQU-282</t>
  </si>
  <si>
    <t>IS000706</t>
  </si>
  <si>
    <t>VEI-061</t>
  </si>
  <si>
    <t>IS000707</t>
  </si>
  <si>
    <t>9C2KC2500NR107484</t>
  </si>
  <si>
    <t>VEI-063</t>
  </si>
  <si>
    <t>IS000708</t>
  </si>
  <si>
    <t>9C2KC2500NR109806</t>
  </si>
  <si>
    <t>MVU-113</t>
  </si>
  <si>
    <t>IS000709</t>
  </si>
  <si>
    <t>POLTRONA LUNA PRETO</t>
  </si>
  <si>
    <t>BMV COMERCIO DE MOVEIS EIRELI</t>
  </si>
  <si>
    <t>34.861.590/0001-69</t>
  </si>
  <si>
    <t>MVU-114</t>
  </si>
  <si>
    <t>IS000710</t>
  </si>
  <si>
    <t>SOFA 3 LUGARES</t>
  </si>
  <si>
    <t>MVU-115</t>
  </si>
  <si>
    <t>IS000711</t>
  </si>
  <si>
    <t>MESA DE MADEIRA</t>
  </si>
  <si>
    <t>MVU-116</t>
  </si>
  <si>
    <t>IS000712</t>
  </si>
  <si>
    <t>CADEIRA CELE</t>
  </si>
  <si>
    <t>MVU-117</t>
  </si>
  <si>
    <t>IS000713</t>
  </si>
  <si>
    <t>MESA DE CENTRO P ESCRITORIO 60X40</t>
  </si>
  <si>
    <t>MVU-118</t>
  </si>
  <si>
    <t>IS000714</t>
  </si>
  <si>
    <t>BANQUETA AGROLINE TIPO X ACO</t>
  </si>
  <si>
    <t>MVU-119</t>
  </si>
  <si>
    <t>IS000715</t>
  </si>
  <si>
    <t>MESA DE ALUMINIO</t>
  </si>
  <si>
    <t>VEI-064</t>
  </si>
  <si>
    <t>IS000716</t>
  </si>
  <si>
    <t>9C2KC2500PR001224</t>
  </si>
  <si>
    <t>MAQ-015</t>
  </si>
  <si>
    <t>IS000717</t>
  </si>
  <si>
    <t>10000108JOB000779</t>
  </si>
  <si>
    <t>ROLO COMPACTADOR DYNAPAC PATA FIXA</t>
  </si>
  <si>
    <t>COEDRA CONSTRUCAO E DRAGAGEM EIRELI</t>
  </si>
  <si>
    <t>30.598.095/0001-58</t>
  </si>
  <si>
    <t>MVU-103</t>
  </si>
  <si>
    <t>IS000718</t>
  </si>
  <si>
    <t>TRA-069</t>
  </si>
  <si>
    <t>IS000719</t>
  </si>
  <si>
    <t>HCCZM340VMCM24647</t>
  </si>
  <si>
    <t>TRATOR AGRICOLA DE RODAS CASE IH MAGNUM 340</t>
  </si>
  <si>
    <t>OSNI NEIVERTH</t>
  </si>
  <si>
    <t>732.133.579-87</t>
  </si>
  <si>
    <t>EQI-095</t>
  </si>
  <si>
    <t>IS000720</t>
  </si>
  <si>
    <t>NOBREAK RACK NHS PREMIUM HOT-SWAP SENOIDAL 3000VA</t>
  </si>
  <si>
    <t>GIGANTEC COMERCIO ELETRONICO EIRELI</t>
  </si>
  <si>
    <t>09.634.457/0002-03</t>
  </si>
  <si>
    <t>EQU-284</t>
  </si>
  <si>
    <t>IS000721</t>
  </si>
  <si>
    <t>MOTOBOMBA HONDA WB30XH 3 POLEGADAS</t>
  </si>
  <si>
    <t>EQI-096</t>
  </si>
  <si>
    <t>IS000722</t>
  </si>
  <si>
    <t>IMPRESSORA XEROX B215</t>
  </si>
  <si>
    <t>E COMERCIO DE SUPRIMENTOS INFORMATICAS LTDA</t>
  </si>
  <si>
    <t>46.529.214/0001-50</t>
  </si>
  <si>
    <t>MVU-106</t>
  </si>
  <si>
    <t>IS000723</t>
  </si>
  <si>
    <t>REFRIGERADOR ELECTROLUX 260L</t>
  </si>
  <si>
    <t>Nosso Lar Lojas de Departamentos Ltda-Lj 11</t>
  </si>
  <si>
    <t>EQU-283</t>
  </si>
  <si>
    <t>IS000724</t>
  </si>
  <si>
    <t>ESMERILHADEIRA 5" 18V 125MM A BATERIA</t>
  </si>
  <si>
    <t>DUPLOR COMERCIO DE FERRAMENTAS INDUSTRIAIS E SERVICOS LTDA</t>
  </si>
  <si>
    <t>10.622.178/0001-28</t>
  </si>
  <si>
    <t>MVU-108</t>
  </si>
  <si>
    <t>IS000725</t>
  </si>
  <si>
    <t>LAVADORA DE ROUPAS ELECTROLUX 220/60</t>
  </si>
  <si>
    <t>LOJA ELECTROLUX COM VIRTUAL DE ELET</t>
  </si>
  <si>
    <t>13.986.197/0002-02</t>
  </si>
  <si>
    <t>MVU-109</t>
  </si>
  <si>
    <t>IS000726</t>
  </si>
  <si>
    <t>FOGAO DE PISO ELECTROLUX 76DXA</t>
  </si>
  <si>
    <t>MVU-110</t>
  </si>
  <si>
    <t>IS000727</t>
  </si>
  <si>
    <t>COIFA PAREDE ELECTROLUX INOX 220/60</t>
  </si>
  <si>
    <t>MVU-111</t>
  </si>
  <si>
    <t>IS000728</t>
  </si>
  <si>
    <t>LAVA LOUCAS ELECTROLUX LP14X 220/60</t>
  </si>
  <si>
    <t>MVU-107</t>
  </si>
  <si>
    <t>IS000729</t>
  </si>
  <si>
    <t>AR CONDICIONADO SPLIT GREE ECO GARDEN 24000BTUS</t>
  </si>
  <si>
    <t>EQU-225</t>
  </si>
  <si>
    <t>IS000730</t>
  </si>
  <si>
    <t>RELOGIO DE PONTO ID CLASS CONTROL BIOMETRICO</t>
  </si>
  <si>
    <t>MVU-104</t>
  </si>
  <si>
    <t>IS000731</t>
  </si>
  <si>
    <t>TV SAMSUNG 65 POL</t>
  </si>
  <si>
    <t>VIA S/A</t>
  </si>
  <si>
    <t>33.041.260/1737-78</t>
  </si>
  <si>
    <t>EQU-286</t>
  </si>
  <si>
    <t>IS000732</t>
  </si>
  <si>
    <t>TRANSFORMADOR TRIF 380-220</t>
  </si>
  <si>
    <t>ROMAGNOLE PRODUTOS ELETRICOS S.A. (TRANSFORMADORES)</t>
  </si>
  <si>
    <t>78.958.717/0016-14</t>
  </si>
  <si>
    <t>MVU-112</t>
  </si>
  <si>
    <t>IS000733</t>
  </si>
  <si>
    <t>REFRIGERADOR ELECTROLUX 240LTS</t>
  </si>
  <si>
    <t>MAQ-017</t>
  </si>
  <si>
    <t>IS000734</t>
  </si>
  <si>
    <t>L232D-0305-11002 CNF</t>
  </si>
  <si>
    <t>EMPILHADEIRA CLARK L30D</t>
  </si>
  <si>
    <t>CLARK MATERIAL HANDLING BRASIL S.A.</t>
  </si>
  <si>
    <t>07.105.510/0001-72</t>
  </si>
  <si>
    <t>MVU-121</t>
  </si>
  <si>
    <t>IS000735</t>
  </si>
  <si>
    <t>AR CONDICIONADO SPLIT ECO G GREE 9000BTUS</t>
  </si>
  <si>
    <t>MVU-122</t>
  </si>
  <si>
    <t>IS000736</t>
  </si>
  <si>
    <t>AR CONDICIONADO SPLIT ECO G GREE 12000BTUS</t>
  </si>
  <si>
    <t>MVU-123</t>
  </si>
  <si>
    <t>IS000737</t>
  </si>
  <si>
    <t>AR CONDICIONADO SPLIT G-TOP GREE 18000BTUS</t>
  </si>
  <si>
    <t>MVU-124</t>
  </si>
  <si>
    <t>IS000738</t>
  </si>
  <si>
    <t>AR CONDICIONADO SPLIT ECO G GREE 24000BTUS</t>
  </si>
  <si>
    <t>MVU-125</t>
  </si>
  <si>
    <t>IS000739</t>
  </si>
  <si>
    <t>MVU-126</t>
  </si>
  <si>
    <t>IS000740</t>
  </si>
  <si>
    <t>MVU-105</t>
  </si>
  <si>
    <t>IS000741</t>
  </si>
  <si>
    <t>TV PHILCO 32 POL</t>
  </si>
  <si>
    <t>AER-002</t>
  </si>
  <si>
    <t>IS000742</t>
  </si>
  <si>
    <t>AERONAVE RV-10</t>
  </si>
  <si>
    <t>ARNALDO DE VASCONCELOS BARBOSA</t>
  </si>
  <si>
    <t>318.688.866-20</t>
  </si>
  <si>
    <t>MVU-133</t>
  </si>
  <si>
    <t>IS000743</t>
  </si>
  <si>
    <t>PURIFICADOR DE AGUA VIVAX DEFENSE</t>
  </si>
  <si>
    <t>D.E.G. JUNIOR EIRELI ME</t>
  </si>
  <si>
    <t>24.719.396/0001-90</t>
  </si>
  <si>
    <t>EQU-287</t>
  </si>
  <si>
    <t>IS000744</t>
  </si>
  <si>
    <t>MEDIDOR DE UMIDADE E PH AL101 40 LTS</t>
  </si>
  <si>
    <t>Equipacenter Comercio de Equipamentos Ltda</t>
  </si>
  <si>
    <t>08.338.066/0001-06</t>
  </si>
  <si>
    <t>MVU-127</t>
  </si>
  <si>
    <t>IS000745</t>
  </si>
  <si>
    <t>AR CONDICIONADO SPLIT ECO GREE 24000BTUS</t>
  </si>
  <si>
    <t>MVU-128</t>
  </si>
  <si>
    <t>IS000746</t>
  </si>
  <si>
    <t>AR CONDICIONADO SPLIT ECO GREE 9000BTUS</t>
  </si>
  <si>
    <t>MVU-132</t>
  </si>
  <si>
    <t>IS000747</t>
  </si>
  <si>
    <t>TV SAMSUNG 50 POL SMART</t>
  </si>
  <si>
    <t>PLA-011</t>
  </si>
  <si>
    <t>IS000748</t>
  </si>
  <si>
    <t>PRCY6127CMPD03339</t>
  </si>
  <si>
    <t>PLANTADEIRA CASE IN FAST RISER</t>
  </si>
  <si>
    <t>PLA-012</t>
  </si>
  <si>
    <t>IS000749</t>
  </si>
  <si>
    <t>PRCY6127PNPD03555</t>
  </si>
  <si>
    <t>PUL-013</t>
  </si>
  <si>
    <t>IS000750</t>
  </si>
  <si>
    <t>PRCYP350JNPC05816</t>
  </si>
  <si>
    <t>MVU-130</t>
  </si>
  <si>
    <t>IS000751</t>
  </si>
  <si>
    <t>MVU-131</t>
  </si>
  <si>
    <t>IS000752</t>
  </si>
  <si>
    <t>EQU-288</t>
  </si>
  <si>
    <t>IS000753</t>
  </si>
  <si>
    <t>GERADOR DE ENERGIA A GASOLINA 10KVA MONOFASICO BRANCO B4T 11000E</t>
  </si>
  <si>
    <t>EQU-285</t>
  </si>
  <si>
    <t>IS000754</t>
  </si>
  <si>
    <t>MODULO ARMAZENAGEM DE PALETE 1,00 X 2,30 X 4,00</t>
  </si>
  <si>
    <t>ACOS BRAUNA SISTEMAS DE ARMAZENAGEM LTDA - EPP</t>
  </si>
  <si>
    <t>05.561.070/0001-32</t>
  </si>
  <si>
    <t>EQU-293</t>
  </si>
  <si>
    <t>IS000755</t>
  </si>
  <si>
    <t>ENSACADEIRA DE BIG BAG SAT EBPD-MP</t>
  </si>
  <si>
    <t>ENSACADEIRA SAT PARANA INDUSTRIA E COMERCIO DE BALANCAS LTDA</t>
  </si>
  <si>
    <t>02.424.358/0001-77</t>
  </si>
  <si>
    <t>EQU-294</t>
  </si>
  <si>
    <t>IS000756</t>
  </si>
  <si>
    <t>ENSACADEIRA ELETRONICA SAT ES 4001 SB</t>
  </si>
  <si>
    <t>VEI-059</t>
  </si>
  <si>
    <t>IS000757</t>
  </si>
  <si>
    <t>OSJ8D66</t>
  </si>
  <si>
    <t>9536E7232ER413841</t>
  </si>
  <si>
    <t>CAMINHAO VW/13.190 CRM 4X2</t>
  </si>
  <si>
    <t>EQU-276</t>
  </si>
  <si>
    <t>IS000758</t>
  </si>
  <si>
    <t>TANQUE DE COMBUSTIVEL 15000LTS</t>
  </si>
  <si>
    <t>GILMAR AFONSO KOLLN JUNIOR EIRELI</t>
  </si>
  <si>
    <t>38.375.387/0001-33</t>
  </si>
  <si>
    <t>EQU-277</t>
  </si>
  <si>
    <t>IS000759</t>
  </si>
  <si>
    <t>TANQUE DE COMBUSTIVEL 15000LTS QUEROSENE FAZ. JATOBA</t>
  </si>
  <si>
    <t>EQU-292</t>
  </si>
  <si>
    <t>IS000760</t>
  </si>
  <si>
    <t>ASPIRADOR DE PO WORKER 70L</t>
  </si>
  <si>
    <t>EQU-295</t>
  </si>
  <si>
    <t>IS000761</t>
  </si>
  <si>
    <t>TANQUE OVAL 3645 LTS OVAL QUEROSENE FAZ JATOBA</t>
  </si>
  <si>
    <t>EQI-097</t>
  </si>
  <si>
    <t>IS000762</t>
  </si>
  <si>
    <t>DESKTOP DELL OPTIPLEX 3000 MICRO</t>
  </si>
  <si>
    <t>EQI-098</t>
  </si>
  <si>
    <t>IS000763</t>
  </si>
  <si>
    <t>EQI-099</t>
  </si>
  <si>
    <t>IS000764</t>
  </si>
  <si>
    <t>EQI-100</t>
  </si>
  <si>
    <t>IS000765</t>
  </si>
  <si>
    <t>IMO-051</t>
  </si>
  <si>
    <t>IS000766</t>
  </si>
  <si>
    <t>FAZENDA GRANDE LESTE II</t>
  </si>
  <si>
    <t>IMO-052</t>
  </si>
  <si>
    <t>IS000767</t>
  </si>
  <si>
    <t>FAZENDA GRANDE LESTE III</t>
  </si>
  <si>
    <t>MAQ-016</t>
  </si>
  <si>
    <t>IS000768</t>
  </si>
  <si>
    <t>RAJ5DCMJN3129115</t>
  </si>
  <si>
    <t>MANIPULADOR TELESCOPICO JCB 530-70</t>
  </si>
  <si>
    <t>TRATORMASTER TRATORES PECAS E SERVICOS LTDA</t>
  </si>
  <si>
    <t>02.745.179/0001-31</t>
  </si>
  <si>
    <t>IMP-240</t>
  </si>
  <si>
    <t>IS000769</t>
  </si>
  <si>
    <t>EQI-101</t>
  </si>
  <si>
    <t>IS000770</t>
  </si>
  <si>
    <t>STARLINK V3 USER TERMINAL</t>
  </si>
  <si>
    <t>STARLINK BRAZIL SERVICOS DE INTERNET LTDA</t>
  </si>
  <si>
    <t>40.154.884/0002-34</t>
  </si>
  <si>
    <t>MVU-129</t>
  </si>
  <si>
    <t>IS000771</t>
  </si>
  <si>
    <t>MVU-135</t>
  </si>
  <si>
    <t>IS000772</t>
  </si>
  <si>
    <t>FATIADOR DE FRIOS FTD 178 BIVOLT</t>
  </si>
  <si>
    <t>EQU-267</t>
  </si>
  <si>
    <t>IS000773</t>
  </si>
  <si>
    <t>GUINDASTE GRIMALDI GR-16.500</t>
  </si>
  <si>
    <t>Grimaldi Ind. de Equip. para Transportes Ltda</t>
  </si>
  <si>
    <t>52.771.540/0001-72</t>
  </si>
  <si>
    <t>EQU-268</t>
  </si>
  <si>
    <t>IS000774</t>
  </si>
  <si>
    <t xml:space="preserve">CACAMBA GRIMALDI 6528 18 TONELADAS </t>
  </si>
  <si>
    <t>EQU-271</t>
  </si>
  <si>
    <t>IS000775</t>
  </si>
  <si>
    <t>GERADOR 450KVA WEG NTA-855-G3 SEDE SANTO EXPEDITO</t>
  </si>
  <si>
    <t>ENERTECS REPARAÇÃO E MANUTENÇÃO DE GERADORES LTDA</t>
  </si>
  <si>
    <t>14.163.391/0001-70</t>
  </si>
  <si>
    <t>EQU-272</t>
  </si>
  <si>
    <t>IS000776</t>
  </si>
  <si>
    <t>MANOMETRO DE PRESSAO DIFERENCIAL 0-100 HPA</t>
  </si>
  <si>
    <t>IMP-239</t>
  </si>
  <si>
    <t>IS000777</t>
  </si>
  <si>
    <t>COMBOIO DE LUBRIFICACAO GASCOM PRESSOLUB</t>
  </si>
  <si>
    <t>Gascom Equipamentos Industriais Ltda</t>
  </si>
  <si>
    <t>71.324.040/0001-37</t>
  </si>
  <si>
    <t>EQU-299</t>
  </si>
  <si>
    <t>IS000778</t>
  </si>
  <si>
    <t>DOSADOR COLETIVO DE SEMENTES MIUDAS</t>
  </si>
  <si>
    <t>EQU-300</t>
  </si>
  <si>
    <t>IS000779</t>
  </si>
  <si>
    <t>EQU-301</t>
  </si>
  <si>
    <t>IS000780</t>
  </si>
  <si>
    <t>EQU-296</t>
  </si>
  <si>
    <t>IS000781</t>
  </si>
  <si>
    <t>MESA DENSIMETRICA LAMPRONIO DZ-200</t>
  </si>
  <si>
    <t>ZAMPRONIO IND DE CLAS DE SEMENTES LTDA</t>
  </si>
  <si>
    <t>03.603.463/0001-36</t>
  </si>
  <si>
    <t>EQU-297</t>
  </si>
  <si>
    <t>IS000782</t>
  </si>
  <si>
    <t>DEPOSITO TULHA METALICA TH-30</t>
  </si>
  <si>
    <t>EQU-298</t>
  </si>
  <si>
    <t>IS000783</t>
  </si>
  <si>
    <t>SISTEMA DE CAPTACAO DE PO DZ-200</t>
  </si>
  <si>
    <t>IMP-245</t>
  </si>
  <si>
    <t>IS000784</t>
  </si>
  <si>
    <t>PULVERIZADOR KUHN CANHAO AF600</t>
  </si>
  <si>
    <t>IMP-246</t>
  </si>
  <si>
    <t>IS000785</t>
  </si>
  <si>
    <t>GARFO ENLEIRADOR DE 5 METROS</t>
  </si>
  <si>
    <t>GOMES INDUSTRIA E COMERCIO DE MAQUINAS AGRICOLA LTDA</t>
  </si>
  <si>
    <t>41.994.723/0001-30</t>
  </si>
  <si>
    <t>EQU-303</t>
  </si>
  <si>
    <t>IS000786</t>
  </si>
  <si>
    <t>CONJUNTO DE MAQUINAS PINHALENSE</t>
  </si>
  <si>
    <t xml:space="preserve">OK  </t>
  </si>
  <si>
    <t>EQU-304</t>
  </si>
  <si>
    <t>IS000787</t>
  </si>
  <si>
    <t>SECADOR GRAVITACIONAL</t>
  </si>
  <si>
    <t>MAQNEW MAQUINAS E EQUIPAMENTOS LTDA</t>
  </si>
  <si>
    <t>45.511.098/0001-80</t>
  </si>
  <si>
    <t>EQU-305</t>
  </si>
  <si>
    <t>IS000788</t>
  </si>
  <si>
    <t>ELEVADOR EM Z DE BALDE DE SEMENTES</t>
  </si>
  <si>
    <t>EQU-306</t>
  </si>
  <si>
    <t>IS000789</t>
  </si>
  <si>
    <t>RESFRIADOR DE SEMENTES</t>
  </si>
  <si>
    <t>EQU-291</t>
  </si>
  <si>
    <t>IS000790</t>
  </si>
  <si>
    <t>SOPRADOR DE SEMENTES EAGRI SOUTH DAKOTA</t>
  </si>
  <si>
    <t>EAGRI SUL IND. E COM. DE MAQUINAS E EQUIPAMENTOS LTDA</t>
  </si>
  <si>
    <t>10.584.575/0001-52</t>
  </si>
  <si>
    <t>EQI-102</t>
  </si>
  <si>
    <t>IS000791</t>
  </si>
  <si>
    <t>MONITOR DELL ULTRASHARP 23.8 TELA INFINITA</t>
  </si>
  <si>
    <t>VEI-065</t>
  </si>
  <si>
    <t>IS000792</t>
  </si>
  <si>
    <t>9C2KC2500PR022739</t>
  </si>
  <si>
    <t>EQI-091</t>
  </si>
  <si>
    <t>IS000793</t>
  </si>
  <si>
    <t>IMPRESSORA XEROX B205</t>
  </si>
  <si>
    <t>MIL PRINT INFORMATICA EIRELI - EPP</t>
  </si>
  <si>
    <t>23.791.227/0001-06</t>
  </si>
  <si>
    <t>MVU-140</t>
  </si>
  <si>
    <t>IS000794</t>
  </si>
  <si>
    <t>TV LG 65 POL UHD 4K</t>
  </si>
  <si>
    <t>VEI-066</t>
  </si>
  <si>
    <t>IS000795</t>
  </si>
  <si>
    <t>9C2KC2500PR023495</t>
  </si>
  <si>
    <t>MVU-136</t>
  </si>
  <si>
    <t>IS000796</t>
  </si>
  <si>
    <t>TV LED 43 SMART FULL HD</t>
  </si>
  <si>
    <t>EBAZAR COM BR LTDA</t>
  </si>
  <si>
    <t>EQI-092</t>
  </si>
  <si>
    <t>IS000797</t>
  </si>
  <si>
    <t>CAMERA VIP 5280 IA</t>
  </si>
  <si>
    <t>BRUNO HAIDEMANN</t>
  </si>
  <si>
    <t>24.647.630/0001-10</t>
  </si>
  <si>
    <t>EQI-115</t>
  </si>
  <si>
    <t>IS000798</t>
  </si>
  <si>
    <t>EQU-309</t>
  </si>
  <si>
    <t>IS000799</t>
  </si>
  <si>
    <t>COMPRESSOR DE AR SCHULZ 10 PES 100L 2HP 140PSI</t>
  </si>
  <si>
    <t>GLIER E CIA LTDA</t>
  </si>
  <si>
    <t>06.014.974/0002-91</t>
  </si>
  <si>
    <t>EQU-310</t>
  </si>
  <si>
    <t>IS000800</t>
  </si>
  <si>
    <t>DEUSDETE SOUSA SANTIAGO E CIA LTDA</t>
  </si>
  <si>
    <t>MVU-134</t>
  </si>
  <si>
    <t>IS000801</t>
  </si>
  <si>
    <t>01.608.488/0021-40</t>
  </si>
  <si>
    <t>MVU-137</t>
  </si>
  <si>
    <t>IS000802</t>
  </si>
  <si>
    <t>CLAUDINO S.A LOJAS DE DEPARTAMENTOS</t>
  </si>
  <si>
    <t>MVU-138</t>
  </si>
  <si>
    <t>IS000803</t>
  </si>
  <si>
    <t>MVU-139</t>
  </si>
  <si>
    <t>IS000804</t>
  </si>
  <si>
    <t>EQU-289</t>
  </si>
  <si>
    <t>IS000805</t>
  </si>
  <si>
    <t>PRE-LIMPEZA P/GRAOS PLZ-50 ZACCARIA</t>
  </si>
  <si>
    <t>INDUSTRIAS MACHINA ZACCARIA S.A</t>
  </si>
  <si>
    <t>51.466.324/0001-50</t>
  </si>
  <si>
    <t>EQU-290</t>
  </si>
  <si>
    <t>IS000806</t>
  </si>
  <si>
    <t>TANQUE PRE-MISTURA DIVISA 3 POL  2.000 LTS INOX</t>
  </si>
  <si>
    <t>EQU-302</t>
  </si>
  <si>
    <t>IS000807</t>
  </si>
  <si>
    <t>GERADOR DE ENERGIA BRANCO B4T-11000 E</t>
  </si>
  <si>
    <t>MVU-141</t>
  </si>
  <si>
    <t>IS000808</t>
  </si>
  <si>
    <t>MVU-142</t>
  </si>
  <si>
    <t>IS000809</t>
  </si>
  <si>
    <t>MVU-143</t>
  </si>
  <si>
    <t>IS000810</t>
  </si>
  <si>
    <t>MVU-144</t>
  </si>
  <si>
    <t>IS000811</t>
  </si>
  <si>
    <t>MVU-145</t>
  </si>
  <si>
    <t>IS000812</t>
  </si>
  <si>
    <t>EQU-307</t>
  </si>
  <si>
    <t>IS000813</t>
  </si>
  <si>
    <t>HOMOGENEIZADOR</t>
  </si>
  <si>
    <t>ALFIG SOLUCOES TECNOLOGICAS PARA AGROINDUSTRIA EIRELI</t>
  </si>
  <si>
    <t>40.436.681/0001-50</t>
  </si>
  <si>
    <t>PUL-015</t>
  </si>
  <si>
    <t>IS000814</t>
  </si>
  <si>
    <t>PULVERIZADOR KUHN AF 600</t>
  </si>
  <si>
    <t>UNICAMPO MAQUINAS E EQUIPAMENTOS AGRICOLAS EPP</t>
  </si>
  <si>
    <t>EQU-311</t>
  </si>
  <si>
    <t>IS000815</t>
  </si>
  <si>
    <t>LAVADORA DE ALTA PRESSAO ELETROPLAS EL-3500A</t>
  </si>
  <si>
    <t>MVU-146</t>
  </si>
  <si>
    <t>IS000816</t>
  </si>
  <si>
    <t>MVU-147</t>
  </si>
  <si>
    <t>IS000817</t>
  </si>
  <si>
    <t>AR CONDICIONADO SPLIT ECO G GREE 18000BTUS</t>
  </si>
  <si>
    <t>EQU-313</t>
  </si>
  <si>
    <t>IS000818</t>
  </si>
  <si>
    <t>GLOBAL COMERCIO ELETRONICO LTDA</t>
  </si>
  <si>
    <t>10.955.448/0001-12</t>
  </si>
  <si>
    <t>EQU-316</t>
  </si>
  <si>
    <t>IS000819</t>
  </si>
  <si>
    <t>CARROCEIRA FURGAO CARGA SECA FACCHINI</t>
  </si>
  <si>
    <t>03.509.978/0026-20</t>
  </si>
  <si>
    <t>EQU-314</t>
  </si>
  <si>
    <t>IS000820</t>
  </si>
  <si>
    <t>ANDREATI E ZARAMELLO LTDA</t>
  </si>
  <si>
    <t>EQU-315</t>
  </si>
  <si>
    <t>IS000821</t>
  </si>
  <si>
    <t>PUL-016</t>
  </si>
  <si>
    <t>IS000822</t>
  </si>
  <si>
    <t>HEM-CC11953</t>
  </si>
  <si>
    <t>EQU-317</t>
  </si>
  <si>
    <t>IS000823</t>
  </si>
  <si>
    <t>A FERRAMENTARIA COM E REPRE DE MAQUINAS E FERRAMENTAS LTDA</t>
  </si>
  <si>
    <t>38.925.602/0001-22</t>
  </si>
  <si>
    <t>EQU-318</t>
  </si>
  <si>
    <t>IS000824</t>
  </si>
  <si>
    <t>MVU-148</t>
  </si>
  <si>
    <t>IS000825</t>
  </si>
  <si>
    <t>CADEIRA GIRATÓRIA PRESIDENTE LUXO COM MOLAS</t>
  </si>
  <si>
    <t>OFFICE BRASIL MOVEIS PARA ESCRITORIO LTDA</t>
  </si>
  <si>
    <t>47.315.188/0001-20</t>
  </si>
  <si>
    <t>EQU-320</t>
  </si>
  <si>
    <t>IS000826</t>
  </si>
  <si>
    <t>IS000827</t>
  </si>
  <si>
    <t>ADUTORAS - INFRAESTRUTURA HIDRAULICA FAZ. SANTA LUCIA</t>
  </si>
  <si>
    <t>EQU-327</t>
  </si>
  <si>
    <t>IS000828</t>
  </si>
  <si>
    <t>FURADEIRA COL. FSC 32 P</t>
  </si>
  <si>
    <t>EQU-340</t>
  </si>
  <si>
    <t>IS000829</t>
  </si>
  <si>
    <t>COMPRESSOR DE AR SCHULZ PRATIC AIR CSI 8,5/25</t>
  </si>
  <si>
    <t>EQU-323</t>
  </si>
  <si>
    <t>IS000830</t>
  </si>
  <si>
    <t>PRENSA HIDRAULICA MARCON 60 TON MPH-60</t>
  </si>
  <si>
    <t>IMPERIAL COM DE PARAFUSOS FERRAMENTAS E MAQUINAS LTDA</t>
  </si>
  <si>
    <t>EQU-325</t>
  </si>
  <si>
    <t>IS000831</t>
  </si>
  <si>
    <t>MAQUINA DE SOLDA ESAB MIG 455 TOP FLEX</t>
  </si>
  <si>
    <t>EQU-362</t>
  </si>
  <si>
    <t>IS000832</t>
  </si>
  <si>
    <t>PALETEIRA MCC 50 TON PNEUMATICO</t>
  </si>
  <si>
    <t>MVU-150</t>
  </si>
  <si>
    <t>IS000833</t>
  </si>
  <si>
    <t>CADEIRA GIRATÓRIA PRESIDENTE EM COURINO</t>
  </si>
  <si>
    <t>CLAUDENE RODRIGUES LOPES</t>
  </si>
  <si>
    <t>29.752.681/0001-26</t>
  </si>
  <si>
    <t>MVU-149</t>
  </si>
  <si>
    <t>IS000834</t>
  </si>
  <si>
    <t>BEBEDOURO INDUSTRIAL AQUAMAX INOX 50 LTS</t>
  </si>
  <si>
    <t>MVU-151</t>
  </si>
  <si>
    <t>IS000835</t>
  </si>
  <si>
    <t>ARMARIO MADEIRA 5 PORTAS E 4 GAVETAS</t>
  </si>
  <si>
    <t>MVU-152</t>
  </si>
  <si>
    <t>IS000836</t>
  </si>
  <si>
    <t>ARMARIO EM MADEIRA 7 PORTAS E 2 GAVETAS ARQUIVO</t>
  </si>
  <si>
    <t>MVU-153</t>
  </si>
  <si>
    <t>IS000837</t>
  </si>
  <si>
    <t>ARMARIO MADEIRA EM L 5 PORTAS E 4 GAVETAS</t>
  </si>
  <si>
    <t>IMP-247</t>
  </si>
  <si>
    <t>IS000838</t>
  </si>
  <si>
    <t>CFFL230313</t>
  </si>
  <si>
    <t>CEIFADEIRA TRI MORI CFFL230313</t>
  </si>
  <si>
    <t>MORI INDUSTRIA E COMERCIO DE IMPLEMENTOS AGRICOLAS LTDA</t>
  </si>
  <si>
    <t>MVU-171</t>
  </si>
  <si>
    <t>IS000839</t>
  </si>
  <si>
    <t>BATEDEIRA PLANETARIA 5LTS BPS-05 VM 220V</t>
  </si>
  <si>
    <t>MVU-172</t>
  </si>
  <si>
    <t>IS000840</t>
  </si>
  <si>
    <t>REFRIGERADOR ELECTROLUX FF TF55S 2P 431L</t>
  </si>
  <si>
    <t>MAGAZINE LUIZA S.A</t>
  </si>
  <si>
    <t>47.960.950/0765-35</t>
  </si>
  <si>
    <t>VEI-069</t>
  </si>
  <si>
    <t>IS000841</t>
  </si>
  <si>
    <t>9C2ME1335PR307260</t>
  </si>
  <si>
    <t>MOTOCICLETA HONDA CRF 250F</t>
  </si>
  <si>
    <t>LUZ MOTOS COMERCIO SERVICOS E PECAS LTDA</t>
  </si>
  <si>
    <t>VEI-068</t>
  </si>
  <si>
    <t>IS000842</t>
  </si>
  <si>
    <t>9C2ME1331PR306896</t>
  </si>
  <si>
    <t>08.074.058/0001-72</t>
  </si>
  <si>
    <t>MVU-154</t>
  </si>
  <si>
    <t>IS000843</t>
  </si>
  <si>
    <t>SELF-SERVICE TERMICO IBET 8 CUBAS</t>
  </si>
  <si>
    <t>MVU-169</t>
  </si>
  <si>
    <t>IS000844</t>
  </si>
  <si>
    <t>MVU-170</t>
  </si>
  <si>
    <t>IS000845</t>
  </si>
  <si>
    <t>MVU-155</t>
  </si>
  <si>
    <t>IS000846</t>
  </si>
  <si>
    <t>MVU-156</t>
  </si>
  <si>
    <t>IS000847</t>
  </si>
  <si>
    <t>MVU-157</t>
  </si>
  <si>
    <t>IS000848</t>
  </si>
  <si>
    <t>MVU-158</t>
  </si>
  <si>
    <t>IS000849</t>
  </si>
  <si>
    <t>MVU-159</t>
  </si>
  <si>
    <t>IS000850</t>
  </si>
  <si>
    <t>MVU-160</t>
  </si>
  <si>
    <t>IS000851</t>
  </si>
  <si>
    <t>MVU-161</t>
  </si>
  <si>
    <t>IS000852</t>
  </si>
  <si>
    <t>MVU-162</t>
  </si>
  <si>
    <t>IS000853</t>
  </si>
  <si>
    <t>MVU-163</t>
  </si>
  <si>
    <t>IS000854</t>
  </si>
  <si>
    <t>MVU-164</t>
  </si>
  <si>
    <t>IS000855</t>
  </si>
  <si>
    <t>MVU-165</t>
  </si>
  <si>
    <t>IS000856</t>
  </si>
  <si>
    <t>MVU-166</t>
  </si>
  <si>
    <t>IS000857</t>
  </si>
  <si>
    <t>MVU-167</t>
  </si>
  <si>
    <t>IS000858</t>
  </si>
  <si>
    <t>MVU-168</t>
  </si>
  <si>
    <t>IS000859</t>
  </si>
  <si>
    <t>EQU-344</t>
  </si>
  <si>
    <t>IS000860</t>
  </si>
  <si>
    <t>MAQUINA DE SOLDA BRUTUS MIG 350BR</t>
  </si>
  <si>
    <t>MVU-173</t>
  </si>
  <si>
    <t>IS000861</t>
  </si>
  <si>
    <t>TV SAMSUNG 43 POL LED SMART FULL HD</t>
  </si>
  <si>
    <t>MVU-174</t>
  </si>
  <si>
    <t>IS000862</t>
  </si>
  <si>
    <t>LAVADORA DE ROUPA ELECTROLUX LES11 11KG</t>
  </si>
  <si>
    <t>EQU-343</t>
  </si>
  <si>
    <t>IS000863</t>
  </si>
  <si>
    <t>MOTOBOMBA CENTRIFUGA BRANCO A GASOLINA B4T716</t>
  </si>
  <si>
    <t>IS000864</t>
  </si>
  <si>
    <t>EQUIPAMENTO DE MICROFILTRAGEM MOVEL POC FMF 203 MINI DE OLEO TIPO MOVEL</t>
  </si>
  <si>
    <t>POC INDUSTRIA E COMERCIO DE FILTROS EIRELI</t>
  </si>
  <si>
    <t>14.752.633/0001-60</t>
  </si>
  <si>
    <t>EQU-321</t>
  </si>
  <si>
    <t>IS000865</t>
  </si>
  <si>
    <t>BALANCA DE PLATAFORMA 40X50 PAINEL DIGITAL 300KG</t>
  </si>
  <si>
    <t>EQU-322</t>
  </si>
  <si>
    <t>IS000866</t>
  </si>
  <si>
    <t>BALANCA SEMI ANALITICA MARTE AD500</t>
  </si>
  <si>
    <t>BIOCENTRIX MATERIAIS PARA LABORATORIOS LTDA</t>
  </si>
  <si>
    <t>28.594.918/0001-25</t>
  </si>
  <si>
    <t>EQU-326</t>
  </si>
  <si>
    <t>IS000867</t>
  </si>
  <si>
    <t>EXAUSTOR AXIAL DE TELHADO 1000MM MOD ET/103</t>
  </si>
  <si>
    <t>EQU-338</t>
  </si>
  <si>
    <t>IS000868</t>
  </si>
  <si>
    <t>AMOSTRADOR DE SOLO TRAIL TECH 500S</t>
  </si>
  <si>
    <t>EQU-339</t>
  </si>
  <si>
    <t>IS000869</t>
  </si>
  <si>
    <t>IS000870</t>
  </si>
  <si>
    <t>PENEIRAO PRE-LIMPEZA AGRO METALI 2024</t>
  </si>
  <si>
    <t>VEI-067</t>
  </si>
  <si>
    <t>IS000871</t>
  </si>
  <si>
    <t>9C2TE4300PR001283</t>
  </si>
  <si>
    <t>QUADRICICLO HONDA TRX420 4X4</t>
  </si>
  <si>
    <t>JAIC COMERCIO E IMPORTACAO DE MOTOS LIMITADA</t>
  </si>
  <si>
    <t>65.797.730/0001-00</t>
  </si>
  <si>
    <t>IS000872</t>
  </si>
  <si>
    <t>ARMAZEN FAZ. SANTA LUCIA BENFEITORIA FUNCIONAL</t>
  </si>
  <si>
    <t>MVU-177</t>
  </si>
  <si>
    <t>IS000873</t>
  </si>
  <si>
    <t>TV PHILCO 42 LED SMART</t>
  </si>
  <si>
    <t>PLA-013</t>
  </si>
  <si>
    <t>IS000874</t>
  </si>
  <si>
    <t>PRCY6138APPD05016</t>
  </si>
  <si>
    <t>IMP-252</t>
  </si>
  <si>
    <t>IS000875</t>
  </si>
  <si>
    <t>GRADE INTERMEDIARIA GOIH E 270 68X28X7,5MM</t>
  </si>
  <si>
    <t>EQU-345</t>
  </si>
  <si>
    <t>IS000876</t>
  </si>
  <si>
    <t>QUARTEADOR DE CEREAIS 16 CANAIS X 18MM</t>
  </si>
  <si>
    <t>EAGRI SUL IND E COM DE MAQ E EQUIP LTDA</t>
  </si>
  <si>
    <t>EQU-346</t>
  </si>
  <si>
    <t>IS000877</t>
  </si>
  <si>
    <t>EQU-341</t>
  </si>
  <si>
    <t>IS000878</t>
  </si>
  <si>
    <t>EQU-352</t>
  </si>
  <si>
    <t>IS000879</t>
  </si>
  <si>
    <t>SUGA/EMPURRA DE GRAOS SULTEC</t>
  </si>
  <si>
    <t>WEST CAMPO LTDA</t>
  </si>
  <si>
    <t>44.455.096/0001-58</t>
  </si>
  <si>
    <t>MVU-175</t>
  </si>
  <si>
    <t>IS000880</t>
  </si>
  <si>
    <t>AMASSADEIRA RAPIDA SR-15 SS 220V G.PANIZ</t>
  </si>
  <si>
    <t>02.375.921.0011-36</t>
  </si>
  <si>
    <t>EQU-342</t>
  </si>
  <si>
    <t>IS000881</t>
  </si>
  <si>
    <t>MVU-178</t>
  </si>
  <si>
    <t>IS000882</t>
  </si>
  <si>
    <t>TV SAMSUNG 32 POL LED</t>
  </si>
  <si>
    <t>EQU-353</t>
  </si>
  <si>
    <t>IS000883</t>
  </si>
  <si>
    <t>EQU-354</t>
  </si>
  <si>
    <t>IS000884</t>
  </si>
  <si>
    <t>TRA-070</t>
  </si>
  <si>
    <t>IS000885</t>
  </si>
  <si>
    <t>HCCZC230TPCN61108</t>
  </si>
  <si>
    <t>TRA-071</t>
  </si>
  <si>
    <t>IS000886</t>
  </si>
  <si>
    <t>HCCZM380JPCM60845</t>
  </si>
  <si>
    <t>TRATOR AGRICOLA CASE MAGNUM 380</t>
  </si>
  <si>
    <t>EQI-103</t>
  </si>
  <si>
    <t>IS000887</t>
  </si>
  <si>
    <t>EQU-312</t>
  </si>
  <si>
    <t>IS000888</t>
  </si>
  <si>
    <t>CAIXA DAGUA TUBULAR 60M³ 15,6X2,22M</t>
  </si>
  <si>
    <t>IMP-256</t>
  </si>
  <si>
    <t>IS000889</t>
  </si>
  <si>
    <t>IOR3D01</t>
  </si>
  <si>
    <t>CARRETA REBOQUE RANDON 03 EIXOS</t>
  </si>
  <si>
    <t>IMP-253</t>
  </si>
  <si>
    <t>IS000890</t>
  </si>
  <si>
    <t>CFFL230325</t>
  </si>
  <si>
    <t>CEIFADEIRA MORI TRI FLEX 300</t>
  </si>
  <si>
    <t>MORI INDUSTRIA E C DE IMPLEMENTOS AGRICOLAS LTDA</t>
  </si>
  <si>
    <t>IMP-254</t>
  </si>
  <si>
    <t>IS000891</t>
  </si>
  <si>
    <t>CFFL230326</t>
  </si>
  <si>
    <t>IMP-255</t>
  </si>
  <si>
    <t>IS000892</t>
  </si>
  <si>
    <t>CFFL230327</t>
  </si>
  <si>
    <t>MVU-176</t>
  </si>
  <si>
    <t>IS000893</t>
  </si>
  <si>
    <t>BEBEDOURO ACQUA IND PRE100E INOX</t>
  </si>
  <si>
    <t>CASA DO PICA PAU LTDA</t>
  </si>
  <si>
    <t>50.223.823/0001-54</t>
  </si>
  <si>
    <t>MVU-179</t>
  </si>
  <si>
    <t>IS000894</t>
  </si>
  <si>
    <t>FREEZER CONSUL 2 TAMPAS 534 LITROS</t>
  </si>
  <si>
    <t>EQU-355</t>
  </si>
  <si>
    <t>IS000895</t>
  </si>
  <si>
    <t>CAMARA DE LIMPEZA ZACCARIA P/DENSIDADE</t>
  </si>
  <si>
    <t>EQU-356</t>
  </si>
  <si>
    <t>IS000896</t>
  </si>
  <si>
    <t>SEPARADOR DESIMETRICO ZACCARIA</t>
  </si>
  <si>
    <t>IMP-250</t>
  </si>
  <si>
    <t>IS000897</t>
  </si>
  <si>
    <t>HCCB352NEMC322503</t>
  </si>
  <si>
    <t>PLATAFORMA DE GRAOS CASE 3020 35 PES</t>
  </si>
  <si>
    <t>HENRIQUE DE O FERRACINI</t>
  </si>
  <si>
    <t>076.701.519-35</t>
  </si>
  <si>
    <t>IMP-251</t>
  </si>
  <si>
    <t>IS000898</t>
  </si>
  <si>
    <t>HCCB352NVHC314200</t>
  </si>
  <si>
    <t>IMP-257</t>
  </si>
  <si>
    <t>IS000899</t>
  </si>
  <si>
    <t>RS05M13312,P10217</t>
  </si>
  <si>
    <t>DISTRIBUIDOR HERCULES 24000 INOX</t>
  </si>
  <si>
    <t>COL-015</t>
  </si>
  <si>
    <t>IS000900</t>
  </si>
  <si>
    <t>JHFY7250LPJB23026</t>
  </si>
  <si>
    <t>COLHEITADEIRA DE GRAOS CASE IH AXIAL FLOW 7250</t>
  </si>
  <si>
    <t>COL-016</t>
  </si>
  <si>
    <t>IS000901</t>
  </si>
  <si>
    <t>JHFY7250HPJB23190</t>
  </si>
  <si>
    <t>EQU-319</t>
  </si>
  <si>
    <t>IS000902</t>
  </si>
  <si>
    <t>ACOS BRAUNA SISTEMAS DE ARMAZENAGEM LTDA</t>
  </si>
  <si>
    <t>EQI-104</t>
  </si>
  <si>
    <t>IS000903</t>
  </si>
  <si>
    <t>IMPRESSORA TERMICA ZETEX 250X</t>
  </si>
  <si>
    <t>ART CHIK PRODUTOS PUBLICITARIOS LTDA</t>
  </si>
  <si>
    <t>48.013.734/0001-31</t>
  </si>
  <si>
    <t>EQI-105</t>
  </si>
  <si>
    <t>IS000904</t>
  </si>
  <si>
    <t>IMPRESSORA DE CARTOES SIGMA DATACARD DS2</t>
  </si>
  <si>
    <t>AKAD COMPUTACAO GRAFICA LTDA</t>
  </si>
  <si>
    <t>59.476.598/0007-28</t>
  </si>
  <si>
    <t>MVU-183</t>
  </si>
  <si>
    <t>IS000905</t>
  </si>
  <si>
    <t>GELADEIRA CONSUL 334 LITROS</t>
  </si>
  <si>
    <t>IMP-258</t>
  </si>
  <si>
    <t>IS000906</t>
  </si>
  <si>
    <t>ANCINHO ENLEIRADOR GIRASSOL PP704</t>
  </si>
  <si>
    <t>MATHEUS PERARO FERREIRA FARES</t>
  </si>
  <si>
    <t>441.826.158-32</t>
  </si>
  <si>
    <t>EQU-357</t>
  </si>
  <si>
    <t>IS000907</t>
  </si>
  <si>
    <t>IS000908</t>
  </si>
  <si>
    <t>MOTOR ELETRICO WEQ TRIFASICO 10CV</t>
  </si>
  <si>
    <t>CASA DOS REDUTORES JAKIN LTDA</t>
  </si>
  <si>
    <t>12.127.407/0001-63</t>
  </si>
  <si>
    <t>EQU-351</t>
  </si>
  <si>
    <t>IS000909</t>
  </si>
  <si>
    <t>BALANCA ELETRONICA DIGITRON PLATAFORMA 3000KG</t>
  </si>
  <si>
    <t>TOLEDO DO BRASIL INDUSTRIA DE BALANCAS LTDA</t>
  </si>
  <si>
    <t>EQU-359</t>
  </si>
  <si>
    <t>IS000910</t>
  </si>
  <si>
    <t>KIT DE ABASTECIMENTO PARA GASOLINA</t>
  </si>
  <si>
    <t>FOCUS DISTRIBUIDORA DE EQUIPAMENTOS LTDA</t>
  </si>
  <si>
    <t>46.094.653/0001-88</t>
  </si>
  <si>
    <t>EQU-348</t>
  </si>
  <si>
    <t>IS000911</t>
  </si>
  <si>
    <t>CAMARA CLIMATIZADA FOTOPERIODO EL212/4</t>
  </si>
  <si>
    <t>ALVAALAB PRODUTOS E EQUIPAMENTOS PARA LABORATORIO LTDA</t>
  </si>
  <si>
    <t>42.609.481/0001-87</t>
  </si>
  <si>
    <t>MVU-180</t>
  </si>
  <si>
    <t>IS000912</t>
  </si>
  <si>
    <t>AR CONDICIONADO HW GTOP GREE 12000BTUS</t>
  </si>
  <si>
    <t>MVU-181</t>
  </si>
  <si>
    <t>IS000913</t>
  </si>
  <si>
    <t>AR CONDICIONADO SPLIT G TOP GREE 18000BTUS</t>
  </si>
  <si>
    <t>MVU-182</t>
  </si>
  <si>
    <t>IS000914</t>
  </si>
  <si>
    <t>AR CONDICIONADO PISO TETO GREE 56000BTUS</t>
  </si>
  <si>
    <t>EQU-358</t>
  </si>
  <si>
    <t>IS000915</t>
  </si>
  <si>
    <t>TRANSFORMADOR TRIFASICO 112,5KVA</t>
  </si>
  <si>
    <t>VERTO BRASIL LTDA</t>
  </si>
  <si>
    <t>48.875.101/0001-32</t>
  </si>
  <si>
    <t>MVU-184</t>
  </si>
  <si>
    <t>IS000916</t>
  </si>
  <si>
    <t>EQU-361</t>
  </si>
  <si>
    <t>IS000917</t>
  </si>
  <si>
    <t>CORTADOR GRAMA BRANCO A GAS B4T-7000</t>
  </si>
  <si>
    <t>MAQ-018</t>
  </si>
  <si>
    <t>IS000918</t>
  </si>
  <si>
    <t>RAJ5DC7MPN3129161</t>
  </si>
  <si>
    <t>02.745.179/0006-46</t>
  </si>
  <si>
    <t>EQU-360</t>
  </si>
  <si>
    <t>IS000919</t>
  </si>
  <si>
    <t>CASA DO FRENTISTA COMERCIO DE MAQUINAS LTDA</t>
  </si>
  <si>
    <t>21.463.174/0001-60</t>
  </si>
  <si>
    <t>VEI-072</t>
  </si>
  <si>
    <t>IS000920</t>
  </si>
  <si>
    <t>SJQ7A01</t>
  </si>
  <si>
    <t>9BM951511PB323619</t>
  </si>
  <si>
    <t>CAMINHAO MERCEDES BENZ ATEGO 2429</t>
  </si>
  <si>
    <t>MAVEL MAQUINAS E VEICULOS LTDA</t>
  </si>
  <si>
    <t>11.342.912/0019-97</t>
  </si>
  <si>
    <t>MVU-185</t>
  </si>
  <si>
    <t>IS000921</t>
  </si>
  <si>
    <t>MVU-186</t>
  </si>
  <si>
    <t>IS000922</t>
  </si>
  <si>
    <t>EQU-364</t>
  </si>
  <si>
    <t>IS000923</t>
  </si>
  <si>
    <t>SISTEMA DE TELEMETRIA PROCER PARA GRAOS EM SILOS</t>
  </si>
  <si>
    <t>PROCER AUTOMACAO LTDA</t>
  </si>
  <si>
    <t>13.649.003/0001-00</t>
  </si>
  <si>
    <t>EQU-365</t>
  </si>
  <si>
    <t>IS000924</t>
  </si>
  <si>
    <t>TANQUE PRE-MISTURA DEFENSIVOS 2.000 LTS</t>
  </si>
  <si>
    <t>DIVISA COMERCIO E SERVICOS LTDA</t>
  </si>
  <si>
    <t>11.190.449/0001-86</t>
  </si>
  <si>
    <t>VEI-071</t>
  </si>
  <si>
    <t>IS000925</t>
  </si>
  <si>
    <t>9C2KC2500RR005342</t>
  </si>
  <si>
    <t>MVU-187</t>
  </si>
  <si>
    <t>IS000926</t>
  </si>
  <si>
    <t>LAVADORA DE ROUPAS BRASTEMP BWK12</t>
  </si>
  <si>
    <t>EQI-112</t>
  </si>
  <si>
    <t>IS000927</t>
  </si>
  <si>
    <t>TEC PRINT SUPRIMENTOS E ASSISTENCIA TECNICA LTDA</t>
  </si>
  <si>
    <t>05.654.516/0001-73</t>
  </si>
  <si>
    <t>EQU-366</t>
  </si>
  <si>
    <t>IS000928</t>
  </si>
  <si>
    <t xml:space="preserve">TANQUE DE COMBUSTIVEL 20.000 LTS FAZ. GRANDE LESTE </t>
  </si>
  <si>
    <t>EQU-367</t>
  </si>
  <si>
    <t>IS000929</t>
  </si>
  <si>
    <t>TANQUE DE COMBUSTIVEL 20.000 LTS</t>
  </si>
  <si>
    <t>IMP-260</t>
  </si>
  <si>
    <t>IS000930</t>
  </si>
  <si>
    <t>ROLO COMPACTADOR AGRIMEC // KIT 3</t>
  </si>
  <si>
    <t>EQU-350</t>
  </si>
  <si>
    <t>IS000931</t>
  </si>
  <si>
    <t>MEDIDOR DE UMIDADE DO SOLO NOVOTEST MC7828SOIL</t>
  </si>
  <si>
    <t>EQU-371</t>
  </si>
  <si>
    <t>IS000932</t>
  </si>
  <si>
    <t>EQI-111</t>
  </si>
  <si>
    <t>IS000933</t>
  </si>
  <si>
    <t>MACBOOK APPLE PRO 13 M2 8GB</t>
  </si>
  <si>
    <t>HYPER CONFECCOES LTDA</t>
  </si>
  <si>
    <t>44.970.709/0001-95</t>
  </si>
  <si>
    <t>IMP-259</t>
  </si>
  <si>
    <t>IS000934</t>
  </si>
  <si>
    <t>CARRETA GRANELEIRA REBOKE 25000 INOX</t>
  </si>
  <si>
    <t>MAQ-019</t>
  </si>
  <si>
    <t>IS000935</t>
  </si>
  <si>
    <t>LEP360-1624-11007CNF</t>
  </si>
  <si>
    <t>EMPILHADEIRA CLARK LEP30</t>
  </si>
  <si>
    <t>CLARK MATERIAL HANDLING BRASIL S.A</t>
  </si>
  <si>
    <t>EQU-349</t>
  </si>
  <si>
    <t>IS000936</t>
  </si>
  <si>
    <t>ANALISADOR DE UMIDADE 50GR MARTE</t>
  </si>
  <si>
    <t>MVU-188</t>
  </si>
  <si>
    <t>IS000937</t>
  </si>
  <si>
    <t>BEBEDOURO INDUSTRIAL KNOX 3T</t>
  </si>
  <si>
    <t>VEI-075</t>
  </si>
  <si>
    <t>IS000938</t>
  </si>
  <si>
    <t>EQU-372</t>
  </si>
  <si>
    <t>IS000939</t>
  </si>
  <si>
    <t>EQU-368</t>
  </si>
  <si>
    <t>IS000940</t>
  </si>
  <si>
    <t>CABINE SUPLEMENTAR 06 LUGARES ALVORADA</t>
  </si>
  <si>
    <t>MVU-190</t>
  </si>
  <si>
    <t>IS000941</t>
  </si>
  <si>
    <t>EQU-369</t>
  </si>
  <si>
    <t>IS000942</t>
  </si>
  <si>
    <t>CARROCERIA IDEAL</t>
  </si>
  <si>
    <t>CARROCERIAS IDEAL LTDA</t>
  </si>
  <si>
    <t>VEI-073</t>
  </si>
  <si>
    <t>IS000943</t>
  </si>
  <si>
    <t>SJO1D12</t>
  </si>
  <si>
    <t>9BM951104RB341815</t>
  </si>
  <si>
    <t>CAMINHAO MERCEDES BENZ ACCELO 1017</t>
  </si>
  <si>
    <t>MERCEDES BENZ DO BRASIL LTDA</t>
  </si>
  <si>
    <t>EQU-370</t>
  </si>
  <si>
    <t>IS000944</t>
  </si>
  <si>
    <t>GUINCHO HIDRAULICO RIBEIRO 3 TONELAS</t>
  </si>
  <si>
    <t>MVU-189</t>
  </si>
  <si>
    <t>IS000945</t>
  </si>
  <si>
    <t>SELF-SERVICE TERMICO VENANCIO 12CUBAS</t>
  </si>
  <si>
    <t>EXCLUSIVA UTILIDADES E EMBALAGENS LTDA EPP</t>
  </si>
  <si>
    <t>VEI-076</t>
  </si>
  <si>
    <t>IS000946</t>
  </si>
  <si>
    <t>FWV2J86</t>
  </si>
  <si>
    <t>9BM384078EB963061</t>
  </si>
  <si>
    <t>ONIBUS MB COMIL SVELTO</t>
  </si>
  <si>
    <t>SERRA TRANSPORTE E TURISMO LTDA</t>
  </si>
  <si>
    <t>33.380.658/0001-25</t>
  </si>
  <si>
    <t>VEI-074</t>
  </si>
  <si>
    <t>IS000947</t>
  </si>
  <si>
    <t>DPB9F96</t>
  </si>
  <si>
    <t>9BM384078CB843705</t>
  </si>
  <si>
    <t>ONIBUS MB INDUSCAR APACHE</t>
  </si>
  <si>
    <t>EQU-363</t>
  </si>
  <si>
    <t>IS000948</t>
  </si>
  <si>
    <t>GERADOR SCANIA/WEG 500KVA</t>
  </si>
  <si>
    <t>CIKLO INDUSTRIA E COMERCIO DE GERADORES LTDA</t>
  </si>
  <si>
    <t>17.206.381/0001-62</t>
  </si>
  <si>
    <t>EQU-380</t>
  </si>
  <si>
    <t>IS000949</t>
  </si>
  <si>
    <t>TANQUE PRE-MISTURA DEFENSIVOS 1.500 LTS</t>
  </si>
  <si>
    <t>MVU-199</t>
  </si>
  <si>
    <t>IS000950</t>
  </si>
  <si>
    <t>TV AOC LED 43 POL FULL HD</t>
  </si>
  <si>
    <t>MVU-201</t>
  </si>
  <si>
    <t>IS000951</t>
  </si>
  <si>
    <t>LAVADORA DE ALTA PRESSAO STIHL RE110 1,7KW</t>
  </si>
  <si>
    <t>MVU-194</t>
  </si>
  <si>
    <t>IS000952</t>
  </si>
  <si>
    <t>FORNO ELETRICO BEST 48LTS PLUS</t>
  </si>
  <si>
    <t>MVU-195</t>
  </si>
  <si>
    <t>IS000953</t>
  </si>
  <si>
    <t>AR CONDICIONADO GREE G-TOP PLUS 9000BTUS</t>
  </si>
  <si>
    <t>MVU-197</t>
  </si>
  <si>
    <t>IS000954</t>
  </si>
  <si>
    <t>MVU-202</t>
  </si>
  <si>
    <t>IS000955</t>
  </si>
  <si>
    <t>MVU-196</t>
  </si>
  <si>
    <t>IS000956</t>
  </si>
  <si>
    <t>AR CONDICIONADO GREE G-TOP PLUS 24000BTUS</t>
  </si>
  <si>
    <t>MVU-200</t>
  </si>
  <si>
    <t>IS000957</t>
  </si>
  <si>
    <t>EQU-373</t>
  </si>
  <si>
    <t>IS000958</t>
  </si>
  <si>
    <t>BANHO MARIA SSD DIGITAL 10 LTS</t>
  </si>
  <si>
    <t>PATRICIA SOLANO DE OLIVEIRA MATERIAS PARA LABORATORIOS</t>
  </si>
  <si>
    <t>28.550.363/0001-10</t>
  </si>
  <si>
    <t>MVU-191</t>
  </si>
  <si>
    <t>IS000959</t>
  </si>
  <si>
    <t>FREEZER GELOPAR HORIZONTAL PC 532L</t>
  </si>
  <si>
    <t>MVU-192</t>
  </si>
  <si>
    <t>IS000960</t>
  </si>
  <si>
    <t>BEBEDOURO KNOX KX20D3T1</t>
  </si>
  <si>
    <t>MVU-193</t>
  </si>
  <si>
    <t>IS000961</t>
  </si>
  <si>
    <t>FOGAO VENANCIO MAXI 40CM</t>
  </si>
  <si>
    <t>IMP-261</t>
  </si>
  <si>
    <t>IS000962</t>
  </si>
  <si>
    <t>SJS8C36</t>
  </si>
  <si>
    <t>9EP021020R1000597</t>
  </si>
  <si>
    <t>NOMA DO BRASIL SOCIEDADE ANONIMA EM RECUPERACAO JUDICIAL</t>
  </si>
  <si>
    <t>79.131.918/0001-20</t>
  </si>
  <si>
    <t>VEI-078</t>
  </si>
  <si>
    <t>IS000963</t>
  </si>
  <si>
    <t>SJQ7F13</t>
  </si>
  <si>
    <t>9BVRT60D3RE946957</t>
  </si>
  <si>
    <t>CAMINHAO VOLVO FH 540 6X4</t>
  </si>
  <si>
    <t>VOLVO DO BRASIL VEICULOS LTDA</t>
  </si>
  <si>
    <t>43.999.424/0001-14</t>
  </si>
  <si>
    <t>EQU-376</t>
  </si>
  <si>
    <t>IS000964</t>
  </si>
  <si>
    <t>MAQUINA INVERSORA DE SOLDA ESAB LHN 242 PLUS</t>
  </si>
  <si>
    <t>BC FERRAMENTARIA  C DE MAQUINAS FERRAMENTAS E UTILIDADES LTDA</t>
  </si>
  <si>
    <t>EQU-377</t>
  </si>
  <si>
    <t>IS000965</t>
  </si>
  <si>
    <t>COMPRESSOR DE AR CHIAPERINI 20 PES 250L</t>
  </si>
  <si>
    <t>EQU-378</t>
  </si>
  <si>
    <t>IS000966</t>
  </si>
  <si>
    <t>MOTOREDUTOR GD60 EIXO VAZAO 20CV 4P ANTI-RECUO</t>
  </si>
  <si>
    <t>IS000967</t>
  </si>
  <si>
    <t>EQUIPAMENTO DE DIALISE POC FMD 204 DE OLEO DIESEL TIPO MOVEL</t>
  </si>
  <si>
    <t>EQU-388</t>
  </si>
  <si>
    <t>IS000968</t>
  </si>
  <si>
    <t>PIVOT CENTRAL VALLEY SERIE 17524</t>
  </si>
  <si>
    <t>01.669.679/0001-79</t>
  </si>
  <si>
    <t>EQU-389</t>
  </si>
  <si>
    <t>IS000969</t>
  </si>
  <si>
    <t>PIVOT CENTRAL VALLEY SERIE 17525</t>
  </si>
  <si>
    <t>EQU-390</t>
  </si>
  <si>
    <t>IS000970</t>
  </si>
  <si>
    <t>PIVOT CENTRAL VALLEY SERIE 17526</t>
  </si>
  <si>
    <t>EQU-391</t>
  </si>
  <si>
    <t>IS000971</t>
  </si>
  <si>
    <t>PIVOT CENTRAL VALLEY SERIE 17527</t>
  </si>
  <si>
    <t>EQU-392</t>
  </si>
  <si>
    <t>IS000972</t>
  </si>
  <si>
    <t>PIVOT CENTRAL VALLEY SERIE 17528</t>
  </si>
  <si>
    <t>EQU-393</t>
  </si>
  <si>
    <t>IS000973</t>
  </si>
  <si>
    <t>PIVOT CENTRAL VALLEY SERIE 17529</t>
  </si>
  <si>
    <t>EQU-394</t>
  </si>
  <si>
    <t>IS000974</t>
  </si>
  <si>
    <t>PIVOT CENTRAL VALLEY SERIE 17530</t>
  </si>
  <si>
    <t>EQU-395</t>
  </si>
  <si>
    <t>IS000975</t>
  </si>
  <si>
    <t>PIVOT CENTRAL VALLEY SERIE 17531</t>
  </si>
  <si>
    <t>EQU-396</t>
  </si>
  <si>
    <t>IS000976</t>
  </si>
  <si>
    <t>PIVOT CENTRAL VALLEY SERIE 17532</t>
  </si>
  <si>
    <t>EQU-397</t>
  </si>
  <si>
    <t>IS000977</t>
  </si>
  <si>
    <t>PIVOT CENTRAL VALLEY SERIE 17533</t>
  </si>
  <si>
    <t>VEI-077</t>
  </si>
  <si>
    <t>IS000978</t>
  </si>
  <si>
    <t>SJP9H30</t>
  </si>
  <si>
    <t>8AFBR01L5RJ368049</t>
  </si>
  <si>
    <t>CAMINHONETE FORD RANGER CD 4X4  XLT</t>
  </si>
  <si>
    <t>FORD MOTOR COMPANY BRASIL LTDA</t>
  </si>
  <si>
    <t>03.470.727/0041-18</t>
  </si>
  <si>
    <t>COL-017</t>
  </si>
  <si>
    <t>IS000979</t>
  </si>
  <si>
    <t>JHFY8250HPJB24367</t>
  </si>
  <si>
    <t>COLHEITADEIRA DE GRAOS CASE IH AXIAL FLOW 8250</t>
  </si>
  <si>
    <t>EQU-383</t>
  </si>
  <si>
    <t>IS000980</t>
  </si>
  <si>
    <t>EQU-384</t>
  </si>
  <si>
    <t>IS000981</t>
  </si>
  <si>
    <t>01.966.026/0001-52</t>
  </si>
  <si>
    <t>EQU-381</t>
  </si>
  <si>
    <t>IS000982</t>
  </si>
  <si>
    <t>ELEVADOR HIDRAULICO 4 TON</t>
  </si>
  <si>
    <t>EQU-386</t>
  </si>
  <si>
    <t>IS000983</t>
  </si>
  <si>
    <t>EQU-387</t>
  </si>
  <si>
    <t>IS000984</t>
  </si>
  <si>
    <t>CORTADOR DE GRAMA HUSQVARNA LC151 4,5HP</t>
  </si>
  <si>
    <t>IS000985</t>
  </si>
  <si>
    <t>CHAVE DE IMPACTO PNEUMATICA SCHULZ 3/4 POL 120KG</t>
  </si>
  <si>
    <t>COL-018</t>
  </si>
  <si>
    <t>IS000986</t>
  </si>
  <si>
    <t>JHFY8250PPJB24391</t>
  </si>
  <si>
    <t>EQI-116</t>
  </si>
  <si>
    <t>IS000987</t>
  </si>
  <si>
    <t>MONITOR AOC LED 21.5" FULL HD</t>
  </si>
  <si>
    <t>EQU-374</t>
  </si>
  <si>
    <t>IS000988</t>
  </si>
  <si>
    <t>ESTUFA AGRICOLA ZANNALEVE P</t>
  </si>
  <si>
    <t>Tropical Estufas Agricolas Ltda.</t>
  </si>
  <si>
    <t>01.473.805/0001-15</t>
  </si>
  <si>
    <t>EQU-375</t>
  </si>
  <si>
    <t>IS000989</t>
  </si>
  <si>
    <t>KIT ABASTECIMENTO ARLA 230V</t>
  </si>
  <si>
    <t>PORTO BRASIL MOTORES E FERRAMENTAS LTDA</t>
  </si>
  <si>
    <t>IMP-264</t>
  </si>
  <si>
    <t>IS000990</t>
  </si>
  <si>
    <t>HCCB40FCTPCK23541</t>
  </si>
  <si>
    <t>PLATAFORMA DE GRAOS DRAPER TERRAFLEX 3162</t>
  </si>
  <si>
    <t>EQI-113</t>
  </si>
  <si>
    <t>IS000991</t>
  </si>
  <si>
    <t>CATRACA ELETROMECANICA M OPTSIS</t>
  </si>
  <si>
    <t>OPTSIS SISTEMAS DE AUTOMACAO LTDA</t>
  </si>
  <si>
    <t>32.813.710/0001-27</t>
  </si>
  <si>
    <t>VEI-079</t>
  </si>
  <si>
    <t>IS000992</t>
  </si>
  <si>
    <t>9C2KC2500RR032937</t>
  </si>
  <si>
    <t>EQU-409</t>
  </si>
  <si>
    <t>IS000993</t>
  </si>
  <si>
    <t>SOPRADOR JUSTI BG 86C</t>
  </si>
  <si>
    <t>A FERRAMENTARIA COMERCIO E REPRESENTACOES DE MAQUINAS E FERR</t>
  </si>
  <si>
    <t>VEI-080</t>
  </si>
  <si>
    <t>IS000994</t>
  </si>
  <si>
    <t>3C6RRBDT9PG528114</t>
  </si>
  <si>
    <t>RAM CLASSIC LARAMIE</t>
  </si>
  <si>
    <t>16.701.716/0025-23</t>
  </si>
  <si>
    <t>IS000995</t>
  </si>
  <si>
    <t>THD3H30</t>
  </si>
  <si>
    <t>8AJDA3CDXS1851622</t>
  </si>
  <si>
    <t>CAMINHONETE TOYOTA HILUX 4X4D STD PP AT 25</t>
  </si>
  <si>
    <t>EQU-385</t>
  </si>
  <si>
    <t>IS000996</t>
  </si>
  <si>
    <t>GERADOR B4T-13000 E</t>
  </si>
  <si>
    <t>EQU-398</t>
  </si>
  <si>
    <t>IS000997</t>
  </si>
  <si>
    <t>BALANCA ELETRONICA PRIX 3 32KG</t>
  </si>
  <si>
    <t>EQU-399</t>
  </si>
  <si>
    <t>IS000998</t>
  </si>
  <si>
    <t>EQU-400</t>
  </si>
  <si>
    <t>IS000999</t>
  </si>
  <si>
    <t>TORNO MECANICO NARDINI NZ-400 X 4000</t>
  </si>
  <si>
    <t>INDUSTRIAS NARDINI S/A</t>
  </si>
  <si>
    <t>43.244.565/0001-27</t>
  </si>
  <si>
    <t>EQU-401</t>
  </si>
  <si>
    <t>IS001000</t>
  </si>
  <si>
    <t>ROCADEIRA A COMBUSTAO STIHL FR 410 COSTAL</t>
  </si>
  <si>
    <t>BRASMAQUINAS COMERCIO DE MAQUINAS AGRICOLAS E IRRIGACAO LTDA</t>
  </si>
  <si>
    <t>00.145.531/0004-15</t>
  </si>
  <si>
    <t>EQU-402</t>
  </si>
  <si>
    <t>IS001001</t>
  </si>
  <si>
    <t>SERRA FITA METVISA 1 CV</t>
  </si>
  <si>
    <t>CASA DO PICAPAU LTDA</t>
  </si>
  <si>
    <t>EQU-403</t>
  </si>
  <si>
    <t>IS001002</t>
  </si>
  <si>
    <t>EQU-404</t>
  </si>
  <si>
    <t>IS001003</t>
  </si>
  <si>
    <t>MAQUINA DE SOLDA RETIFICADORA ESAB ORIGOARC 455</t>
  </si>
  <si>
    <t>EQU-405</t>
  </si>
  <si>
    <t>IS001004</t>
  </si>
  <si>
    <t>FURADEIRA INDUSTRIAL DEWALT D21570K</t>
  </si>
  <si>
    <t>EQU-406</t>
  </si>
  <si>
    <t>IS001005</t>
  </si>
  <si>
    <t>EQU-407</t>
  </si>
  <si>
    <t>IS001006</t>
  </si>
  <si>
    <t>TANQUE RESERVATÓRIO  2,3M³</t>
  </si>
  <si>
    <t>EQU-408</t>
  </si>
  <si>
    <t>IS001007</t>
  </si>
  <si>
    <t>MOTOR A DIESEL BRANCO REFRIGERADO A AGUA BDA22</t>
  </si>
  <si>
    <t>EQU-410</t>
  </si>
  <si>
    <t>IS001008</t>
  </si>
  <si>
    <t>TRITURADOR FORRAGEIRO GARTHEN GTI</t>
  </si>
  <si>
    <t>EQU-411</t>
  </si>
  <si>
    <t>IS001009</t>
  </si>
  <si>
    <t>TANQUE PRE MISTURA 2.000 LTS INOX</t>
  </si>
  <si>
    <t>IS001010</t>
  </si>
  <si>
    <t>IMP-226</t>
  </si>
  <si>
    <t>IS001011</t>
  </si>
  <si>
    <t>ROCADEIRA DE ARRASTO BALDAN RPDL3000 DE 4 FACAS</t>
  </si>
  <si>
    <t>IS001012</t>
  </si>
  <si>
    <t>BC FERRAMENTARIA COMERCIO DE MAQUINAS FERRAMENTAS E UTILIDADES LTDA</t>
  </si>
  <si>
    <t>IS001013</t>
  </si>
  <si>
    <t>GRADE NIVELADORA TATU GNFM S-1014</t>
  </si>
  <si>
    <t>IMP-242</t>
  </si>
  <si>
    <t>IS001014</t>
  </si>
  <si>
    <t>RPF3F84</t>
  </si>
  <si>
    <t>94BC2133NNV004489</t>
  </si>
  <si>
    <t>PRANCHA FACHINNI 3 EIXOS RODOVIARIA</t>
  </si>
  <si>
    <t>03.509.978/0016-58</t>
  </si>
  <si>
    <t>IMP-263</t>
  </si>
  <si>
    <t>IS001015</t>
  </si>
  <si>
    <t>IS001016</t>
  </si>
  <si>
    <t>DESKTOP OPTPLEX MICRO 7010 I5</t>
  </si>
  <si>
    <t>DJG GROUP TECNOLOGIA LTDA</t>
  </si>
  <si>
    <t>58.193.477/0001-10</t>
  </si>
  <si>
    <t>MAQ-020</t>
  </si>
  <si>
    <t>IS001017</t>
  </si>
  <si>
    <t>MAQUINA DE LIMPEZA KEPLER MPL-120</t>
  </si>
  <si>
    <t>MAQ-021</t>
  </si>
  <si>
    <t>IS001018</t>
  </si>
  <si>
    <t>MAQUINA DE LIMPEZA KEPLER MPL-170</t>
  </si>
  <si>
    <t>IS001019</t>
  </si>
  <si>
    <t>IS001020</t>
  </si>
  <si>
    <t>IS001021</t>
  </si>
  <si>
    <t>IS001022</t>
  </si>
  <si>
    <t>CAIXA D'AGUA METALICA TUBULAR 50m³</t>
  </si>
  <si>
    <t>METALURGICA LORENZI LTDA</t>
  </si>
  <si>
    <t>MVU-120</t>
  </si>
  <si>
    <t>IS001023</t>
  </si>
  <si>
    <t>MESA DE MARMORE</t>
  </si>
  <si>
    <t>IS001024</t>
  </si>
  <si>
    <t>MVU-203</t>
  </si>
  <si>
    <t>IS001025</t>
  </si>
  <si>
    <t>FREEZER FRICON DUAS TAMPAS 503 LTS</t>
  </si>
  <si>
    <t>MVU-204</t>
  </si>
  <si>
    <t>IS001026</t>
  </si>
  <si>
    <t>MVU-205</t>
  </si>
  <si>
    <t>IS001027</t>
  </si>
  <si>
    <t>MVU-206</t>
  </si>
  <si>
    <t>IS001028</t>
  </si>
  <si>
    <t>FREEZER GELOPAR HORIZONTAL 306 LTS</t>
  </si>
  <si>
    <t>MVU-207</t>
  </si>
  <si>
    <t>IS001029</t>
  </si>
  <si>
    <t>AR CONDICIONADO GREE 12000 BTUS</t>
  </si>
  <si>
    <t>MVU-208</t>
  </si>
  <si>
    <t>IS001030</t>
  </si>
  <si>
    <t>00.607.587/0029-01</t>
  </si>
  <si>
    <t>MVU-209</t>
  </si>
  <si>
    <t>IS001031</t>
  </si>
  <si>
    <t>MVU-210</t>
  </si>
  <si>
    <t>IS001032</t>
  </si>
  <si>
    <t>AR-CONDICIONADO GREE 12000 BTUS</t>
  </si>
  <si>
    <t>00.607.587/0029-03</t>
  </si>
  <si>
    <t>IS001033</t>
  </si>
  <si>
    <t>91V07144SSC218409</t>
  </si>
  <si>
    <t>CARRETA GRANELEIRA GUERRA SR GRANEL 4E 1E D PN KLL 6X2 14000 MAD 2025</t>
  </si>
  <si>
    <t>GUERRA IMPLEMENTOS RODOVIARIOS S/A</t>
  </si>
  <si>
    <t>31.008.318/0004-95</t>
  </si>
  <si>
    <t>EQU-412</t>
  </si>
  <si>
    <t>IS001034</t>
  </si>
  <si>
    <t>MAQUINA INVERSORA DE SOLDA ESAB LHN 162</t>
  </si>
  <si>
    <t>EQU-413</t>
  </si>
  <si>
    <t>IS001035</t>
  </si>
  <si>
    <t>BASE MSG LTDA</t>
  </si>
  <si>
    <t>24.272.128/0001-72</t>
  </si>
  <si>
    <t>EQU-414</t>
  </si>
  <si>
    <t>IS001036</t>
  </si>
  <si>
    <t>INOCULADOR DE SEMENTES TS BIO JET</t>
  </si>
  <si>
    <t>BIO JET MAQUINAS E EQUIPAMENTOS LTDA</t>
  </si>
  <si>
    <t>41.061.119/0001-51</t>
  </si>
  <si>
    <t>EQU-415</t>
  </si>
  <si>
    <t>IS001037</t>
  </si>
  <si>
    <t>CONTAINER GRIMALDI</t>
  </si>
  <si>
    <t>EQU-416</t>
  </si>
  <si>
    <t>IS001038</t>
  </si>
  <si>
    <t>IMP-266</t>
  </si>
  <si>
    <t>IS001039</t>
  </si>
  <si>
    <t>ROCADEIRA DE ARRASTO BALDAN RPDL3000</t>
  </si>
  <si>
    <t>IMP-267</t>
  </si>
  <si>
    <t>IS001040</t>
  </si>
  <si>
    <t>2024CSC2400JM230F</t>
  </si>
  <si>
    <t>COLHEITADEIRA DE SEM. DE CAPIM  JUMBO CSC</t>
  </si>
  <si>
    <t xml:space="preserve">CSC INDUSTRIA DE MAQUINAS EQUIPAMENTOS </t>
  </si>
  <si>
    <t>IMP-268</t>
  </si>
  <si>
    <t>IS001041</t>
  </si>
  <si>
    <t>2024CSC2400JM231F</t>
  </si>
  <si>
    <t>IMP-269</t>
  </si>
  <si>
    <t>IS001042</t>
  </si>
  <si>
    <t>CARRETA PRE MISTURA SF</t>
  </si>
  <si>
    <t>IMP-270</t>
  </si>
  <si>
    <t>IS001043</t>
  </si>
  <si>
    <t>EQUIPAMENTO GRIMALDI ROLL ON ROLL</t>
  </si>
  <si>
    <t>Grimaldi Ind. de Equip. para Transportes Ltd</t>
  </si>
  <si>
    <t>IMP-271</t>
  </si>
  <si>
    <t>IS001044</t>
  </si>
  <si>
    <t>2024CSC2400JM232F</t>
  </si>
  <si>
    <t>IMP-272</t>
  </si>
  <si>
    <t>IS001045</t>
  </si>
  <si>
    <t>2024CSC2400JM233F</t>
  </si>
  <si>
    <t>MVU-211</t>
  </si>
  <si>
    <t>IS001046</t>
  </si>
  <si>
    <t>FORNO FTG300 G-PANIZ</t>
  </si>
  <si>
    <t>MVU-212</t>
  </si>
  <si>
    <t>IS001047</t>
  </si>
  <si>
    <t>FREEZER HORIZONTAL GHBS-510</t>
  </si>
  <si>
    <t>02.375.921/0011-37</t>
  </si>
  <si>
    <t>MVU-213</t>
  </si>
  <si>
    <t>IS001048</t>
  </si>
  <si>
    <t>FREEZER HORIZONTAL GHBS-310</t>
  </si>
  <si>
    <t>02.375.921/0011-38</t>
  </si>
  <si>
    <t>MVU-214</t>
  </si>
  <si>
    <t>IS001049</t>
  </si>
  <si>
    <t>LIQUIDIFICADOR SKYMSEN INDUSTRIAL 15 LTS</t>
  </si>
  <si>
    <t>02.375.921/0011-39</t>
  </si>
  <si>
    <t>MVU-215</t>
  </si>
  <si>
    <t>IS001050</t>
  </si>
  <si>
    <t>CORTADOR DE FRIOS BERMAR BM 06 NR</t>
  </si>
  <si>
    <t>02.375.921/0011-40</t>
  </si>
  <si>
    <t>MVU-216</t>
  </si>
  <si>
    <t>IS001051</t>
  </si>
  <si>
    <t>BATEDEIRA PLANETARIA G PANIZ</t>
  </si>
  <si>
    <t>02.375.921/0011-41</t>
  </si>
  <si>
    <t>MVU-217</t>
  </si>
  <si>
    <t>IS001052</t>
  </si>
  <si>
    <t>AMASSADEIRA RAPIDA G.PANIZ SR-25 SS 220V</t>
  </si>
  <si>
    <t>02.375.921/0011-42</t>
  </si>
  <si>
    <t>MVU-218</t>
  </si>
  <si>
    <t>IS001053</t>
  </si>
  <si>
    <t>REFRESQUEIRA IBBL BBS2</t>
  </si>
  <si>
    <t>02.375.921/0011-43</t>
  </si>
  <si>
    <t>MVU-219</t>
  </si>
  <si>
    <t>IS001054</t>
  </si>
  <si>
    <t>REFRIGERADOR BRASTEMP BRE57AK</t>
  </si>
  <si>
    <t>02.375.921/0011-44</t>
  </si>
  <si>
    <t>MVU-220</t>
  </si>
  <si>
    <t>IS001055</t>
  </si>
  <si>
    <t>MAQUINA DE LAVAR BRASTEMP BWK13A9</t>
  </si>
  <si>
    <t>02.375.921/0011-45</t>
  </si>
  <si>
    <t>MVU-221</t>
  </si>
  <si>
    <t>IS001056</t>
  </si>
  <si>
    <t>IS001057</t>
  </si>
  <si>
    <t>VEI-046</t>
  </si>
  <si>
    <t>IS001058</t>
  </si>
  <si>
    <t>RCU9D58</t>
  </si>
  <si>
    <t>8AJKA3CD1L3081971</t>
  </si>
  <si>
    <t>CAMINHONETE TOYOTA HILUX CD 4X4 SR AT</t>
  </si>
  <si>
    <t>IS001059</t>
  </si>
  <si>
    <t>MEDIDOR DE UMIDADE G 650</t>
  </si>
  <si>
    <t>DELTA AGRO COMERCIO E REPRESENTACOES LTDA</t>
  </si>
  <si>
    <t>IS001060</t>
  </si>
  <si>
    <t>TV PHILCO 65 POL 4K</t>
  </si>
  <si>
    <t>GRUPO CASAS BAHIA SA</t>
  </si>
  <si>
    <t>33.041.260/0486-04</t>
  </si>
  <si>
    <t>IS001061</t>
  </si>
  <si>
    <t>AR CONDICIONADO GREE 24000 BTUS</t>
  </si>
  <si>
    <t>IS001062</t>
  </si>
  <si>
    <t>OLX6I69</t>
  </si>
  <si>
    <t>9532L82W6CR236017</t>
  </si>
  <si>
    <t>ONIBUS MPOLO VIAGGIO</t>
  </si>
  <si>
    <t>544.053.510-15</t>
  </si>
  <si>
    <t>IS001063</t>
  </si>
  <si>
    <t>2024CSC2400JM234F</t>
  </si>
  <si>
    <t>IS001064</t>
  </si>
  <si>
    <t>2024CSC2400JM235F</t>
  </si>
  <si>
    <t>IS001065</t>
  </si>
  <si>
    <t>ALOJAMENTO PRE MOLDADO D 240m²</t>
  </si>
  <si>
    <t>IS001066</t>
  </si>
  <si>
    <t>GUARITA FAZ. SANTO EXPEDITO BENFEITORIA EM IMOVEL RURAL</t>
  </si>
  <si>
    <t>SACI SOLUCOES AMOSTRAGEM E COLETA DE INFORMACOES LTDA</t>
  </si>
  <si>
    <t>11.484.421/0001-51</t>
  </si>
  <si>
    <t>IS001067</t>
  </si>
  <si>
    <t>BENFEITORIA EM IMOVEL RURAL GALPAO DEFENSIVOS FAZ. GRANDE LESTE 600m2</t>
  </si>
  <si>
    <t>41.096.085/0001-30</t>
  </si>
  <si>
    <t>IS001068</t>
  </si>
  <si>
    <t>BENFEITORIA EM IMOVEL RURAL GALPAO DEFENSIVOS FAZ. SANTA LUCIA 748m2</t>
  </si>
  <si>
    <t>IS001069</t>
  </si>
  <si>
    <t>ALMOXARIFADO FAZ. SANTA LUCIA</t>
  </si>
  <si>
    <t>IS001070</t>
  </si>
  <si>
    <t>BASE CAIXA D'AGUA FAZ. SANTA LUCIA</t>
  </si>
  <si>
    <t>JOSE DENICIO DOS SANTOS</t>
  </si>
  <si>
    <t>13.350.728/0001-95</t>
  </si>
  <si>
    <t>IS001071</t>
  </si>
  <si>
    <t>CAIXA D'AGUA METALICA TUBULAR 10.000 LTS</t>
  </si>
  <si>
    <t>KOLLN ESTRUTURAS E SERVICOS LTDA</t>
  </si>
  <si>
    <t>IS001072</t>
  </si>
  <si>
    <t>GUINCHO HIDRAULICO BREMEN 3 TON</t>
  </si>
  <si>
    <t>IS001073</t>
  </si>
  <si>
    <t>BENFEITORIA EM IMOVEL RURAL CASA DOS MOTORISTAS FAZ. SANTA LUCIA</t>
  </si>
  <si>
    <t>IS001074</t>
  </si>
  <si>
    <t>CASA DO TI FAZ. SANTA LUCIA BENFEITORIA FUNCIONAL</t>
  </si>
  <si>
    <t>IS001075</t>
  </si>
  <si>
    <t>CANTINA BENFEITORIA FUNCIONAL FAZ. GRANDE LESTE</t>
  </si>
  <si>
    <t>IS001076</t>
  </si>
  <si>
    <t>BENFEITORIA EM IMOVEL RURAL GUARITA FAZ. GRANDE LESTE</t>
  </si>
  <si>
    <t>IS001077</t>
  </si>
  <si>
    <t>ALOJAMENTO 3 450m FAZ. SANTA LUCIA</t>
  </si>
  <si>
    <t>PUL-010</t>
  </si>
  <si>
    <t>IS001078</t>
  </si>
  <si>
    <t>PRCYP350ALPC04161</t>
  </si>
  <si>
    <t>02.227.267/0001-42</t>
  </si>
  <si>
    <t>IS001079</t>
  </si>
  <si>
    <t>ESTRADA EXTERNA FAZ. GRANDE LESTE</t>
  </si>
  <si>
    <t>IS001080</t>
  </si>
  <si>
    <t>ESTRADA INTERNA FAZ. SANTA LUCIA</t>
  </si>
  <si>
    <t>IS001081</t>
  </si>
  <si>
    <t>PISTA DE POUSO FAZ. GRANDE LESTE BENFEITORIA EM IMOVEL RURAL</t>
  </si>
  <si>
    <t>IS001082</t>
  </si>
  <si>
    <t>POCO ARTESIANO SEDE FAZ. SANTO EXPEDITO</t>
  </si>
  <si>
    <t>IS001083</t>
  </si>
  <si>
    <t>ALOJAMENTO 1 BENFEITORIA FUNCIONAL FAZ. GRANDE LESTE</t>
  </si>
  <si>
    <t>IS001084</t>
  </si>
  <si>
    <t>BENFEITORIA EM IMOVEL RURAL QUADRA DE ESPORTES FAZ. SANTA LUCIA</t>
  </si>
  <si>
    <t>IS001085</t>
  </si>
  <si>
    <t>ALOJAMENTO 2 BENFEITORIA FUNCIONAL FAZ. GRANDE LESTE</t>
  </si>
  <si>
    <t>IS001086</t>
  </si>
  <si>
    <t>ALOJAMENTO 1 BENFEITORIA FUNCIONAL FAZ. SANTO EXPEDITO</t>
  </si>
  <si>
    <t>IS001087</t>
  </si>
  <si>
    <t>ALOJAMENTO 2 BENFEITORIA FUNCIONAL FAZ. SANTO EXPEDITO</t>
  </si>
  <si>
    <t>IS001088</t>
  </si>
  <si>
    <t>ALOJAMENTO 3 BENFEITORIA FUNCIONAL FAZ. SANTO EXPEDITO</t>
  </si>
  <si>
    <t>IS001089</t>
  </si>
  <si>
    <t>REDE ELETRICA INFRAESTRUTURA FAZ. SANTO EXPEDITO</t>
  </si>
  <si>
    <t>IS001090</t>
  </si>
  <si>
    <t>ALOJAMENTO PRE MOLDADO FAZ. JATOBA 240m²</t>
  </si>
  <si>
    <t>IS001091</t>
  </si>
  <si>
    <t>MOEGA FAZ. SANTO EXPEDITO BENFEITORIA EM IMOVEL RURAL</t>
  </si>
  <si>
    <t>IS001092</t>
  </si>
  <si>
    <t>CASA DOS MOTORISTAS FAZ. SANTO EXPEDITO 30m2 BENFEITORIA RESIDENCIAL</t>
  </si>
  <si>
    <t>IS001093</t>
  </si>
  <si>
    <t>CASA 1 ADM FAZ. GRANDE LESTE BENFEITORIA RESIDENCIAL</t>
  </si>
  <si>
    <t>IS001094</t>
  </si>
  <si>
    <t>CASA 2 ADM FAZ. GRANDE LESTE BENFEITORIA RESIDENCIAL</t>
  </si>
  <si>
    <t>IS001095</t>
  </si>
  <si>
    <t>POCO ARTESIANO SEDE FAZ. SANTA LUCIA</t>
  </si>
  <si>
    <t>IS001096</t>
  </si>
  <si>
    <t>MOTOSSERRA STIHL MS382</t>
  </si>
  <si>
    <t>IS001097</t>
  </si>
  <si>
    <t>2024CSC2400JM236F</t>
  </si>
  <si>
    <t>IS001098</t>
  </si>
  <si>
    <t>2024CSC2400JM237F</t>
  </si>
  <si>
    <t>IS001099</t>
  </si>
  <si>
    <t>2024CSC2400JM238F</t>
  </si>
  <si>
    <t>IS001100</t>
  </si>
  <si>
    <t>2024CSC2400JM239F</t>
  </si>
  <si>
    <t>IS001101</t>
  </si>
  <si>
    <t>50.223.823/0005-88</t>
  </si>
  <si>
    <t>IS001102</t>
  </si>
  <si>
    <t>50.223.823/0005-89</t>
  </si>
  <si>
    <t>IS001103</t>
  </si>
  <si>
    <t>50.223.823/0005-90</t>
  </si>
  <si>
    <t>IS001104</t>
  </si>
  <si>
    <t>DETECTOR MULTIGAS PORTATIL MGT</t>
  </si>
  <si>
    <t>MRC COM. LOC. CAL. E MAN. EQUIPAMENTOS LTDA-ME</t>
  </si>
  <si>
    <t>20.550.060/0001-95</t>
  </si>
  <si>
    <t>IS001105</t>
  </si>
  <si>
    <t>MAQUINA INVERSORA DE SOLDA TORK KAB 150</t>
  </si>
  <si>
    <t>IS001106</t>
  </si>
  <si>
    <t>CORTADOR DE GRAMA TRAMONTINA CC50M</t>
  </si>
  <si>
    <t>IS001107</t>
  </si>
  <si>
    <t>ALE1240340</t>
  </si>
  <si>
    <t>ALEIRADOR ARRASTO FORRAGEIRAS 540</t>
  </si>
  <si>
    <t>IS001108</t>
  </si>
  <si>
    <t>CFFL240344</t>
  </si>
  <si>
    <t>CEIFADEIRA MORI TRI FLEX 540</t>
  </si>
  <si>
    <t>IS001109</t>
  </si>
  <si>
    <t>ALE1240341</t>
  </si>
  <si>
    <t>ALEIRADOR COMPACTA MORI DUO 540 RPM</t>
  </si>
  <si>
    <t>IS001110</t>
  </si>
  <si>
    <t>ROCADEIRA BALDAN RPDL 3000</t>
  </si>
  <si>
    <t>IS001111</t>
  </si>
  <si>
    <t>HCCZFA10LRCJ68680</t>
  </si>
  <si>
    <t>TRATOR AGRICOLA CASE FARMALL 100</t>
  </si>
  <si>
    <t>IS001112</t>
  </si>
  <si>
    <t>HCCZFA10VRCJ68692</t>
  </si>
  <si>
    <t>IS001113</t>
  </si>
  <si>
    <t>HCCZFA10PRCJ68668</t>
  </si>
  <si>
    <t>IS001114</t>
  </si>
  <si>
    <t>HCCZFA10LRCJ68694</t>
  </si>
  <si>
    <t>IS001115</t>
  </si>
  <si>
    <t>HCCZFA10ARCJ68631</t>
  </si>
  <si>
    <t>IS001116</t>
  </si>
  <si>
    <t>MOTOBOMBA VONDER 3 7HP</t>
  </si>
  <si>
    <t>GURGELMIX MAQUINAS E FERRAMENTAS S.A</t>
  </si>
  <si>
    <t>IS001117</t>
  </si>
  <si>
    <t>BANHO MARIA SOLID STEEL SSDI DIGITAL 10 LTS</t>
  </si>
  <si>
    <t>COMPOSITIS COMERCIO DE EQUIPAMENTOS EIRELI</t>
  </si>
  <si>
    <t>30.407.297/0001-75</t>
  </si>
  <si>
    <t>IS001119</t>
  </si>
  <si>
    <t>IS001118</t>
  </si>
  <si>
    <t>HCCZ3F11LPCG66490</t>
  </si>
  <si>
    <t>TRATOR AGRICOLA CASE FARMALL 110</t>
  </si>
  <si>
    <t>HCCZ3F11JPCG66449</t>
  </si>
  <si>
    <t>IS001120</t>
  </si>
  <si>
    <t>HCCZ3F11LPCG66537</t>
  </si>
  <si>
    <t>IS001121</t>
  </si>
  <si>
    <t>INCORPORADOR ROTATIVO SIMABA</t>
  </si>
  <si>
    <t>IS001122</t>
  </si>
  <si>
    <t>BALANCA SEMI ANALITICA MARTE 510G</t>
  </si>
  <si>
    <t>DEBORA DOS SANTOS RIBEIRO</t>
  </si>
  <si>
    <t>15.353.848/0001-71</t>
  </si>
  <si>
    <t>IS001123</t>
  </si>
  <si>
    <t>MAQ. CATADOR DE PEDRA PINHALENSE MESA MVF-3</t>
  </si>
  <si>
    <t>IS001124</t>
  </si>
  <si>
    <t>TV SAMSUNG 65 POL 4K</t>
  </si>
  <si>
    <t>Brasil Inter Comex Eletronicos e Informatica EIRELI</t>
  </si>
  <si>
    <t>17.642.282/0001-23</t>
  </si>
  <si>
    <t>IS001125</t>
  </si>
  <si>
    <t>COMPRESSOR DE AR PRESSURE STORM ELETRICO 600HP 200L 5HP</t>
  </si>
  <si>
    <t>IS001126</t>
  </si>
  <si>
    <t>BEBEDOURO ACQUA PRE50 2T</t>
  </si>
  <si>
    <t>IS001127</t>
  </si>
  <si>
    <t>BEBEDOURO ACQUA PRE100 3T</t>
  </si>
  <si>
    <t>IS001128</t>
  </si>
  <si>
    <t>IS001129</t>
  </si>
  <si>
    <t>RAJ5DC7MCP3258985</t>
  </si>
  <si>
    <t>IS001130</t>
  </si>
  <si>
    <t>MONITOR DELL 24 P2425H</t>
  </si>
  <si>
    <t>IS001131</t>
  </si>
  <si>
    <t>CARREFOUR COMERCIO E INDUSTRIA LTDA</t>
  </si>
  <si>
    <t>45.543.915/0846-95</t>
  </si>
  <si>
    <t>IS001132</t>
  </si>
  <si>
    <t>FREEZER ELECTROLUX HORIZONTAL CHA31FB</t>
  </si>
  <si>
    <t>IS001133</t>
  </si>
  <si>
    <t>IS001134</t>
  </si>
  <si>
    <t>HCCZ3F11JPCG66631</t>
  </si>
  <si>
    <t>IS001135</t>
  </si>
  <si>
    <t>HCCZ3F11CPCG65831</t>
  </si>
  <si>
    <t>IS001136</t>
  </si>
  <si>
    <t>HCCZ3F11LRCG69666</t>
  </si>
  <si>
    <t>IS001137</t>
  </si>
  <si>
    <t>HCCZ3F11KPCG65767</t>
  </si>
  <si>
    <t>IS001138</t>
  </si>
  <si>
    <t>HCCZFA10VRCJ68644</t>
  </si>
  <si>
    <t>IS001139</t>
  </si>
  <si>
    <t>HCCZFA10PPCJ64312</t>
  </si>
  <si>
    <t>IS001140</t>
  </si>
  <si>
    <t>HCCZFA10JRCJ68674</t>
  </si>
  <si>
    <t>IS001141</t>
  </si>
  <si>
    <t>TORRE ESTAIADA 24M AUTO-SUSTENTAVEL</t>
  </si>
  <si>
    <t>J S DE ALMEIDA PERFILADOS ME</t>
  </si>
  <si>
    <t>19.034.268/0001-72</t>
  </si>
  <si>
    <t>IS001142</t>
  </si>
  <si>
    <t>IS001143</t>
  </si>
  <si>
    <t>CEIFADEIRA TRI 540</t>
  </si>
  <si>
    <t>IS001144</t>
  </si>
  <si>
    <t>TV LG ‎43 LED SMART</t>
  </si>
  <si>
    <t>2ELETRO COMERCIO E DISTRIBUICAO DE PRODUTOS DE INFORMATICA L</t>
  </si>
  <si>
    <t>34.036.601/0005-08</t>
  </si>
  <si>
    <t>IS001145</t>
  </si>
  <si>
    <t>34.036.601/0005-09</t>
  </si>
  <si>
    <t>IS001146</t>
  </si>
  <si>
    <t>FREEZER ELECTROLUX H440 400L</t>
  </si>
  <si>
    <t>IS001147</t>
  </si>
  <si>
    <t>EAGRI INDUSTRIA E COMERCIO DE MAQUINAS E EQUIPAMENTOS LTDA</t>
  </si>
  <si>
    <t>05.795.785/0001-50</t>
  </si>
  <si>
    <t>IS001148</t>
  </si>
  <si>
    <t>QUARTEADOR SEM. 18X15MM</t>
  </si>
  <si>
    <t>IS001149</t>
  </si>
  <si>
    <t>THB3C36</t>
  </si>
  <si>
    <t>8AFBR01N2TJ473883</t>
  </si>
  <si>
    <t>CAMINHONETE FORD RANGER CD 4X4 XLT</t>
  </si>
  <si>
    <t>IS001150</t>
  </si>
  <si>
    <t>BANHO MARIA DIGITAL- SSDI -10L</t>
  </si>
  <si>
    <t>IS001151</t>
  </si>
  <si>
    <t>BALANCA SEMI ANALITICA MARTE AD200</t>
  </si>
  <si>
    <t>IS001152</t>
  </si>
  <si>
    <t>COMPRESSOR DE AR SCHULZ CSV 10 PES 110 L</t>
  </si>
  <si>
    <t>IS001153</t>
  </si>
  <si>
    <t>HIDROLAVADORA CHIAPERINI IND LJ 7000</t>
  </si>
  <si>
    <t>IS001154</t>
  </si>
  <si>
    <t>SOPRADOR STIHL BG 86 C E</t>
  </si>
  <si>
    <t>IS001155</t>
  </si>
  <si>
    <t>IS001156</t>
  </si>
  <si>
    <t>AR CONDICIONADO GREE GTOP 9000BTUS</t>
  </si>
  <si>
    <t>CASA DO PICA-PAU HIDROLANDIA</t>
  </si>
  <si>
    <t>50.223.823/0007-40</t>
  </si>
  <si>
    <t>IS001157</t>
  </si>
  <si>
    <t>IS001158</t>
  </si>
  <si>
    <t>IS001159</t>
  </si>
  <si>
    <t>96.819.032/0003-54</t>
  </si>
  <si>
    <t>IS001160</t>
  </si>
  <si>
    <t>CELULAR SAMSUNG GALAXY S24</t>
  </si>
  <si>
    <t>Telefonica Brasil S.A.</t>
  </si>
  <si>
    <t>02.558.157/0821-18</t>
  </si>
  <si>
    <t>IS001161</t>
  </si>
  <si>
    <t>HCCZM340TRCM68318</t>
  </si>
  <si>
    <t>TRATOR AGRICOLA CASE MAGNUM 340</t>
  </si>
  <si>
    <t>CNH Industrial Brasil LTDA</t>
  </si>
  <si>
    <t>01.844.555/0023-98</t>
  </si>
  <si>
    <t>IS001162</t>
  </si>
  <si>
    <t>IS001163</t>
  </si>
  <si>
    <t>SKIM JET TRUCK AIR</t>
  </si>
  <si>
    <t>AGROLIMP COM DE PROD DE LIMP, PECAS E SERV LTDA</t>
  </si>
  <si>
    <t>43.305.923/0001-64</t>
  </si>
  <si>
    <t>IS001164</t>
  </si>
  <si>
    <t>IS001165</t>
  </si>
  <si>
    <t>IS001166</t>
  </si>
  <si>
    <t>IS001167</t>
  </si>
  <si>
    <t>IS001168</t>
  </si>
  <si>
    <t>IS001169</t>
  </si>
  <si>
    <t>IS001170</t>
  </si>
  <si>
    <t>DESCONTAMINADOR DE AGROTOXICOS DA6 1000</t>
  </si>
  <si>
    <t>MARCELO LUIZ CAETANO ALVIM ME</t>
  </si>
  <si>
    <t>40.803.185/0001-97</t>
  </si>
  <si>
    <t>IS001171</t>
  </si>
  <si>
    <t>IS001172</t>
  </si>
  <si>
    <t>SISTEMA DE TELEMETRIA VALMONT PIVO CENTRAL</t>
  </si>
  <si>
    <t>IS001173</t>
  </si>
  <si>
    <t>THD7C33</t>
  </si>
  <si>
    <t>8AJDA3CD3S1851574</t>
  </si>
  <si>
    <t>IS001174</t>
  </si>
  <si>
    <t>IS001175</t>
  </si>
  <si>
    <t>IS001176</t>
  </si>
  <si>
    <t>Nosso Lar Lojas de Departamentos Ltda-Lj108</t>
  </si>
  <si>
    <t>IS001177</t>
  </si>
  <si>
    <t>Nosso Lar Lojas de Departamentos Ltda-Lj109</t>
  </si>
  <si>
    <t>IS001178</t>
  </si>
  <si>
    <t>Nosso Lar Lojas de Departamentos Ltda-Lj110</t>
  </si>
  <si>
    <t>00.607.587/0029-02</t>
  </si>
  <si>
    <t>IS001179</t>
  </si>
  <si>
    <t>IS001180</t>
  </si>
  <si>
    <t>IS001181</t>
  </si>
  <si>
    <t>IS001182</t>
  </si>
  <si>
    <t>IN07760XCE0050082</t>
  </si>
  <si>
    <t>COLHEITADEIRA DE ALGODAO JOHN DEERE COTTOM PICKER</t>
  </si>
  <si>
    <t>JOAO ANTONIO FRANCIOSI</t>
  </si>
  <si>
    <t>391.632.610-49</t>
  </si>
  <si>
    <t>IS001183</t>
  </si>
  <si>
    <t>IS001184</t>
  </si>
  <si>
    <t>IS001185</t>
  </si>
  <si>
    <t>IS001186</t>
  </si>
  <si>
    <t>IS001187</t>
  </si>
  <si>
    <t>SKF0F97</t>
  </si>
  <si>
    <t>93KKZ60D8RE198539</t>
  </si>
  <si>
    <t>CAMINHAO VOLVO VMX 360</t>
  </si>
  <si>
    <t>IS001188</t>
  </si>
  <si>
    <t>FAZENDA GRANDE LESTE IV</t>
  </si>
  <si>
    <t>IS001189</t>
  </si>
  <si>
    <t>PLAINA NIVELADORA AGRICOLA ROBUST 800</t>
  </si>
  <si>
    <t>AGRIMEC AGRO INDUSTRIAL E MECANICA LTDA</t>
  </si>
  <si>
    <t>88.093.141/0001-47</t>
  </si>
  <si>
    <t>IS001190</t>
  </si>
  <si>
    <t>FOGAO C/ 10 BOCAS 400X400 C/ CHAPA QUENTE</t>
  </si>
  <si>
    <t>SERGIO ROGERIO FINOTTI LIMITADA</t>
  </si>
  <si>
    <t>47.629.194/0001-52</t>
  </si>
  <si>
    <t>IS001191</t>
  </si>
  <si>
    <t>COIFA C/ 3 CHAMINES 400X1200</t>
  </si>
  <si>
    <t>IS001192</t>
  </si>
  <si>
    <t>FORNO A GAS DIMEN EXTER  INTER</t>
  </si>
  <si>
    <t>IS001193</t>
  </si>
  <si>
    <t>SELF SERVICE NAS DIMEN COM 6 CUBAS QUENTES</t>
  </si>
  <si>
    <t>IS001194</t>
  </si>
  <si>
    <t>COIFA DIMEN 2 MOTORES 400MM 2</t>
  </si>
  <si>
    <t>IS001195</t>
  </si>
  <si>
    <t>IS001196</t>
  </si>
  <si>
    <t>ROCADEIRA DE ARRASTO BALDAN RACD3400</t>
  </si>
  <si>
    <t>IS001197</t>
  </si>
  <si>
    <t>MANIPULADOR TELESCOPIO JCB 530-70</t>
  </si>
  <si>
    <t>02.745.179/0006-47</t>
  </si>
  <si>
    <t>IS001198</t>
  </si>
  <si>
    <t>10.47.880</t>
  </si>
  <si>
    <t>CARRETA COMBATE INCENDIO 15500L BLM</t>
  </si>
  <si>
    <t>IS001199</t>
  </si>
  <si>
    <t>9A9R32DPX71AH8232</t>
  </si>
  <si>
    <t>REBOQUE TRUCK GALEGO GR</t>
  </si>
  <si>
    <t>SEM NF</t>
  </si>
  <si>
    <t>IS001200</t>
  </si>
  <si>
    <t>9A9S12DPS71AH8228</t>
  </si>
  <si>
    <t>REBOQUE TRUCK GALEGO SR</t>
  </si>
  <si>
    <t>IS001201</t>
  </si>
  <si>
    <t>RADIO MOTOROLA DEM-300 VHF</t>
  </si>
  <si>
    <t>IS001202</t>
  </si>
  <si>
    <t>IS001203</t>
  </si>
  <si>
    <t>AR CONDICIONADO GREE 9000 BTUS</t>
  </si>
  <si>
    <t>FRIGELAR COMERCIO E INDUSTRIA LTDA</t>
  </si>
  <si>
    <t>92.660.406/0035-68</t>
  </si>
  <si>
    <t>IS001204</t>
  </si>
  <si>
    <t>IS001205</t>
  </si>
  <si>
    <t>AR CONDICIONADO GREE 18000 BTUS</t>
  </si>
  <si>
    <t>IS001206</t>
  </si>
  <si>
    <t>AR CONDICIONADO GREE 32000 BTUS</t>
  </si>
  <si>
    <t>IS001207</t>
  </si>
  <si>
    <t>CELULAR SAMSUNG GALAXY A35 5G 6GB</t>
  </si>
  <si>
    <t>IS001208</t>
  </si>
  <si>
    <t>SUPORTE PARA BIG BAG HOOK-ON JCB</t>
  </si>
  <si>
    <t>IS001209</t>
  </si>
  <si>
    <t>COMPRESSOR DE AR SCHULZ 500L TRIFASICO</t>
  </si>
  <si>
    <t>SCHULZ COMPRESSORES LTDA</t>
  </si>
  <si>
    <t>23.635.798/0001-43</t>
  </si>
  <si>
    <t>IS001210</t>
  </si>
  <si>
    <t>COMPRESSOR DE AR SCHULZ SRP4020E TS</t>
  </si>
  <si>
    <t>IS001211</t>
  </si>
  <si>
    <t>ESPETO PARA FARDO DE ALGODAO SOMAQ</t>
  </si>
  <si>
    <t>SOMAQ MAQUINAS E EQUIPAMENTOS LTDA</t>
  </si>
  <si>
    <t>50.647.402/0001-50</t>
  </si>
  <si>
    <t>IS001212</t>
  </si>
  <si>
    <t>IS001213</t>
  </si>
  <si>
    <t>IS001214</t>
  </si>
  <si>
    <t>FRESADORA FERRAMENTEIRA MANROD MR-9400VC 220V</t>
  </si>
  <si>
    <t>CELMAR COML E IMPORT. LTDA. (MATRIZ)</t>
  </si>
  <si>
    <t>61.936.522/0001-94</t>
  </si>
  <si>
    <t>IS001215</t>
  </si>
  <si>
    <t>PRCYP350HRPC07285</t>
  </si>
  <si>
    <t>PULVERIZADOR CASE PATRIOT 350</t>
  </si>
  <si>
    <t>01.844.555/0028-00</t>
  </si>
  <si>
    <t>IS001216</t>
  </si>
  <si>
    <t>RADIO MOTOROLA DEM-300VHF</t>
  </si>
  <si>
    <t>IS001217</t>
  </si>
  <si>
    <t>IS001218</t>
  </si>
  <si>
    <t>IS001219</t>
  </si>
  <si>
    <t>CELULAR SAMSUNG A35 5G 6GB RAM</t>
  </si>
  <si>
    <t>IS001220</t>
  </si>
  <si>
    <t>IS001221</t>
  </si>
  <si>
    <t>AR CONDICIONADO LG BRAFORCE TETO 24V</t>
  </si>
  <si>
    <t>LG DIST E COMERCIO DE AUTOPECAS E ACESSORIOS LTDA</t>
  </si>
  <si>
    <t>10.303.994/0005-00</t>
  </si>
  <si>
    <t>PUL-009</t>
  </si>
  <si>
    <t>IS001222</t>
  </si>
  <si>
    <t>PRCYP350PLPC04147</t>
  </si>
  <si>
    <t>TRA-072</t>
  </si>
  <si>
    <t>IS001223</t>
  </si>
  <si>
    <t>JEEZC580CPF508938</t>
  </si>
  <si>
    <t>TRATOR AGRICOLA CASE STEIGER 580</t>
  </si>
  <si>
    <t>IS001224</t>
  </si>
  <si>
    <t>TV SAMSUNG LED 55 POL</t>
  </si>
  <si>
    <t>IS001225</t>
  </si>
  <si>
    <t>8219347NA936</t>
  </si>
  <si>
    <t>DRONE XAG KIT P100 PRO</t>
  </si>
  <si>
    <t>VITAGRAN COMERCIAL AGRICOLA LTDA</t>
  </si>
  <si>
    <t>04.945.827/0001-29</t>
  </si>
  <si>
    <t>IS001226</t>
  </si>
  <si>
    <t>GERADOR TOYAMA TG15000CXE3-XP TRIF 4T</t>
  </si>
  <si>
    <t>IS001227</t>
  </si>
  <si>
    <t>SOPRADOR BG86 CE</t>
  </si>
  <si>
    <t>IS001228</t>
  </si>
  <si>
    <t>DEMOLIDOR (PICADOR DE PALHA)</t>
  </si>
  <si>
    <t>LUIZ FERNANDO RODRIGUES 15970586889</t>
  </si>
  <si>
    <t>31.087.003/0001-38</t>
  </si>
  <si>
    <t>IS001229</t>
  </si>
  <si>
    <t>GALPAO OFICINA FAZ. SANTA LUCIA 60x70m BENFEITORIA EM IMOVEL RURAL</t>
  </si>
  <si>
    <t>IS001230</t>
  </si>
  <si>
    <t>IS001231</t>
  </si>
  <si>
    <t>MISTURADOR VITAMIX INOX 350 LT</t>
  </si>
  <si>
    <t>IS001232</t>
  </si>
  <si>
    <t>CELULAR SAMSUNG A35 128GB</t>
  </si>
  <si>
    <t>IS001233</t>
  </si>
  <si>
    <t>IS001234</t>
  </si>
  <si>
    <t>IS001235</t>
  </si>
  <si>
    <t>IS001236</t>
  </si>
  <si>
    <t>IS001237</t>
  </si>
  <si>
    <t>IS001238</t>
  </si>
  <si>
    <t>BALANCA INDUSTRIAL PROFIELD 2.000 KG</t>
  </si>
  <si>
    <t>LEM BALANCAS LTDA</t>
  </si>
  <si>
    <t>24.592.698/0001-40</t>
  </si>
  <si>
    <t>IS001239</t>
  </si>
  <si>
    <t>MAQUINA DE LAVAR ELECTROLUX 8,5KG</t>
  </si>
  <si>
    <t>LOJA ELECTROLUX COM VIRTUAL DE ELET LTDA</t>
  </si>
  <si>
    <t>13.986.197/0003-93</t>
  </si>
  <si>
    <t>IS001240</t>
  </si>
  <si>
    <t>FURADEIRA DE COLUNA FERRARI 1.1/2CV</t>
  </si>
  <si>
    <t>IS001241</t>
  </si>
  <si>
    <t>CELULAR SAMSUNG GALAXY A35 5G 8GB RAM 256GB AZUL</t>
  </si>
  <si>
    <t>IS001242</t>
  </si>
  <si>
    <t>IS001243</t>
  </si>
  <si>
    <t>IS001244</t>
  </si>
  <si>
    <t>IS001245</t>
  </si>
  <si>
    <t>SKJ1B22</t>
  </si>
  <si>
    <t>8AFBR01F1RJ383870</t>
  </si>
  <si>
    <t>CAMINHONETE FORD RANGER 2.0 4X4 XL</t>
  </si>
  <si>
    <t>BURITI VEICULOS PECAS E SERVICOS LTDA</t>
  </si>
  <si>
    <t>07.666.744/0001-99</t>
  </si>
  <si>
    <t>IS001246</t>
  </si>
  <si>
    <t>TV SAMSUNG LED 50 POL SMART 4K 50DU7700</t>
  </si>
  <si>
    <t>IS001247</t>
  </si>
  <si>
    <t>IMPRESSORA HP LASERJET M432</t>
  </si>
  <si>
    <t>E R COSTA LTDA</t>
  </si>
  <si>
    <t>IS001248</t>
  </si>
  <si>
    <t>SOPRADOR COSTAL STILH BR 420</t>
  </si>
  <si>
    <t>IS001249</t>
  </si>
  <si>
    <t>IS001250</t>
  </si>
  <si>
    <t>IS001251</t>
  </si>
  <si>
    <t>PRCYP350JRPC07425</t>
  </si>
  <si>
    <t>IS001252</t>
  </si>
  <si>
    <t>TANQUE PRE-MISTURADOR DE DEFENSIVOS 500 LTS</t>
  </si>
  <si>
    <t>IS001253</t>
  </si>
  <si>
    <t>BETONEIRA MENEGOTI 400 LTS 2CV MONOFASICO 1 TRACO</t>
  </si>
  <si>
    <t>IS001254</t>
  </si>
  <si>
    <t>MOTO FORMOSA LTDA EPP</t>
  </si>
  <si>
    <t>03.619.318/0002-24</t>
  </si>
  <si>
    <t>IS001255</t>
  </si>
  <si>
    <t>IS001256</t>
  </si>
  <si>
    <t>CELULAR SAMSUNG GALAXY A25 5G 8GB RAM 256GB AZUL</t>
  </si>
  <si>
    <t>IS001257</t>
  </si>
  <si>
    <t>IS001258</t>
  </si>
  <si>
    <t>9C2KC250OSR103488</t>
  </si>
  <si>
    <t>IS001259</t>
  </si>
  <si>
    <t>EBARA BOMBAS AMERICA DO SUL LTDA</t>
  </si>
  <si>
    <t>IS001260</t>
  </si>
  <si>
    <t>CARREGADOR DE BATERIA VONDER BIVOLT CIB 800</t>
  </si>
  <si>
    <t>IS001261</t>
  </si>
  <si>
    <t>WR2409353</t>
  </si>
  <si>
    <t>MAQUINA ENVOLVEDORA CYKLOP CST 204 PRS</t>
  </si>
  <si>
    <t>CYKLOP DO BRASIL EMBALAGENS LTDA</t>
  </si>
  <si>
    <t>56.993.512/0001-50</t>
  </si>
  <si>
    <t>IS001262</t>
  </si>
  <si>
    <t>STARLINK V4 USER TERMINAL</t>
  </si>
  <si>
    <t>IS001263</t>
  </si>
  <si>
    <t>MESA DENSIMETRICA SILOMAX SDSH-200</t>
  </si>
  <si>
    <t>SILOMAX INDUSTRIA E COMERCIO LTDA</t>
  </si>
  <si>
    <t>03.175.483/0001-53</t>
  </si>
  <si>
    <t>IS001264</t>
  </si>
  <si>
    <t>GUINCHO P/ BIG BAG TRATORMASTER</t>
  </si>
  <si>
    <t>IS001265</t>
  </si>
  <si>
    <t>RADIO MOTOROLA DEM-300VHF VHF DIGITAL 136-1</t>
  </si>
  <si>
    <t>IS001266</t>
  </si>
  <si>
    <t>IS001267</t>
  </si>
  <si>
    <t>MONITOR DELL 23.8 P2422H</t>
  </si>
  <si>
    <t>MJX ASSESSORIA EM NEGOCIOS LTDA</t>
  </si>
  <si>
    <t>34.381.878/0001-36</t>
  </si>
  <si>
    <t>IS001268</t>
  </si>
  <si>
    <t>DESKTOP DELL OPTIPLEX MICRO I5 12300 8GB 256GB</t>
  </si>
  <si>
    <t>IS001269</t>
  </si>
  <si>
    <t>TV SAMSUNG LED 55 POL SMART 4K</t>
  </si>
  <si>
    <t>IS001270</t>
  </si>
  <si>
    <t>CELULAR SAMSUNG GALAXY A35 5G 8GB RAM 256GB</t>
  </si>
  <si>
    <t>IS001271</t>
  </si>
  <si>
    <t>CELULAR SAMSUNG GALAXY A35 5G 6GB RAM 128GB</t>
  </si>
  <si>
    <t>IS001272</t>
  </si>
  <si>
    <t>IS001273</t>
  </si>
  <si>
    <t>IS001274</t>
  </si>
  <si>
    <t>IS001275</t>
  </si>
  <si>
    <t>NOTEBOOK HP ZBBOK FURY 64GB 1TB RTX A3000 WIN 11</t>
  </si>
  <si>
    <t>IS001276</t>
  </si>
  <si>
    <t>IS001277</t>
  </si>
  <si>
    <t>AR CONDICIONADO GREE GTOP 9000 BTUS</t>
  </si>
  <si>
    <t>IS001278</t>
  </si>
  <si>
    <t>IS001279</t>
  </si>
  <si>
    <t>IS001280</t>
  </si>
  <si>
    <t>IS001281</t>
  </si>
  <si>
    <t>9C2KC2500RR132943</t>
  </si>
  <si>
    <t>IS001282</t>
  </si>
  <si>
    <t>CORTADOR DE GRAMA HUSQVARNA TS-142</t>
  </si>
  <si>
    <t>HELMAQ MAQUINAS E FERRAMENTAS AGRICOLAS LTDA</t>
  </si>
  <si>
    <t>07.419.457/0001-84</t>
  </si>
  <si>
    <t>IS001283</t>
  </si>
  <si>
    <t>MEGA BATERIAS LTDA</t>
  </si>
  <si>
    <t>19.693.182/0001-51</t>
  </si>
  <si>
    <t>IS001284</t>
  </si>
  <si>
    <t>REFRESQUEIRA VENANCIO RV116 1 CUBA 16 LITROS</t>
  </si>
  <si>
    <t>IS001285</t>
  </si>
  <si>
    <t>JHFY8250KPJB25770</t>
  </si>
  <si>
    <t>IS001286</t>
  </si>
  <si>
    <t>JHFY8250TPJB23353</t>
  </si>
  <si>
    <t>IS001287</t>
  </si>
  <si>
    <t>MONITOR DELL 22 P2222H</t>
  </si>
  <si>
    <t>IS001288</t>
  </si>
  <si>
    <t>SYB6G33</t>
  </si>
  <si>
    <t>9BM958154NB271572</t>
  </si>
  <si>
    <t>CAMINHAO MERCEDES BENZ ATEGO 1719 / COM COMBOIO GASCOM PRELOSSUR</t>
  </si>
  <si>
    <t>IS001289</t>
  </si>
  <si>
    <t>MEDIDOR DE UMIDADE DE GRAOS AGROLOGIC AL 102</t>
  </si>
  <si>
    <t>40.512.337/0001-00</t>
  </si>
  <si>
    <t>IS001290</t>
  </si>
  <si>
    <t>HCCB45FCVRCK23739</t>
  </si>
  <si>
    <t>PLATAFORMA DE GRAOS DRAPER TERRAFLEX 4F 45 PES</t>
  </si>
  <si>
    <t>IS001291</t>
  </si>
  <si>
    <t>IMPRESSORA TERMICA ARGOX OS214 USB</t>
  </si>
  <si>
    <t>IS001292</t>
  </si>
  <si>
    <t>HCCB45FCERCK23763</t>
  </si>
  <si>
    <t>IS001293</t>
  </si>
  <si>
    <t>HCCZFA10PRCJ72722</t>
  </si>
  <si>
    <t>IS001294</t>
  </si>
  <si>
    <t>HCCZFA10KRCJ72692</t>
  </si>
  <si>
    <t>IS001295</t>
  </si>
  <si>
    <t>HCCZFA10PRCJ68685</t>
  </si>
  <si>
    <t>IS001296</t>
  </si>
  <si>
    <t>CASA DA LAVOURA LTDA - ME</t>
  </si>
  <si>
    <t>15.652.966/0002-61</t>
  </si>
  <si>
    <t>IS001297</t>
  </si>
  <si>
    <t>NOTEBOOK LENOVO TELA 15'5 I5 12° 8GB SSD 1TB</t>
  </si>
  <si>
    <t>IS001298</t>
  </si>
  <si>
    <t>KIT CONVERSAO ESPACAMENTO DELTA AGRO 50CM P/ 25CM 36M CNH</t>
  </si>
  <si>
    <t>IS001299</t>
  </si>
  <si>
    <t>IS001300</t>
  </si>
  <si>
    <t>MONITOR DELL 24 P2422H</t>
  </si>
  <si>
    <t>IS001301</t>
  </si>
  <si>
    <t>IS001302</t>
  </si>
  <si>
    <t>ESMERILHADEIRA DEWALT 20V 4.1/2 DCG413B</t>
  </si>
  <si>
    <t>IS001303</t>
  </si>
  <si>
    <t>INCUBADORA B.O.D 120L</t>
  </si>
  <si>
    <t>EASYLAB EQUIPAMENTOS PARA LABORATORIOS LTDA</t>
  </si>
  <si>
    <t>35.770.314/0001-58</t>
  </si>
  <si>
    <t>IS001304</t>
  </si>
  <si>
    <t>AR CONDICIONADO GREE G-CLASSIC 9000 BTUS</t>
  </si>
  <si>
    <t>IS001305</t>
  </si>
  <si>
    <t>9BSR6X400M3984386</t>
  </si>
  <si>
    <t>CAMINHAO SCANIA R 540 A 6X4</t>
  </si>
  <si>
    <t>MHM AGRO LTDA</t>
  </si>
  <si>
    <t>07.080.431/0001-54</t>
  </si>
  <si>
    <t>IS001306</t>
  </si>
  <si>
    <t>QAB6G80</t>
  </si>
  <si>
    <t>9BSR6X400M398375</t>
  </si>
  <si>
    <t>IS001307</t>
  </si>
  <si>
    <t>IS001308</t>
  </si>
  <si>
    <t>IS001309</t>
  </si>
  <si>
    <t>IS001310</t>
  </si>
  <si>
    <t>CELULAR SAMSUNG GALAXY S23 5G 8GB RAM 256GB</t>
  </si>
  <si>
    <t>IS001311</t>
  </si>
  <si>
    <t>IS001312</t>
  </si>
  <si>
    <t>IS001313</t>
  </si>
  <si>
    <t>IS001314</t>
  </si>
  <si>
    <t>IS001315</t>
  </si>
  <si>
    <t>LAVADORA JATO CHIAPERINI LJ 7000 FIXA TRI 5HP</t>
  </si>
  <si>
    <t>IS001316</t>
  </si>
  <si>
    <t>SUPORTE ICAMENTO DE BAGS TRATORMASTER</t>
  </si>
  <si>
    <t>IS001317</t>
  </si>
  <si>
    <t>CELULAR IPHONE 16 PRO MAX 256GB TITANIO PRETO</t>
  </si>
  <si>
    <t>IS001318</t>
  </si>
  <si>
    <t>MAQUINA INVERSORA DE SOLDA ESAB TIG 200A LHN</t>
  </si>
  <si>
    <t>IS001319</t>
  </si>
  <si>
    <t>IS001320</t>
  </si>
  <si>
    <t>IS001321</t>
  </si>
  <si>
    <t>IS001322</t>
  </si>
  <si>
    <t>IS001323</t>
  </si>
  <si>
    <t>IS001324</t>
  </si>
  <si>
    <t>IS001325</t>
  </si>
  <si>
    <t>IS001326</t>
  </si>
  <si>
    <t>IS001327</t>
  </si>
  <si>
    <t>IS001328</t>
  </si>
  <si>
    <t>IS001329</t>
  </si>
  <si>
    <t>IS001330</t>
  </si>
  <si>
    <t>IS001331</t>
  </si>
  <si>
    <t>ROCADEIRA A COMBUSTAO STIHL KA 120 2 FACAS 230</t>
  </si>
  <si>
    <t>IS001332</t>
  </si>
  <si>
    <t>ROCADEIRA A COMBUSTAO STIHL FS 120 3 FACAS 250</t>
  </si>
  <si>
    <t>IS001333</t>
  </si>
  <si>
    <t>HCCZFA10KRCJ80059</t>
  </si>
  <si>
    <t>IS001334</t>
  </si>
  <si>
    <t>HCCZFA10JRCJ79643</t>
  </si>
  <si>
    <t>IS001335</t>
  </si>
  <si>
    <t>NOTEBOOK DELL INSPIRON 15 3520 i7-1255U 16GB RAM 512GB SSD TELA 15.6</t>
  </si>
  <si>
    <t>IS001336</t>
  </si>
  <si>
    <t>IS001337</t>
  </si>
  <si>
    <t>IS001338</t>
  </si>
  <si>
    <t>IS001339</t>
  </si>
  <si>
    <t>GUINCHO ELETRICO NAGANO 600/1200KG</t>
  </si>
  <si>
    <t>IS001340</t>
  </si>
  <si>
    <t>RADIO HYTERA MD626 ANALG/DIGITAL</t>
  </si>
  <si>
    <t>IS001341</t>
  </si>
  <si>
    <t>BOMBA P/ABASTECIMENTO COMBUSTIVEL 90LT/MIN</t>
  </si>
  <si>
    <t>AIRTON NOGUEIRA BOMBAS DE COMBUSTIVEIS - ME</t>
  </si>
  <si>
    <t>09.051.356/0001-29</t>
  </si>
  <si>
    <t>IS001342</t>
  </si>
  <si>
    <t>IS001343</t>
  </si>
  <si>
    <t>PROPULSORA PNEUMATICA BOZZA P/ OLEO 12021 Z</t>
  </si>
  <si>
    <t>IS001344</t>
  </si>
  <si>
    <t>IS001345</t>
  </si>
  <si>
    <t>2025CSC2400JM294F</t>
  </si>
  <si>
    <t>COLHEITADEIRA DE CAPIM CSC 2000 JUMBO 2025</t>
  </si>
  <si>
    <t>CSC INDUSTRIA DE MAQUINAS E EQUIPAMENTOS LTDA</t>
  </si>
  <si>
    <t>IS001346</t>
  </si>
  <si>
    <t>2025CSC2400JM295F</t>
  </si>
  <si>
    <t>IS001347</t>
  </si>
  <si>
    <t>CELULAR SAMSUNG GALAXY A35 256G</t>
  </si>
  <si>
    <t xml:space="preserve">IDEAL VIP COMUNICACOES LTDA </t>
  </si>
  <si>
    <t>08.182.334/0001-35</t>
  </si>
  <si>
    <t>IS001348</t>
  </si>
  <si>
    <t>08.182.334/0001-36</t>
  </si>
  <si>
    <t>IS001349</t>
  </si>
  <si>
    <t>08.182.334/0001-37</t>
  </si>
  <si>
    <t>IS001350</t>
  </si>
  <si>
    <t>08.182.334/0001-38</t>
  </si>
  <si>
    <t>IS001351</t>
  </si>
  <si>
    <t>08.182.334/0001-39</t>
  </si>
  <si>
    <t>IS001352</t>
  </si>
  <si>
    <t>08.182.334/0001-40</t>
  </si>
  <si>
    <t>IS001353</t>
  </si>
  <si>
    <t>DETECTOR DE GASES BOSEAN PORTATIL</t>
  </si>
  <si>
    <t>YORGOS AMBIENTAL LTDA.</t>
  </si>
  <si>
    <t>08.726.888/0002-37</t>
  </si>
  <si>
    <t>IS001354</t>
  </si>
  <si>
    <t>PROJETOR EPSON EPIQVISION FH02</t>
  </si>
  <si>
    <t>IS001355</t>
  </si>
  <si>
    <t>IS001356</t>
  </si>
  <si>
    <t>KIT ABASTECIMENTO ARLA 230V FAZ JATOBA</t>
  </si>
  <si>
    <t>IS001357</t>
  </si>
  <si>
    <t>IMPRESSORA HP 432</t>
  </si>
  <si>
    <t>IS001358</t>
  </si>
  <si>
    <t>KIT ABASTECIMENTO ARLA 230V FAZ SANTO EXPEDITO</t>
  </si>
  <si>
    <t>JOSE CICERO MALAQUIAS ALECRIM</t>
  </si>
  <si>
    <t>30.017.866/0001-76</t>
  </si>
  <si>
    <t>IS001359</t>
  </si>
  <si>
    <t>IS001360</t>
  </si>
  <si>
    <t>IS001361</t>
  </si>
  <si>
    <t>KIT ABASTECIMENTO ARLA 230V FAZ GRANDE LESTE</t>
  </si>
  <si>
    <t>IS001362</t>
  </si>
  <si>
    <t>CASA DE BOMBA 1 PIVO 1-6 / GL</t>
  </si>
  <si>
    <t>IS001363</t>
  </si>
  <si>
    <t>CASA DE BOMBA 2 PIVO 2-7 / GL</t>
  </si>
  <si>
    <t>IS001364</t>
  </si>
  <si>
    <t>CASA DE BOMBA 3 PIVO 3-8 / GL</t>
  </si>
  <si>
    <t>IS001365</t>
  </si>
  <si>
    <t>CASA DE BOMBA 4 PIVO 4-9 / GL</t>
  </si>
  <si>
    <t>IS001366</t>
  </si>
  <si>
    <t>CASA DE BOMBA 5 PIVO 5-10 / GL</t>
  </si>
  <si>
    <t>IS001367</t>
  </si>
  <si>
    <t>CASA DE BOMBA 6 PIVO 11-16 / GL</t>
  </si>
  <si>
    <t>IS001368</t>
  </si>
  <si>
    <t>CASA DE BOMBA 7 PIVO 12-17 / GL</t>
  </si>
  <si>
    <t>IS001369</t>
  </si>
  <si>
    <t>CASA DE BOMBA 8 PIVO 13-18 / GL</t>
  </si>
  <si>
    <t>IS001370</t>
  </si>
  <si>
    <t>CASA DE BOMBA 9 PIVO 14-19 / GL</t>
  </si>
  <si>
    <t>IS001371</t>
  </si>
  <si>
    <t>CASA DE BOMBA 10 PIVO 15-20 / GL</t>
  </si>
  <si>
    <t>IS001372</t>
  </si>
  <si>
    <t>TORRE ESTAIADA 50M AUTO-SUSTENTAVEL TRIANGULAR</t>
  </si>
  <si>
    <t>IS001373</t>
  </si>
  <si>
    <t>TGR0F51</t>
  </si>
  <si>
    <t>8AJDA3CDXS1847277</t>
  </si>
  <si>
    <t>CAMINHONETE TOYOTA HILUX TOYOTA CD DSL POWER PACK AT</t>
  </si>
  <si>
    <t>IS001374</t>
  </si>
  <si>
    <t>IMOVEL RURAL INSTALACOES</t>
  </si>
  <si>
    <t>BENFEITORIA EM IMOVEL RURAL HANGAR FAZ. GRANDE LESTE</t>
  </si>
  <si>
    <t>IS001375</t>
  </si>
  <si>
    <t>BENFEITORIA EM IMOVEL RURAL POSTO ABASTECIMENTO FAZ. GRANDE LESTE</t>
  </si>
  <si>
    <t>IS001376</t>
  </si>
  <si>
    <t>IS001377</t>
  </si>
  <si>
    <t>IS001378</t>
  </si>
  <si>
    <t>IS001379</t>
  </si>
  <si>
    <t>IS001380</t>
  </si>
  <si>
    <t>IS001381</t>
  </si>
  <si>
    <t>IS001382</t>
  </si>
  <si>
    <t>IS001383</t>
  </si>
  <si>
    <t>IS001384</t>
  </si>
  <si>
    <t>REDE ELETRICA INFRAESTRUTURA FAZ. SANTA LUCIA</t>
  </si>
  <si>
    <t>IS001385</t>
  </si>
  <si>
    <t>REDE ELETRICA IRRIGACAO INFRAESTRUTURA FAZ. SANTA LUCIA</t>
  </si>
  <si>
    <t>IS001386</t>
  </si>
  <si>
    <t>BORRACHARIA BENFEITORIA FUNCIONAL FAZ. SANTA LUCIA</t>
  </si>
  <si>
    <t>IS001387</t>
  </si>
  <si>
    <t>CAMARA FRIA BENFEITORIA FUNCIONAL FAZ. SANTA LUCIA</t>
  </si>
  <si>
    <t>IS001388</t>
  </si>
  <si>
    <t>IS001389</t>
  </si>
  <si>
    <t>CABECOTE CHAVETEIRO MOTORIZADO PARA FRESADORA</t>
  </si>
  <si>
    <t>USINE MAQUINAS E FERRAMENTAS LTDA</t>
  </si>
  <si>
    <t>16.318.065/0001-10</t>
  </si>
  <si>
    <t>IS001390</t>
  </si>
  <si>
    <t>CASA DO GERADOR FAZ. SANTA LUCIA BENFEITORIA FUNCIONAL</t>
  </si>
  <si>
    <t>IS001391</t>
  </si>
  <si>
    <t>IS001392</t>
  </si>
  <si>
    <t>MAQUINA P/ CORTE DE MANGUEIRAS MHP MCM3600</t>
  </si>
  <si>
    <t>MHP IND. COM. E ASSIST. DE MAQUINAS LTDA</t>
  </si>
  <si>
    <t>02.660.778/0001-52</t>
  </si>
  <si>
    <t>IS001393</t>
  </si>
  <si>
    <t>MAQUINA P/ DESCASQUE DE MANGUEIRAS MHP MDM-1700</t>
  </si>
  <si>
    <t>IS001394</t>
  </si>
  <si>
    <t>DESBOBINADOR MODULAR DE MANGUEIRAS MHP MADM-07BHF700</t>
  </si>
  <si>
    <t>IS001395</t>
  </si>
  <si>
    <t>MAQUINA P/ PRENSAR MANGUEIRAS MHP MPT80EB</t>
  </si>
  <si>
    <t>IS001396</t>
  </si>
  <si>
    <t>CFFL250359</t>
  </si>
  <si>
    <t>CEIFADEIRA MORI TRI 540 RPM</t>
  </si>
  <si>
    <t>IS001397</t>
  </si>
  <si>
    <t>VT25250034</t>
  </si>
  <si>
    <t>IS001398</t>
  </si>
  <si>
    <t>CFFL250358</t>
  </si>
  <si>
    <t>CEIFADEIRA DUPLA MORI CONJ 540 RPM</t>
  </si>
  <si>
    <t>IS001399</t>
  </si>
  <si>
    <t>IS001400</t>
  </si>
  <si>
    <t>IS001401</t>
  </si>
  <si>
    <t>IS001402</t>
  </si>
  <si>
    <t>MONITOR DELL 21.5 E2222HS</t>
  </si>
  <si>
    <t>IS001403</t>
  </si>
  <si>
    <t>IS001404</t>
  </si>
  <si>
    <t>PRENSA HIDRAULICA MARCON BANCADA 10 TON.</t>
  </si>
  <si>
    <t>IS001405</t>
  </si>
  <si>
    <t>IS001406</t>
  </si>
  <si>
    <t>IS001407</t>
  </si>
  <si>
    <t>IS001408</t>
  </si>
  <si>
    <t>IS001409</t>
  </si>
  <si>
    <t>IS001410</t>
  </si>
  <si>
    <t>IS001411</t>
  </si>
  <si>
    <t>QAB7J53</t>
  </si>
  <si>
    <t>9A9RB2DYLM1FJ9148</t>
  </si>
  <si>
    <t>REBOQUE DOLLY ALFASTEEL REBASDY 2E</t>
  </si>
  <si>
    <t>IS001412</t>
  </si>
  <si>
    <t>QAB7J52</t>
  </si>
  <si>
    <t>9A9BS252LM1FJ9147</t>
  </si>
  <si>
    <t>CARGA SEMI-REBOQUE ALFASTEEL SRASBS 2E</t>
  </si>
  <si>
    <t>IS001413</t>
  </si>
  <si>
    <t>QAB7J51</t>
  </si>
  <si>
    <t>9A9BS252LM1FJ9149</t>
  </si>
  <si>
    <t>IS001414</t>
  </si>
  <si>
    <t>QAB7G60</t>
  </si>
  <si>
    <t>9A9BS252LM1FJ9146</t>
  </si>
  <si>
    <t>IS001415</t>
  </si>
  <si>
    <t>QAB7G65</t>
  </si>
  <si>
    <t>9A9BS252LM1FJ9144</t>
  </si>
  <si>
    <t>CARGA SEMI-REBOQUE ALFASTEEL SRASBS 2B</t>
  </si>
  <si>
    <t>IS001416</t>
  </si>
  <si>
    <t>QAB7G64</t>
  </si>
  <si>
    <t>9A9RB2DYLM1FJ9145</t>
  </si>
  <si>
    <t>IS001417</t>
  </si>
  <si>
    <t>BOMBA DEFEN JACTO JP100</t>
  </si>
  <si>
    <t>MAQPECAS AGRICOLA LTDA - ME</t>
  </si>
  <si>
    <t>27.179.279/0001-79</t>
  </si>
  <si>
    <t>IS001418</t>
  </si>
  <si>
    <t>VT25250035</t>
  </si>
  <si>
    <t>IS001419</t>
  </si>
  <si>
    <t>IS001420</t>
  </si>
  <si>
    <t>IS001421</t>
  </si>
  <si>
    <t>DESCONTAMINADOR DE DEFENSIVOS IONIX 1000-61</t>
  </si>
  <si>
    <t>IS001422</t>
  </si>
  <si>
    <t>TV TCL SMART 50 POL 4K UHD</t>
  </si>
  <si>
    <t>IS001423</t>
  </si>
  <si>
    <t>DETECTOR DE GASES MAX XT II</t>
  </si>
  <si>
    <t>IS001424</t>
  </si>
  <si>
    <t>IS001425</t>
  </si>
  <si>
    <t>IS001426</t>
  </si>
  <si>
    <t>IS001427</t>
  </si>
  <si>
    <t>RADIO MOTOROLA R2 VHF 136-174 MHZ</t>
  </si>
  <si>
    <t>IS001428</t>
  </si>
  <si>
    <t>RADIO MOTOROLA DEM-300 VHF 136-174</t>
  </si>
  <si>
    <t>IS001429</t>
  </si>
  <si>
    <t>RADIO MOTOROLA DEM-300 VHF 136-175</t>
  </si>
  <si>
    <t>IS001430</t>
  </si>
  <si>
    <t>RADIO MOTOROLA DEM-300 VHF 136-176</t>
  </si>
  <si>
    <t>IS001431</t>
  </si>
  <si>
    <t>RADIO MOTOROLA DEM-300 VHF 136-177</t>
  </si>
  <si>
    <t>IS001432</t>
  </si>
  <si>
    <t>IS001433</t>
  </si>
  <si>
    <t>IS001434</t>
  </si>
  <si>
    <t>IS001435</t>
  </si>
  <si>
    <t>IS001436</t>
  </si>
  <si>
    <t>IS001437</t>
  </si>
  <si>
    <t>IS001438</t>
  </si>
  <si>
    <t>IS001439</t>
  </si>
  <si>
    <t>IS001440</t>
  </si>
  <si>
    <t>IS001441</t>
  </si>
  <si>
    <t>IS001442</t>
  </si>
  <si>
    <t>EMPILHADEIRA CLARK L35XE 7135 TSU</t>
  </si>
  <si>
    <t>IS001443</t>
  </si>
  <si>
    <t>IS001444</t>
  </si>
  <si>
    <t>SISTEMA TELEMETRIA PARA IRRIGAÇÃO</t>
  </si>
  <si>
    <t>IS001445</t>
  </si>
  <si>
    <t>IS001446</t>
  </si>
  <si>
    <t>IS001447</t>
  </si>
  <si>
    <t>MOTOBOMBEADOR EBARA BHSE10340-05</t>
  </si>
  <si>
    <t>IS001448</t>
  </si>
  <si>
    <t>IS001449</t>
  </si>
  <si>
    <t>IS001450</t>
  </si>
  <si>
    <t>IS001451</t>
  </si>
  <si>
    <t>IS001452</t>
  </si>
  <si>
    <t>RADIO MOTOROLA DEM-300 VHF 136-178</t>
  </si>
  <si>
    <t>IS001453</t>
  </si>
  <si>
    <t>HCCZM340ASCM81598</t>
  </si>
  <si>
    <t>TRATOR AGRICOLA CASE IH MAGNUM 340</t>
  </si>
  <si>
    <t>IS001454</t>
  </si>
  <si>
    <t>HCCZM340CSCM88993</t>
  </si>
  <si>
    <t>IS001455</t>
  </si>
  <si>
    <t>HCCZM340ASCM81620</t>
  </si>
  <si>
    <t>IS001456</t>
  </si>
  <si>
    <t>HCCZM340KRCM80892</t>
  </si>
  <si>
    <t>IS001457</t>
  </si>
  <si>
    <t>TRATOR AGRICOLA CASE IH FARMALL 100</t>
  </si>
  <si>
    <t>IS001458</t>
  </si>
  <si>
    <t>IS001459</t>
  </si>
  <si>
    <t>IS001460</t>
  </si>
  <si>
    <t>HCCZ3F11ARCG74929</t>
  </si>
  <si>
    <t>TRATOR AGRICOLA CASE IH FARMALL 110</t>
  </si>
  <si>
    <t>IS001461</t>
  </si>
  <si>
    <t>HCCZ3F11ARCG81055</t>
  </si>
  <si>
    <t>IS001462</t>
  </si>
  <si>
    <t>HCCZ3F11VRCG74900</t>
  </si>
  <si>
    <t>IS001463</t>
  </si>
  <si>
    <t>HCCZFA10HSCJ89813</t>
  </si>
  <si>
    <t>IS001464</t>
  </si>
  <si>
    <t>HCCZFA10ESCJ89795</t>
  </si>
  <si>
    <t>IS001465</t>
  </si>
  <si>
    <t>ROCADEIRA A COMBUSTAO STIHL KA 120</t>
  </si>
  <si>
    <t>IS001466</t>
  </si>
  <si>
    <t>MONITOR DELL 22'' E2222HS</t>
  </si>
  <si>
    <t>IS001467</t>
  </si>
  <si>
    <t>DRONE DJI MINI 4 PRO FLY MORE COMBO</t>
  </si>
  <si>
    <t>IS001468</t>
  </si>
  <si>
    <t>AR CONDICIONADO GREE G-TOP INVERTER 12000 BTU</t>
  </si>
  <si>
    <t>IS001469</t>
  </si>
  <si>
    <t>THD7I02</t>
  </si>
  <si>
    <t>8AJDA3CD1S1851458</t>
  </si>
  <si>
    <t>IS001470</t>
  </si>
  <si>
    <t>SEPARADOR METRA ADS4000</t>
  </si>
  <si>
    <t>IS001471</t>
  </si>
  <si>
    <t>IS001472</t>
  </si>
  <si>
    <t>DOSADOR E INJETOR DIFER 1000/24000</t>
  </si>
  <si>
    <t>BRASIL VERDE IRRIGACAO EIRELI</t>
  </si>
  <si>
    <t>19.965.105/0001-03</t>
  </si>
  <si>
    <t>IS001473</t>
  </si>
  <si>
    <t>MONITOR DELL 22” E2222HS</t>
  </si>
  <si>
    <t>IS001474</t>
  </si>
  <si>
    <t>IS001475</t>
  </si>
  <si>
    <t>TPL0002311</t>
  </si>
  <si>
    <t>PLANTADEIRA VADERSTAD TEMPO 26 LINHAS</t>
  </si>
  <si>
    <t>IS001476</t>
  </si>
  <si>
    <t>IS001477</t>
  </si>
  <si>
    <t>IS001478</t>
  </si>
  <si>
    <t>STARLINK KIT V4</t>
  </si>
  <si>
    <t>IS001479</t>
  </si>
  <si>
    <t>EMPILHADEIRA HELI DIESEL 2.5 TON</t>
  </si>
  <si>
    <t>IS001480</t>
  </si>
  <si>
    <t>IS001481</t>
  </si>
  <si>
    <t>IS001482</t>
  </si>
  <si>
    <t>PLANTADEIRA DE ARRASTO STARA ESTRELA</t>
  </si>
  <si>
    <t>IS001483</t>
  </si>
  <si>
    <t>IS001484</t>
  </si>
  <si>
    <t>IS001485</t>
  </si>
  <si>
    <t>CADEIRA DONATELA FENDI</t>
  </si>
  <si>
    <t>CLASSE A MOVEIS E ELETROS LTDA</t>
  </si>
  <si>
    <t>05.410.231/0001-97</t>
  </si>
  <si>
    <t>IS001486</t>
  </si>
  <si>
    <t>IS001487</t>
  </si>
  <si>
    <t>IS001488</t>
  </si>
  <si>
    <t>IS001489</t>
  </si>
  <si>
    <t>IS001490</t>
  </si>
  <si>
    <t>IS001491</t>
  </si>
  <si>
    <t>IS001492</t>
  </si>
  <si>
    <t>IS001493</t>
  </si>
  <si>
    <t>IS001494</t>
  </si>
  <si>
    <t>IS001495</t>
  </si>
  <si>
    <t>IS001496</t>
  </si>
  <si>
    <t>IS001497</t>
  </si>
  <si>
    <t>IS001498</t>
  </si>
  <si>
    <t>IS001499</t>
  </si>
  <si>
    <t>IS001500</t>
  </si>
  <si>
    <t>IS001501</t>
  </si>
  <si>
    <t>IS001502</t>
  </si>
  <si>
    <t>IS001503</t>
  </si>
  <si>
    <t>IS001504</t>
  </si>
  <si>
    <t>IS001505</t>
  </si>
  <si>
    <t>IS001506</t>
  </si>
  <si>
    <t>IS001507</t>
  </si>
  <si>
    <t>IS001508</t>
  </si>
  <si>
    <t>IS001509</t>
  </si>
  <si>
    <t>IS001510</t>
  </si>
  <si>
    <t>IS001511</t>
  </si>
  <si>
    <t>186324P18223517888YU</t>
  </si>
  <si>
    <t>DRONE XAG P150 DE PULVERIZACAO</t>
  </si>
  <si>
    <t xml:space="preserve">ROTA OESTE RECUPERADORA DE IMPLEMENTOS RODOVIARIOS </t>
  </si>
  <si>
    <t>IS001512</t>
  </si>
  <si>
    <t>FRIGOBAR INVERTER 67 LTS</t>
  </si>
  <si>
    <t>IS001513</t>
  </si>
  <si>
    <t>FRIGOBAR INVERTER 93 LTS</t>
  </si>
  <si>
    <t>IS001514</t>
  </si>
  <si>
    <t>GELADEIRA BRASTEMP BRM56FK 461 LTS</t>
  </si>
  <si>
    <t>IS001515</t>
  </si>
  <si>
    <t>EQUIPAMENTO INDUSTRIAL FRIGORIFICO COLD LINE BRASIL</t>
  </si>
  <si>
    <t>IS001516</t>
  </si>
  <si>
    <t>PULVERIZADOR DE ARRASTO DF 250 LT FAB PROPRIA</t>
  </si>
  <si>
    <t>IS001517</t>
  </si>
  <si>
    <t>GARFO ENLEIRADOR 4MTS PA CARREGADEIRA W20</t>
  </si>
  <si>
    <t>IS001518</t>
  </si>
  <si>
    <t>186324P1822351722M9D</t>
  </si>
  <si>
    <t>07.841.633/0001-71</t>
  </si>
  <si>
    <t>IS001519</t>
  </si>
  <si>
    <t>GERADOR TOYAMA GASOLINA TG15000CXE3-X</t>
  </si>
  <si>
    <t>IS001520</t>
  </si>
  <si>
    <t>TV TCL SMART 85"</t>
  </si>
  <si>
    <t>IS001521</t>
  </si>
  <si>
    <t>IS001522</t>
  </si>
  <si>
    <t>IS001523</t>
  </si>
  <si>
    <t>EMPILHADEIRA ELETRICA EP ESL 122</t>
  </si>
  <si>
    <t>IS001524</t>
  </si>
  <si>
    <t>NOTEBOOK DELL I7 13° 16GB 512GB W11</t>
  </si>
  <si>
    <t>Analise de Dados</t>
  </si>
  <si>
    <t xml:space="preserve">Contagem de ITEM </t>
  </si>
  <si>
    <t>PIVOT CENTRAL VALLEY SERIE 14345</t>
  </si>
  <si>
    <t>(vazio)</t>
  </si>
  <si>
    <t>Total Geral</t>
  </si>
  <si>
    <t>OBSERVAÇÕES EXTRAS</t>
  </si>
  <si>
    <t>NOTEBOOK USADO PELA NAITI</t>
  </si>
  <si>
    <t>IS001525</t>
  </si>
  <si>
    <t>IS001526</t>
  </si>
  <si>
    <t>IS001527</t>
  </si>
  <si>
    <t>IMPRESSORA HP M432FDN LASER MONO</t>
  </si>
  <si>
    <t>BETONEIRA MENEGOTTI 400LT</t>
  </si>
  <si>
    <t>CONTROL ID DO NOVO ESCRITORIO</t>
  </si>
  <si>
    <t>NOVO ESCRITORIO</t>
  </si>
  <si>
    <t>ESCRITORIO ANTIGO</t>
  </si>
  <si>
    <t>TV SALA DE REUNIAO</t>
  </si>
  <si>
    <t>IS001528</t>
  </si>
  <si>
    <t>IS001529</t>
  </si>
  <si>
    <t>IS001530</t>
  </si>
  <si>
    <t>IS001531</t>
  </si>
  <si>
    <t>MONITOR USADO PELA NAITI</t>
  </si>
  <si>
    <t>MAQUINA DE LIMPEZA DE GRÃOS METRA</t>
  </si>
  <si>
    <t>GELADEIRA CONSUL CRD37 334L</t>
  </si>
  <si>
    <t>NOVA OESTE FORTE LTDA</t>
  </si>
  <si>
    <t>32.901.885/0001-96</t>
  </si>
  <si>
    <t>MONITOR DELL 22 SE2225HM</t>
  </si>
  <si>
    <t>DESKTOP DELL OPTIPLEX 3090 MICRO</t>
  </si>
  <si>
    <t>TOROYO LTDA</t>
  </si>
  <si>
    <t>50.857.293/0001-04</t>
  </si>
  <si>
    <t>FREEZER DE DUAS TAMPAS 513 LITROS</t>
  </si>
  <si>
    <t>CONTAINER MOVEL DRONE ADGS</t>
  </si>
  <si>
    <t>VEÍCULOS</t>
  </si>
  <si>
    <t>IMÓVEIS</t>
  </si>
  <si>
    <t>EQUIPAMENTOS DIVERSOS</t>
  </si>
  <si>
    <t>MÁQUINAS E IMPLEMENTOS</t>
  </si>
  <si>
    <t>AERONAVE</t>
  </si>
  <si>
    <t>FAZ GRANDE LESTE</t>
  </si>
  <si>
    <t>FAZ JATOBA</t>
  </si>
  <si>
    <t>FAZ SANTO EXPEDITO</t>
  </si>
  <si>
    <t>FAZ SANTA LUCIA</t>
  </si>
  <si>
    <t>ESCRITORIO CENTRAL SF</t>
  </si>
  <si>
    <t>FAZENDA EVANGELISTA</t>
  </si>
  <si>
    <t>ALGODOEIRA SANTA LUCIA</t>
  </si>
  <si>
    <t>UBS SANTA LUCIA</t>
  </si>
  <si>
    <t>OFICINA GERAL SL</t>
  </si>
  <si>
    <t>ARMAZEM SANTA LUCIA</t>
  </si>
  <si>
    <t>ESCRITORIO CENTRAL LF</t>
  </si>
  <si>
    <t>IS001532</t>
  </si>
  <si>
    <t>IS001533</t>
  </si>
  <si>
    <t>IS001534</t>
  </si>
  <si>
    <t>IS001535</t>
  </si>
  <si>
    <t>IS001536</t>
  </si>
  <si>
    <t>IS001537</t>
  </si>
  <si>
    <t>IS001538</t>
  </si>
  <si>
    <t>IS001539</t>
  </si>
  <si>
    <t>IS001540</t>
  </si>
  <si>
    <t>IS001541</t>
  </si>
  <si>
    <t>IS001542</t>
  </si>
  <si>
    <t>IS001543</t>
  </si>
  <si>
    <t>IS001544</t>
  </si>
  <si>
    <t>IS001545</t>
  </si>
  <si>
    <t>LOCALIZAÇÃO DE ORIGEM</t>
  </si>
  <si>
    <t>EQUIPAMENTOS OFICINA</t>
  </si>
  <si>
    <t>MÓVEIS E UTENSÍLIOS</t>
  </si>
  <si>
    <t>INFORMÁTICA E COMUNICAÇÃO</t>
  </si>
  <si>
    <t>EQUIPAMENTOS UBA</t>
  </si>
  <si>
    <t>EQUIPAMENTOS UBG</t>
  </si>
  <si>
    <t>CELULAR SAMSUNG GALAXY A36</t>
  </si>
  <si>
    <t>ESTEREOMICROSCÓPIO BINOCULAR BASIC 80 X. BIVOLT</t>
  </si>
  <si>
    <t>TABLET APPLE IPAD 11TH</t>
  </si>
  <si>
    <t>RETROSCAVADEIRA JOHN DEERE 310L</t>
  </si>
  <si>
    <t>ROLO DESTORRADOR</t>
  </si>
  <si>
    <t>TV TCL SMART 65"</t>
  </si>
  <si>
    <t>DESKTOP DELL OPTIPLEX 3080 MICRO</t>
  </si>
  <si>
    <t>MONITOR DELL 22" E2222HS</t>
  </si>
  <si>
    <t>COM MANCAL ANTI-AXIAL MOTOR M12 280 HP 380</t>
  </si>
  <si>
    <t>FORNO REFRATARIO</t>
  </si>
  <si>
    <t>COM MANCAL ANTI-AXIAL MOTOR M12 280 HP 380V</t>
  </si>
  <si>
    <t>ANTENA+ROTEADOR WI-FI - KIT4013163585KJ / 02534008-502/A</t>
  </si>
  <si>
    <t>KIT PASTAGEM SEMENTES</t>
  </si>
  <si>
    <t>BALANCA SUSPENSA PESAGEM BIG BAG 2 TON</t>
  </si>
  <si>
    <t>IMPRESSORA DE ETIQUETAS ZEBRA</t>
  </si>
  <si>
    <t>ESTEIRA TRANSPORTADORA</t>
  </si>
  <si>
    <t>DESCOMPACTADOR TERRUS</t>
  </si>
  <si>
    <t>SEMI-REBOQUE BASCULANTE GRANELEIRA</t>
  </si>
  <si>
    <t>PODADOR MULTIFUNCIONAL</t>
  </si>
  <si>
    <t>CHASSI: 8AJBA3CD3P1755331</t>
  </si>
  <si>
    <t>GCO14-24 220V 2400W 3800RPM C/DISCO ABRASIVO 0601B370E0</t>
  </si>
  <si>
    <t>1,00CV 220V CM3 912.0406-0</t>
  </si>
  <si>
    <t>B205NI</t>
  </si>
  <si>
    <t>GCO 14-24-2400 W 220 V</t>
  </si>
  <si>
    <t>CHASSI: HCCB45FCVLCK19088</t>
  </si>
  <si>
    <t>Caixa taça com capacidade para 12m³ medindo 10,80m de altura, sendo 6,00m de</t>
  </si>
  <si>
    <t>62 CILINDRADAS</t>
  </si>
  <si>
    <t>36V 60A 22.4V CLASSE II nbr9378</t>
  </si>
  <si>
    <t>CHASSI 94BL0262MNR060657</t>
  </si>
  <si>
    <t>SN DG3HCB4</t>
  </si>
  <si>
    <t>TRANSMISSAO DIRETA</t>
  </si>
  <si>
    <t>RAJ5DC7MJN3129115</t>
  </si>
  <si>
    <t>2022 CPFBNR-5</t>
  </si>
  <si>
    <t>(MONITOR LUCAS FRANCIOSI)</t>
  </si>
  <si>
    <t>VERDE</t>
  </si>
  <si>
    <t>CHASSI 9ADG145388M268091</t>
  </si>
  <si>
    <t>CHASSI JHFY7250LPJB23026</t>
  </si>
  <si>
    <t>23/24 SERIE 0RR006214</t>
  </si>
  <si>
    <t>CHASSI 9EP021020R1000597</t>
  </si>
  <si>
    <t>CHASSI: 8AFBR01L5RJ368049</t>
  </si>
  <si>
    <t>CHASSI: HCCB40FCTPCK23541</t>
  </si>
  <si>
    <t>CHASSI: 8AJDA3CDXS1851622</t>
  </si>
  <si>
    <t>1/2 BAT 20V DCF922D2</t>
  </si>
  <si>
    <t>QUANT. 17 PNEUS</t>
  </si>
  <si>
    <t>CHASSI CFFL240344</t>
  </si>
  <si>
    <t>CHASSI RAJ5DC7MCP3258985</t>
  </si>
  <si>
    <t>CHASSI CFFL240334</t>
  </si>
  <si>
    <t>CHASSI 8AFBR01N2TJ473883</t>
  </si>
  <si>
    <t>CHASSI: 8AJDA3CD3S1851574</t>
  </si>
  <si>
    <t>PLACA SKF0F97</t>
  </si>
  <si>
    <t>PLACA CPI1F46</t>
  </si>
  <si>
    <t>PLACA CPI1F48</t>
  </si>
  <si>
    <t>CHASSI PRCYP350HRPC07285</t>
  </si>
  <si>
    <t>60X70</t>
  </si>
  <si>
    <t>PLACA SKJ1B22</t>
  </si>
  <si>
    <t>CALDEIRA 500 LTS</t>
  </si>
  <si>
    <t>MAQUINA CLASSIFICADORA DENSIMETRICA DE SEMENTES</t>
  </si>
  <si>
    <t>SUPORTE ICAMENTO DE BAGS KIT ENGATE RAPIDO</t>
  </si>
  <si>
    <t>(CELULAR RH)</t>
  </si>
  <si>
    <t>Antigo Patrimonio IMP-071/IS000142</t>
  </si>
  <si>
    <t>TRATOR CORTADOR DE GRAMA</t>
  </si>
  <si>
    <t>CHASSI: JHFY8250KPJB25770</t>
  </si>
  <si>
    <t>CHASSI: JHFY8250TPJB23353</t>
  </si>
  <si>
    <t>PLACA SYB6G33</t>
  </si>
  <si>
    <t>CHASSI: HCCB45FCVRCK23739</t>
  </si>
  <si>
    <t>CHASSI: HCCB45FCERCK23763</t>
  </si>
  <si>
    <t>CHASSI: HCCZFA10PRCJ72722</t>
  </si>
  <si>
    <t>CHASSI: HCCZFA10KRCJ72692</t>
  </si>
  <si>
    <t>CHASSI: HCCZFA10PRCJ68685</t>
  </si>
  <si>
    <t>PLACA QAB6G79</t>
  </si>
  <si>
    <t>PLACA QAB6G80</t>
  </si>
  <si>
    <t>IMEI 351428311743411</t>
  </si>
  <si>
    <t>CHASSI HCCZFA10KRCJ80059</t>
  </si>
  <si>
    <t>CHASSI HCCZFA10JRCJ79643</t>
  </si>
  <si>
    <t>(NOTEBOOK MAURÍCIO)</t>
  </si>
  <si>
    <t>CHASSI 2025CSC2400JM294F</t>
  </si>
  <si>
    <t>CHASSI 2025CSC2400JM295F</t>
  </si>
  <si>
    <t>IMEI 354562652966368</t>
  </si>
  <si>
    <t>CHASSI 8AJDA3CDXS1847277</t>
  </si>
  <si>
    <t>TENSÃO 220/380 VOLTS TRIFÁSICO DISCO DE CORTE EMBUTIDO PAINEL ELETRICO</t>
  </si>
  <si>
    <t>IMEI: 350057716685868</t>
  </si>
  <si>
    <t>(MARKETING)</t>
  </si>
  <si>
    <t>CHASSI: 8AJDA3CD1S1851458</t>
  </si>
  <si>
    <t>PARA USO NA UBS</t>
  </si>
  <si>
    <t>CHASSI CF11175</t>
  </si>
  <si>
    <t>FABRICAÇÃO PROPRIA A PARTIR DO IMP-005</t>
  </si>
  <si>
    <t>SALA DANIEL FRANCIOSI</t>
  </si>
  <si>
    <t>1BZ310LAPND006365</t>
  </si>
  <si>
    <t>USADO PELO ADALTON (MOTORISTA)</t>
  </si>
  <si>
    <t>USADA PELO RH</t>
  </si>
  <si>
    <t>Cor</t>
  </si>
  <si>
    <t>FGL-SED</t>
  </si>
  <si>
    <t>INV-080</t>
  </si>
  <si>
    <t>AZUL</t>
  </si>
  <si>
    <t>AMARELO</t>
  </si>
  <si>
    <t>PRATA</t>
  </si>
  <si>
    <t>FSL-SED / GUBS</t>
  </si>
  <si>
    <t>SOPRADOR BG86 CE STIHL</t>
  </si>
  <si>
    <t>SILO</t>
  </si>
  <si>
    <t>RE110 STIHL</t>
  </si>
  <si>
    <t>BRANCO</t>
  </si>
  <si>
    <t>INV-043 /INV-053</t>
  </si>
  <si>
    <t>INV-047 / INV-055</t>
  </si>
  <si>
    <t>BRANCA</t>
  </si>
  <si>
    <t>SEM CHASSI</t>
  </si>
  <si>
    <t>0411-0132</t>
  </si>
  <si>
    <t>VERMELHO</t>
  </si>
  <si>
    <t>TGR1A65</t>
  </si>
  <si>
    <t>PRETA</t>
  </si>
  <si>
    <t>INV-105</t>
  </si>
  <si>
    <t>SAFRA 24/25</t>
  </si>
  <si>
    <t>INV-108</t>
  </si>
  <si>
    <t>INV-113</t>
  </si>
  <si>
    <t>INV-101</t>
  </si>
  <si>
    <t>INV-092</t>
  </si>
  <si>
    <t>ALOJ 1</t>
  </si>
  <si>
    <t>ALOJ 2</t>
  </si>
  <si>
    <t>INV-121</t>
  </si>
  <si>
    <t>INV-125</t>
  </si>
  <si>
    <t>LARANJA</t>
  </si>
  <si>
    <t>VERMELHA</t>
  </si>
  <si>
    <t>SEM COR</t>
  </si>
  <si>
    <t>AMARELA</t>
  </si>
  <si>
    <t>ALEC230003</t>
  </si>
  <si>
    <t>ALEC230004</t>
  </si>
  <si>
    <t>ALEC240009</t>
  </si>
  <si>
    <t>ALEC240010</t>
  </si>
  <si>
    <t>RAJ5DC7MEP3258984</t>
  </si>
  <si>
    <t>CP11F46</t>
  </si>
  <si>
    <t>CP11F48</t>
  </si>
  <si>
    <t>MR-9400VC</t>
  </si>
  <si>
    <t>PRETO</t>
  </si>
  <si>
    <t>ALEC240007</t>
  </si>
  <si>
    <t>ALEC240008</t>
  </si>
  <si>
    <t>9C2KC2500SR103488</t>
  </si>
  <si>
    <t>JMF03</t>
  </si>
  <si>
    <t>QAB6G79</t>
  </si>
  <si>
    <t>BR 420</t>
  </si>
  <si>
    <t>BRANCO POLAR SOLIDO</t>
  </si>
  <si>
    <t>INV-111</t>
  </si>
  <si>
    <t>INV-124</t>
  </si>
  <si>
    <t>INV-093</t>
  </si>
  <si>
    <t>ALEI250365</t>
  </si>
  <si>
    <t>L232XE022211031CNF</t>
  </si>
  <si>
    <t>HCCZFA1OPSCJ86920</t>
  </si>
  <si>
    <t>HCCZFA1OERCJ80069</t>
  </si>
  <si>
    <t>HCCZFA1OCSCJ87000</t>
  </si>
  <si>
    <t>KA 120 R HT MOTOPODA 30CM/12",61PMM3</t>
  </si>
  <si>
    <t>DOSADOR DIFER 1000/2400</t>
  </si>
  <si>
    <t>CF11175</t>
  </si>
  <si>
    <t>FAB. PROPRIA</t>
  </si>
  <si>
    <t>INV-062</t>
  </si>
  <si>
    <t>CINZA</t>
  </si>
  <si>
    <t>VEREDE</t>
  </si>
  <si>
    <t>1BM5065EEE4001120</t>
  </si>
  <si>
    <t>P1224B00028</t>
  </si>
  <si>
    <t>G11T020940</t>
  </si>
  <si>
    <t>BERGE</t>
  </si>
  <si>
    <t>INV-094</t>
  </si>
  <si>
    <t>PR-SFF</t>
  </si>
  <si>
    <t>INV-079</t>
  </si>
  <si>
    <t>S023564</t>
  </si>
  <si>
    <t>INOX</t>
  </si>
  <si>
    <t>2019CSC2400JM041F</t>
  </si>
  <si>
    <t>RCV2A89</t>
  </si>
  <si>
    <t>HCCB45FCVLCK19088</t>
  </si>
  <si>
    <t>HCCB45FCVLCK19098</t>
  </si>
  <si>
    <t>A1N069804</t>
  </si>
  <si>
    <t>N/S 22263401</t>
  </si>
  <si>
    <t>PP-ZSS</t>
  </si>
  <si>
    <t>P.3094</t>
  </si>
  <si>
    <t>VERMLEHA</t>
  </si>
  <si>
    <t>REF INV-104</t>
  </si>
  <si>
    <t>9ADG145388M268091</t>
  </si>
  <si>
    <t>SDZ-2CRF</t>
  </si>
  <si>
    <t>CLDZ-2CFR</t>
  </si>
  <si>
    <t>SEM  COR</t>
  </si>
  <si>
    <t>9C2KC2500RR006214</t>
  </si>
  <si>
    <t>CINZA MOSCOU</t>
  </si>
  <si>
    <t>SSH4I09</t>
  </si>
  <si>
    <t>CF1115M</t>
  </si>
  <si>
    <t>INV-100</t>
  </si>
  <si>
    <t>INV-064</t>
  </si>
  <si>
    <t>INV-070</t>
  </si>
  <si>
    <t>INV-102</t>
  </si>
  <si>
    <t>INV-054</t>
  </si>
  <si>
    <t>Novais dos Santos Aquides</t>
  </si>
  <si>
    <t>Ramos Marques Carlos</t>
  </si>
  <si>
    <t>Cruz Nogueira Bruna</t>
  </si>
  <si>
    <t>Cantelli Jessica</t>
  </si>
  <si>
    <t>Rodrigues de Souza Mayra</t>
  </si>
  <si>
    <t>Pola Candido Geovana</t>
  </si>
  <si>
    <t>de Almeida Moreira Amanda</t>
  </si>
  <si>
    <t>de Santana Martins Adriel</t>
  </si>
  <si>
    <t>Borges Da Silva Marcus</t>
  </si>
  <si>
    <t>Almeida Bastos Ester</t>
  </si>
  <si>
    <t>Rodrigues Vieira Yan</t>
  </si>
  <si>
    <t>Barbosa de Carvalho Naiti</t>
  </si>
  <si>
    <t>COLABORADOR</t>
  </si>
  <si>
    <t>38650.5</t>
  </si>
  <si>
    <t>164532.55</t>
  </si>
  <si>
    <t>2296.44</t>
  </si>
  <si>
    <t>623.28</t>
  </si>
  <si>
    <t>1779.08</t>
  </si>
  <si>
    <t>1705.2</t>
  </si>
  <si>
    <t>158266.83</t>
  </si>
  <si>
    <t>2607721.91</t>
  </si>
  <si>
    <t>1158.05</t>
  </si>
  <si>
    <t>120089.87</t>
  </si>
  <si>
    <t>3454.25</t>
  </si>
  <si>
    <t>2299.13</t>
  </si>
  <si>
    <t>2749.8</t>
  </si>
  <si>
    <t>2153265.29</t>
  </si>
  <si>
    <t>4002880.92</t>
  </si>
  <si>
    <t>1153506.5</t>
  </si>
  <si>
    <t>2491054.72</t>
  </si>
  <si>
    <t>90473.48</t>
  </si>
  <si>
    <t>2302725.16</t>
  </si>
  <si>
    <t>253385.86</t>
  </si>
  <si>
    <t>2456.81</t>
  </si>
  <si>
    <t>1730625.39</t>
  </si>
  <si>
    <t>2701.25</t>
  </si>
  <si>
    <t>1362.93</t>
  </si>
  <si>
    <t>1066.22</t>
  </si>
  <si>
    <t>3074.43</t>
  </si>
  <si>
    <t>1919.98</t>
  </si>
  <si>
    <t>2699.9</t>
  </si>
  <si>
    <t>3667.4</t>
  </si>
  <si>
    <t>12867.2</t>
  </si>
  <si>
    <t>5336.29</t>
  </si>
  <si>
    <t>9663.71</t>
  </si>
  <si>
    <t>4788.34</t>
  </si>
  <si>
    <t>47500.32</t>
  </si>
  <si>
    <t>18318.68</t>
  </si>
  <si>
    <t>4998.5</t>
  </si>
  <si>
    <t>831.87</t>
  </si>
  <si>
    <t>702.9</t>
  </si>
  <si>
    <t>38628.76</t>
  </si>
  <si>
    <t>19994.94</t>
  </si>
  <si>
    <t>18318.88</t>
  </si>
  <si>
    <t>336666.67</t>
  </si>
  <si>
    <t>131991.2</t>
  </si>
  <si>
    <t>834.51</t>
  </si>
  <si>
    <t>9846.76</t>
  </si>
  <si>
    <t>1899.9</t>
  </si>
  <si>
    <t>20414.63</t>
  </si>
  <si>
    <t>37426.83</t>
  </si>
  <si>
    <t>900.25</t>
  </si>
  <si>
    <t>63956.64</t>
  </si>
  <si>
    <t>64272.74</t>
  </si>
  <si>
    <t>71116.2</t>
  </si>
  <si>
    <t>20019.37</t>
  </si>
  <si>
    <t>1940.46</t>
  </si>
  <si>
    <t>58000.01</t>
  </si>
  <si>
    <t>1099.99</t>
  </si>
  <si>
    <t>1611.03</t>
  </si>
  <si>
    <t>8026.69</t>
  </si>
  <si>
    <t>73719.51</t>
  </si>
  <si>
    <t>1242.05</t>
  </si>
  <si>
    <t>2808.77</t>
  </si>
  <si>
    <t>1830.37</t>
  </si>
  <si>
    <t>7805.72</t>
  </si>
  <si>
    <t>1350.85</t>
  </si>
  <si>
    <t>2090.99</t>
  </si>
  <si>
    <t>55467.6</t>
  </si>
  <si>
    <t>8994013.55</t>
  </si>
  <si>
    <t>76191.76</t>
  </si>
  <si>
    <t>4422.05</t>
  </si>
  <si>
    <t>304766.24</t>
  </si>
  <si>
    <t>254763.16</t>
  </si>
  <si>
    <t>3178.73</t>
  </si>
  <si>
    <t>96.02</t>
  </si>
  <si>
    <t>5982.93</t>
  </si>
  <si>
    <t>201865.52</t>
  </si>
  <si>
    <t>1653.14</t>
  </si>
  <si>
    <t>1880.39</t>
  </si>
  <si>
    <t>7189.04</t>
  </si>
  <si>
    <t>1468.1</t>
  </si>
  <si>
    <t>4475.12</t>
  </si>
  <si>
    <t>3834.87</t>
  </si>
  <si>
    <t>352272.73</t>
  </si>
  <si>
    <t>421854.7</t>
  </si>
  <si>
    <t>3569.96</t>
  </si>
  <si>
    <t>1848.59</t>
  </si>
  <si>
    <t>20001.5</t>
  </si>
  <si>
    <t>1575.29</t>
  </si>
  <si>
    <t>6283.99</t>
  </si>
  <si>
    <t>7129.68</t>
  </si>
  <si>
    <t>14419.9</t>
  </si>
  <si>
    <t>4338.39</t>
  </si>
  <si>
    <t>20282.57</t>
  </si>
  <si>
    <t>5908.5</t>
  </si>
  <si>
    <t>2247.46</t>
  </si>
  <si>
    <t>1436311.6</t>
  </si>
  <si>
    <t>68048.78</t>
  </si>
  <si>
    <t>210951.22</t>
  </si>
  <si>
    <t>3395.7</t>
  </si>
  <si>
    <t>1839.9</t>
  </si>
  <si>
    <t>1629.9</t>
  </si>
  <si>
    <t>84730.49</t>
  </si>
  <si>
    <t>1288888.89</t>
  </si>
  <si>
    <t>17121.93</t>
  </si>
  <si>
    <t>8225.2</t>
  </si>
  <si>
    <t>20121.95</t>
  </si>
  <si>
    <t>4850.44</t>
  </si>
  <si>
    <t>58975.61</t>
  </si>
  <si>
    <t>6331.71</t>
  </si>
  <si>
    <t>340243.9</t>
  </si>
  <si>
    <t>3496.6</t>
  </si>
  <si>
    <t>3196.31</t>
  </si>
  <si>
    <t>1926.91</t>
  </si>
  <si>
    <t>8605.26</t>
  </si>
  <si>
    <t>3822.94</t>
  </si>
  <si>
    <t>4869.22</t>
  </si>
  <si>
    <t>2614.55</t>
  </si>
  <si>
    <t>99333.08</t>
  </si>
  <si>
    <t>27439.02</t>
  </si>
  <si>
    <t>66032.84</t>
  </si>
  <si>
    <t>6955.2</t>
  </si>
  <si>
    <t>177073.17</t>
  </si>
  <si>
    <t>1658.28</t>
  </si>
  <si>
    <t>3393.95</t>
  </si>
  <si>
    <t>4184.29</t>
  </si>
  <si>
    <t>640010.59</t>
  </si>
  <si>
    <t>1624.35</t>
  </si>
  <si>
    <t>92363.67</t>
  </si>
  <si>
    <t>3861.97</t>
  </si>
  <si>
    <t>1925.99</t>
  </si>
  <si>
    <t>1925.98</t>
  </si>
  <si>
    <t>2033.56</t>
  </si>
  <si>
    <t>1696.76</t>
  </si>
  <si>
    <t>3400.05</t>
  </si>
  <si>
    <t>10172.65</t>
  </si>
  <si>
    <t>4506.78</t>
  </si>
  <si>
    <t>10172.55</t>
  </si>
  <si>
    <t>259051.91</t>
  </si>
  <si>
    <t>3399.9</t>
  </si>
  <si>
    <t>232170.5</t>
  </si>
  <si>
    <t>3679.9</t>
  </si>
  <si>
    <t>2850.95</t>
  </si>
  <si>
    <t>4626.95</t>
  </si>
  <si>
    <t>4484.69</t>
  </si>
  <si>
    <t>3551.98</t>
  </si>
  <si>
    <t>2065.5</t>
  </si>
  <si>
    <t>6201.6</t>
  </si>
  <si>
    <t>2992.1</t>
  </si>
  <si>
    <t>3147.16</t>
  </si>
  <si>
    <t>3466.65</t>
  </si>
  <si>
    <t>7031.97</t>
  </si>
  <si>
    <t>3609.05</t>
  </si>
  <si>
    <t>2123.44</t>
  </si>
  <si>
    <t>2413.13</t>
  </si>
  <si>
    <t>3267.71</t>
  </si>
  <si>
    <t>4247.84</t>
  </si>
  <si>
    <t>1199.9</t>
  </si>
  <si>
    <t>14917.47</t>
  </si>
  <si>
    <t>2299.8</t>
  </si>
  <si>
    <t>2538.96</t>
  </si>
  <si>
    <t>2538.95</t>
  </si>
  <si>
    <t>9671576.25</t>
  </si>
  <si>
    <t>9092495.95</t>
  </si>
  <si>
    <t>2940.19</t>
  </si>
  <si>
    <t>1701.81</t>
  </si>
  <si>
    <t>1332.87</t>
  </si>
  <si>
    <t>98166.67</t>
  </si>
  <si>
    <t>2590.99</t>
  </si>
  <si>
    <t>8071.53</t>
  </si>
  <si>
    <t>1551.9</t>
  </si>
  <si>
    <t>2972.91</t>
  </si>
  <si>
    <t>13486.92</t>
  </si>
  <si>
    <t>2037.07</t>
  </si>
  <si>
    <t>3169.99</t>
  </si>
  <si>
    <t>6389074.11</t>
  </si>
  <si>
    <t>9016.88</t>
  </si>
  <si>
    <t>1560.33</t>
  </si>
  <si>
    <t>3785.86</t>
  </si>
  <si>
    <t>3474.48</t>
  </si>
  <si>
    <t>1627.1</t>
  </si>
  <si>
    <t>2285.1</t>
  </si>
  <si>
    <t>5019.17</t>
  </si>
  <si>
    <t>7026858.89</t>
  </si>
  <si>
    <t>6850.12</t>
  </si>
  <si>
    <t>2587.22</t>
  </si>
  <si>
    <t>2367.02</t>
  </si>
  <si>
    <t>4299.9</t>
  </si>
  <si>
    <t>150278.85</t>
  </si>
  <si>
    <t>1804.26</t>
  </si>
  <si>
    <t>3210.8</t>
  </si>
  <si>
    <t>16321.5</t>
  </si>
  <si>
    <t>8661.47</t>
  </si>
  <si>
    <t>3617.66</t>
  </si>
  <si>
    <t>1876.64</t>
  </si>
  <si>
    <t>2116.36</t>
  </si>
  <si>
    <t>32861.07</t>
  </si>
  <si>
    <t>1999.9</t>
  </si>
  <si>
    <t>1734.7</t>
  </si>
  <si>
    <t>7235.4</t>
  </si>
  <si>
    <t>1799.22</t>
  </si>
  <si>
    <t>1799.9</t>
  </si>
  <si>
    <t>2578.48</t>
  </si>
  <si>
    <t>599.9</t>
  </si>
  <si>
    <t>1899.05</t>
  </si>
  <si>
    <t>4217.8</t>
  </si>
  <si>
    <t>2771.15</t>
  </si>
  <si>
    <t>3324.05</t>
  </si>
  <si>
    <t>2642.13</t>
  </si>
  <si>
    <t>2565.28</t>
  </si>
  <si>
    <t>7446.78</t>
  </si>
  <si>
    <t>284322.2</t>
  </si>
  <si>
    <t>2167.47</t>
  </si>
  <si>
    <t>3161.29</t>
  </si>
  <si>
    <t>3678.8</t>
  </si>
  <si>
    <t>4604.15</t>
  </si>
  <si>
    <t>2815.2</t>
  </si>
  <si>
    <t>5633.31</t>
  </si>
  <si>
    <t>1926.92</t>
  </si>
  <si>
    <t>325376.07</t>
  </si>
  <si>
    <t>227897.74</t>
  </si>
  <si>
    <t>17442.11</t>
  </si>
  <si>
    <t>9489.48</t>
  </si>
  <si>
    <t>1983.29</t>
  </si>
  <si>
    <t>2383.15</t>
  </si>
  <si>
    <t>3298.4</t>
  </si>
  <si>
    <t>2499.9</t>
  </si>
  <si>
    <t>2260.69</t>
  </si>
  <si>
    <t>5504.66</t>
  </si>
  <si>
    <t>2420.63</t>
  </si>
  <si>
    <t>10694.97</t>
  </si>
  <si>
    <t>4448.68</t>
  </si>
  <si>
    <t>3003.14</t>
  </si>
  <si>
    <t>1987.57</t>
  </si>
  <si>
    <t>1727.59</t>
  </si>
  <si>
    <t>2357.37</t>
  </si>
  <si>
    <t>8405.75</t>
  </si>
  <si>
    <t>2569.66</t>
  </si>
  <si>
    <t>4342.46</t>
  </si>
  <si>
    <t>2143.87</t>
  </si>
  <si>
    <t>169293.3</t>
  </si>
  <si>
    <t>615411.6</t>
  </si>
  <si>
    <t>246976.24</t>
  </si>
  <si>
    <t>262508.03</t>
  </si>
  <si>
    <t>36932.96</t>
  </si>
  <si>
    <t>149014.57</t>
  </si>
  <si>
    <t>178304.83</t>
  </si>
  <si>
    <t>193822.67</t>
  </si>
  <si>
    <t>3923.01</t>
  </si>
  <si>
    <t>2514.53</t>
  </si>
  <si>
    <t>2772.85</t>
  </si>
  <si>
    <t>2766.59</t>
  </si>
  <si>
    <t>4433.23</t>
  </si>
  <si>
    <t>5237.1</t>
  </si>
  <si>
    <t>4887.78</t>
  </si>
  <si>
    <t>2824.68</t>
  </si>
  <si>
    <t>3383.32</t>
  </si>
  <si>
    <t>4079.9</t>
  </si>
  <si>
    <t>1680.12</t>
  </si>
  <si>
    <t>208230.63</t>
  </si>
  <si>
    <t>2954.5</t>
  </si>
  <si>
    <t>5348.2</t>
  </si>
  <si>
    <t>1861.27</t>
  </si>
  <si>
    <t>1861.28</t>
  </si>
  <si>
    <t>2133.03</t>
  </si>
  <si>
    <t>3181.93</t>
  </si>
  <si>
    <t>2663.33</t>
  </si>
  <si>
    <t>18899.99</t>
  </si>
  <si>
    <t>4448.69</t>
  </si>
  <si>
    <t>1552906.82</t>
  </si>
  <si>
    <t>900765.78</t>
  </si>
  <si>
    <t>15136.82</t>
  </si>
  <si>
    <t>6568.41</t>
  </si>
  <si>
    <t>2180.31</t>
  </si>
  <si>
    <t>2469.05</t>
  </si>
  <si>
    <t>3766.71</t>
  </si>
  <si>
    <t>6705.44</t>
  </si>
  <si>
    <t>4123.04</t>
  </si>
  <si>
    <t>6998.34</t>
  </si>
  <si>
    <t>2576.91</t>
  </si>
  <si>
    <t>18999.99</t>
  </si>
  <si>
    <t>1839.08</t>
  </si>
  <si>
    <t>3708239.61</t>
  </si>
  <si>
    <t>2998.82</t>
  </si>
  <si>
    <t>3969.1</t>
  </si>
  <si>
    <t>2999.9</t>
  </si>
  <si>
    <t>7603.22</t>
  </si>
  <si>
    <t>849.9</t>
  </si>
  <si>
    <t>1997.6</t>
  </si>
  <si>
    <t>13557.5</t>
  </si>
  <si>
    <t>47239.49</t>
  </si>
  <si>
    <t>1195.4</t>
  </si>
  <si>
    <t>2407.78</t>
  </si>
  <si>
    <t>4777.5</t>
  </si>
  <si>
    <t>1494.24</t>
  </si>
  <si>
    <t>2127.05</t>
  </si>
  <si>
    <t>1807.33</t>
  </si>
  <si>
    <t>3597.11</t>
  </si>
  <si>
    <t>2632.45</t>
  </si>
  <si>
    <t>1701.94</t>
  </si>
  <si>
    <t>187471.03</t>
  </si>
  <si>
    <t>231559.81</t>
  </si>
  <si>
    <t>645414.29</t>
  </si>
  <si>
    <t>783941.85</t>
  </si>
  <si>
    <t>11455.08</t>
  </si>
  <si>
    <t>9252.18</t>
  </si>
  <si>
    <t>7122.71</t>
  </si>
  <si>
    <t>34585.53</t>
  </si>
  <si>
    <t>1257.45</t>
  </si>
  <si>
    <t>1799.1</t>
  </si>
  <si>
    <t>7661.92</t>
  </si>
  <si>
    <t>1512.15</t>
  </si>
  <si>
    <t>5925.45</t>
  </si>
  <si>
    <t>3799.9</t>
  </si>
  <si>
    <t>3083.5</t>
  </si>
  <si>
    <t>158734.14</t>
  </si>
  <si>
    <t>2820.55</t>
  </si>
  <si>
    <t>1346.15</t>
  </si>
  <si>
    <t>1487.9</t>
  </si>
  <si>
    <t>1798.9</t>
  </si>
  <si>
    <t>INDEFINIDO</t>
  </si>
  <si>
    <t>FORMATADO</t>
  </si>
  <si>
    <t>39639.71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</si>
</sst>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8" formatCode="&quot;R$&quot;\ #,##0.00;[Red]\-&quot;R$&quot;\ #,##0.00"/>
    <numFmt numFmtId="44" formatCode="_-&quot;R$&quot;\ * #,##0.00_-;\-&quot;R$&quot;\ * #,##0.00_-;_-&quot;R$&quot;\ * &quot;-&quot;??_-;_-@_-"/>
    <numFmt numFmtId="164" formatCode="_(* #,##0.00_);_(* \(#,##0.00\);_(* &quot;-&quot;??_);_(@_)"/>
    <numFmt numFmtId="165" formatCode="000,000,000"/>
    <numFmt numFmtId="166" formatCode="&quot;R$&quot;\ #,##0.00"/>
  </numFmts>
  <fonts count="26" x14ac:knownFonts="1">
    <font>
      <sz val="11"/>
      <color theme="1"/>
      <name val="Franklin Gothic Book"/>
      <family val="2"/>
      <scheme val="minor"/>
    </font>
    <font>
      <sz val="11"/>
      <color theme="1"/>
      <name val="Franklin Gothic Book"/>
      <family val="2"/>
      <scheme val="minor"/>
    </font>
    <font>
      <sz val="10"/>
      <color theme="1"/>
      <name val="Franklin Gothic Book"/>
      <family val="2"/>
      <scheme val="minor"/>
    </font>
    <font>
      <sz val="10"/>
      <color rgb="FFFF0000"/>
      <name val="Franklin Gothic Book"/>
      <family val="2"/>
      <scheme val="minor"/>
    </font>
    <font>
      <b/>
      <sz val="10"/>
      <color theme="1"/>
      <name val="Franklin Gothic Book"/>
      <family val="2"/>
      <scheme val="minor"/>
    </font>
    <font>
      <sz val="8"/>
      <name val="Franklin Gothic Book"/>
      <family val="2"/>
      <scheme val="minor"/>
    </font>
    <font>
      <sz val="10"/>
      <name val="Franklin Gothic Book"/>
      <family val="2"/>
      <scheme val="minor"/>
    </font>
    <font>
      <sz val="11"/>
      <name val="Franklin Gothic Book"/>
      <family val="2"/>
      <scheme val="minor"/>
    </font>
    <font>
      <sz val="11"/>
      <color rgb="FFFF0000"/>
      <name val="Franklin Gothic Book"/>
      <family val="2"/>
      <scheme val="minor"/>
    </font>
    <font>
      <sz val="11"/>
      <color theme="1"/>
      <name val="Franklin Gothic Book"/>
      <family val="2"/>
      <scheme val="major"/>
    </font>
    <font>
      <b/>
      <sz val="11"/>
      <color theme="1"/>
      <name val="Franklin Gothic Book"/>
      <family val="2"/>
      <scheme val="major"/>
    </font>
    <font>
      <sz val="11"/>
      <color rgb="FFFF0000"/>
      <name val="Franklin Gothic Book"/>
      <family val="2"/>
      <scheme val="major"/>
    </font>
    <font>
      <b/>
      <sz val="11"/>
      <color theme="1"/>
      <name val="Franklin Gothic Book"/>
      <family val="2"/>
      <scheme val="minor"/>
    </font>
    <font>
      <b/>
      <sz val="11"/>
      <name val="Franklin Gothic Book"/>
      <family val="2"/>
      <scheme val="minor"/>
    </font>
    <font>
      <sz val="11"/>
      <color theme="1" tint="4.9989318521683403E-2"/>
      <name val="Franklin Gothic Book"/>
      <family val="2"/>
      <scheme val="minor"/>
    </font>
    <font>
      <sz val="10"/>
      <color theme="1" tint="4.9989318521683403E-2"/>
      <name val="Franklin Gothic Book"/>
      <family val="2"/>
      <scheme val="minor"/>
    </font>
    <font>
      <sz val="10"/>
      <color theme="1"/>
      <name val="Franklin Gothic Book"/>
      <family val="2"/>
      <scheme val="minor"/>
    </font>
    <font>
      <sz val="10"/>
      <color theme="0" tint="-0.14999847407452621"/>
      <name val="Franklin Gothic Book"/>
      <family val="2"/>
      <scheme val="minor"/>
    </font>
    <font>
      <sz val="11"/>
      <color theme="0" tint="-0.14999847407452621"/>
      <name val="Franklin Gothic Book"/>
      <family val="2"/>
      <scheme val="minor"/>
    </font>
    <font>
      <b/>
      <sz val="11"/>
      <color theme="1" tint="4.9989318521683403E-2"/>
      <name val="Franklin Gothic Book"/>
      <family val="2"/>
      <scheme val="minor"/>
    </font>
    <font>
      <b/>
      <sz val="11"/>
      <color theme="0"/>
      <name val="Franklin Gothic Book"/>
      <family val="2"/>
      <scheme val="minor"/>
    </font>
    <font>
      <sz val="11"/>
      <color theme="0"/>
      <name val="Franklin Gothic Book"/>
      <family val="2"/>
      <scheme val="minor"/>
    </font>
    <font>
      <sz val="10"/>
      <color theme="0"/>
      <name val="Franklin Gothic Book"/>
      <family val="2"/>
      <scheme val="minor"/>
    </font>
    <font>
      <sz val="11"/>
      <color rgb="FF00B050"/>
      <name val="Franklin Gothic Book"/>
      <family val="2"/>
      <scheme val="minor"/>
    </font>
    <font>
      <sz val="10"/>
      <color rgb="FF00B050"/>
      <name val="Franklin Gothic Book"/>
      <family val="2"/>
      <scheme val="minor"/>
    </font>
    <font>
      <b/>
      <sz val="10"/>
      <color theme="0"/>
      <name val="Franklin Gothic Book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0" tint="-0.14999847407452621"/>
      </patternFill>
    </fill>
    <fill>
      <patternFill patternType="solid">
        <fgColor theme="3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206">
    <xf numFmtId="0" fontId="0" fillId="0" borderId="0" xfId="0"/>
    <xf numFmtId="0" fontId="2" fillId="0" borderId="0" xfId="0" applyFont="1" applyAlignment="1">
      <alignment horizontal="left" vertical="center"/>
    </xf>
    <xf numFmtId="0" fontId="12" fillId="0" borderId="0" xfId="0" applyFont="1"/>
    <xf numFmtId="0" fontId="0" fillId="0" borderId="0" xfId="0" applyAlignment="1">
      <alignment horizontal="left" vertical="center"/>
    </xf>
    <xf numFmtId="165" fontId="9" fillId="0" borderId="0" xfId="0" applyNumberFormat="1" applyFont="1" applyAlignment="1">
      <alignment horizontal="left" vertical="center"/>
    </xf>
    <xf numFmtId="0" fontId="12" fillId="3" borderId="2" xfId="0" applyFont="1" applyFill="1" applyBorder="1" applyAlignment="1">
      <alignment horizontal="left" vertical="center"/>
    </xf>
    <xf numFmtId="0" fontId="13" fillId="3" borderId="2" xfId="0" applyFont="1" applyFill="1" applyBorder="1" applyAlignment="1">
      <alignment horizontal="left" vertical="center"/>
    </xf>
    <xf numFmtId="0" fontId="12" fillId="3" borderId="1" xfId="0" applyFont="1" applyFill="1" applyBorder="1" applyAlignment="1">
      <alignment horizontal="left" vertical="center"/>
    </xf>
    <xf numFmtId="0" fontId="0" fillId="0" borderId="0" xfId="0" applyAlignment="1" applyProtection="1">
      <alignment horizontal="left" vertical="center"/>
      <protection locked="0"/>
    </xf>
    <xf numFmtId="165" fontId="0" fillId="0" borderId="0" xfId="0" applyNumberFormat="1" applyAlignment="1">
      <alignment horizontal="left" vertical="center" wrapText="1"/>
    </xf>
    <xf numFmtId="165" fontId="0" fillId="3" borderId="0" xfId="0" applyNumberFormat="1" applyFill="1" applyAlignment="1">
      <alignment horizontal="left" vertical="center" wrapText="1"/>
    </xf>
    <xf numFmtId="0" fontId="0" fillId="3" borderId="0" xfId="0" applyFill="1" applyAlignment="1">
      <alignment horizontal="left" vertical="center"/>
    </xf>
    <xf numFmtId="165" fontId="0" fillId="0" borderId="0" xfId="0" applyNumberFormat="1" applyAlignment="1">
      <alignment horizontal="left" vertical="center"/>
    </xf>
    <xf numFmtId="14" fontId="0" fillId="3" borderId="0" xfId="0" applyNumberFormat="1" applyFill="1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3" borderId="0" xfId="0" applyFill="1" applyAlignment="1">
      <alignment horizontal="left" vertical="center" wrapText="1"/>
    </xf>
    <xf numFmtId="165" fontId="7" fillId="0" borderId="0" xfId="0" applyNumberFormat="1" applyFont="1" applyAlignment="1">
      <alignment horizontal="left" vertical="center" wrapText="1"/>
    </xf>
    <xf numFmtId="165" fontId="7" fillId="3" borderId="0" xfId="0" applyNumberFormat="1" applyFont="1" applyFill="1" applyAlignment="1">
      <alignment horizontal="left" vertical="center" wrapText="1"/>
    </xf>
    <xf numFmtId="0" fontId="7" fillId="3" borderId="0" xfId="0" applyFont="1" applyFill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7" fillId="3" borderId="0" xfId="0" applyFont="1" applyFill="1" applyAlignment="1">
      <alignment horizontal="left" vertical="center" wrapText="1"/>
    </xf>
    <xf numFmtId="14" fontId="7" fillId="3" borderId="0" xfId="0" applyNumberFormat="1" applyFont="1" applyFill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2" fillId="3" borderId="0" xfId="0" applyFont="1" applyFill="1" applyAlignment="1">
      <alignment horizontal="left" vertical="center"/>
    </xf>
    <xf numFmtId="0" fontId="6" fillId="0" borderId="0" xfId="0" applyFont="1" applyAlignment="1">
      <alignment horizontal="left" vertical="center"/>
    </xf>
    <xf numFmtId="44" fontId="7" fillId="3" borderId="0" xfId="0" applyNumberFormat="1" applyFont="1" applyFill="1" applyAlignment="1">
      <alignment horizontal="left" vertical="center"/>
    </xf>
    <xf numFmtId="0" fontId="6" fillId="3" borderId="0" xfId="0" applyFont="1" applyFill="1" applyAlignment="1">
      <alignment horizontal="left" vertical="center"/>
    </xf>
    <xf numFmtId="3" fontId="0" fillId="0" borderId="0" xfId="0" applyNumberFormat="1" applyAlignment="1">
      <alignment horizontal="left" vertical="center" wrapText="1"/>
    </xf>
    <xf numFmtId="44" fontId="0" fillId="3" borderId="0" xfId="0" applyNumberFormat="1" applyFill="1" applyAlignment="1">
      <alignment horizontal="left" vertical="center"/>
    </xf>
    <xf numFmtId="14" fontId="0" fillId="0" borderId="0" xfId="0" applyNumberFormat="1" applyAlignment="1">
      <alignment horizontal="left" vertical="center"/>
    </xf>
    <xf numFmtId="14" fontId="2" fillId="0" borderId="0" xfId="0" applyNumberFormat="1" applyFont="1" applyAlignment="1">
      <alignment horizontal="left" vertical="center"/>
    </xf>
    <xf numFmtId="165" fontId="0" fillId="0" borderId="1" xfId="0" applyNumberFormat="1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0" fontId="0" fillId="3" borderId="1" xfId="0" applyFill="1" applyBorder="1" applyAlignment="1">
      <alignment horizontal="left" vertical="center" wrapText="1"/>
    </xf>
    <xf numFmtId="14" fontId="0" fillId="0" borderId="0" xfId="0" applyNumberFormat="1" applyAlignment="1">
      <alignment horizontal="left" vertical="center" wrapText="1"/>
    </xf>
    <xf numFmtId="14" fontId="0" fillId="3" borderId="0" xfId="0" applyNumberFormat="1" applyFill="1" applyAlignment="1">
      <alignment horizontal="left" vertical="center" wrapText="1"/>
    </xf>
    <xf numFmtId="165" fontId="9" fillId="3" borderId="0" xfId="0" applyNumberFormat="1" applyFont="1" applyFill="1" applyAlignment="1">
      <alignment horizontal="left" vertical="center" wrapText="1"/>
    </xf>
    <xf numFmtId="0" fontId="9" fillId="0" borderId="0" xfId="0" applyFont="1" applyAlignment="1">
      <alignment horizontal="left" vertical="center"/>
    </xf>
    <xf numFmtId="0" fontId="9" fillId="3" borderId="0" xfId="0" applyFont="1" applyFill="1" applyAlignment="1">
      <alignment horizontal="left" vertical="center" wrapText="1"/>
    </xf>
    <xf numFmtId="0" fontId="9" fillId="3" borderId="0" xfId="0" applyFont="1" applyFill="1" applyAlignment="1">
      <alignment horizontal="left" vertical="center"/>
    </xf>
    <xf numFmtId="14" fontId="9" fillId="3" borderId="0" xfId="0" applyNumberFormat="1" applyFont="1" applyFill="1" applyAlignment="1">
      <alignment horizontal="left" vertical="center" wrapText="1"/>
    </xf>
    <xf numFmtId="0" fontId="9" fillId="0" borderId="0" xfId="0" applyFont="1" applyAlignment="1">
      <alignment horizontal="left" vertical="center" wrapText="1"/>
    </xf>
    <xf numFmtId="14" fontId="9" fillId="3" borderId="0" xfId="0" applyNumberFormat="1" applyFont="1" applyFill="1" applyAlignment="1">
      <alignment horizontal="left" vertical="center"/>
    </xf>
    <xf numFmtId="165" fontId="0" fillId="3" borderId="0" xfId="0" applyNumberFormat="1" applyFill="1" applyAlignment="1">
      <alignment horizontal="left" vertical="center"/>
    </xf>
    <xf numFmtId="0" fontId="0" fillId="0" borderId="0" xfId="0" applyAlignment="1">
      <alignment horizontal="left"/>
    </xf>
    <xf numFmtId="0" fontId="12" fillId="0" borderId="2" xfId="0" applyFont="1" applyBorder="1" applyAlignment="1">
      <alignment horizontal="left" vertical="center"/>
    </xf>
    <xf numFmtId="0" fontId="4" fillId="3" borderId="0" xfId="0" applyFont="1" applyFill="1" applyAlignment="1">
      <alignment horizontal="left" vertical="center"/>
    </xf>
    <xf numFmtId="14" fontId="7" fillId="0" borderId="0" xfId="0" applyNumberFormat="1" applyFont="1" applyAlignment="1">
      <alignment horizontal="left" vertical="center"/>
    </xf>
    <xf numFmtId="165" fontId="7" fillId="3" borderId="0" xfId="0" applyNumberFormat="1" applyFont="1" applyFill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0" fillId="0" borderId="0" xfId="0" pivotButton="1"/>
    <xf numFmtId="165" fontId="7" fillId="0" borderId="0" xfId="0" applyNumberFormat="1" applyFont="1" applyAlignment="1">
      <alignment horizontal="left" vertical="center"/>
    </xf>
    <xf numFmtId="44" fontId="9" fillId="3" borderId="0" xfId="0" applyNumberFormat="1" applyFont="1" applyFill="1" applyAlignment="1">
      <alignment horizontal="left" vertical="center"/>
    </xf>
    <xf numFmtId="165" fontId="14" fillId="0" borderId="0" xfId="0" applyNumberFormat="1" applyFont="1" applyAlignment="1">
      <alignment horizontal="left" vertical="center" wrapText="1"/>
    </xf>
    <xf numFmtId="0" fontId="14" fillId="3" borderId="0" xfId="0" applyFont="1" applyFill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14" fillId="3" borderId="0" xfId="0" applyFont="1" applyFill="1" applyAlignment="1">
      <alignment horizontal="left" vertical="center" wrapText="1"/>
    </xf>
    <xf numFmtId="14" fontId="14" fillId="3" borderId="0" xfId="0" applyNumberFormat="1" applyFont="1" applyFill="1" applyAlignment="1">
      <alignment horizontal="left" vertical="center"/>
    </xf>
    <xf numFmtId="0" fontId="15" fillId="0" borderId="0" xfId="0" applyFont="1" applyAlignment="1">
      <alignment horizontal="left" vertical="center"/>
    </xf>
    <xf numFmtId="165" fontId="0" fillId="0" borderId="2" xfId="0" applyNumberFormat="1" applyBorder="1" applyAlignment="1">
      <alignment horizontal="left" vertical="center" wrapText="1"/>
    </xf>
    <xf numFmtId="0" fontId="7" fillId="0" borderId="2" xfId="0" applyFont="1" applyBorder="1" applyAlignment="1">
      <alignment horizontal="left" vertical="center"/>
    </xf>
    <xf numFmtId="14" fontId="14" fillId="0" borderId="0" xfId="0" applyNumberFormat="1" applyFont="1" applyAlignment="1">
      <alignment horizontal="left" vertical="center"/>
    </xf>
    <xf numFmtId="0" fontId="0" fillId="3" borderId="0" xfId="0" quotePrefix="1" applyFill="1" applyAlignment="1">
      <alignment horizontal="left" vertical="center" wrapText="1"/>
    </xf>
    <xf numFmtId="0" fontId="2" fillId="0" borderId="1" xfId="0" applyFont="1" applyBorder="1" applyAlignment="1">
      <alignment horizontal="left" vertical="center"/>
    </xf>
    <xf numFmtId="0" fontId="12" fillId="3" borderId="0" xfId="0" applyFont="1" applyFill="1" applyAlignment="1">
      <alignment horizontal="left" vertical="center"/>
    </xf>
    <xf numFmtId="165" fontId="12" fillId="0" borderId="2" xfId="0" applyNumberFormat="1" applyFont="1" applyBorder="1" applyAlignment="1">
      <alignment horizontal="left" vertical="center" wrapText="1"/>
    </xf>
    <xf numFmtId="0" fontId="0" fillId="3" borderId="1" xfId="0" applyFill="1" applyBorder="1" applyAlignment="1">
      <alignment horizontal="left" vertical="center"/>
    </xf>
    <xf numFmtId="44" fontId="12" fillId="3" borderId="0" xfId="0" applyNumberFormat="1" applyFont="1" applyFill="1" applyAlignment="1">
      <alignment horizontal="left" vertical="center"/>
    </xf>
    <xf numFmtId="14" fontId="7" fillId="3" borderId="0" xfId="0" applyNumberFormat="1" applyFont="1" applyFill="1" applyAlignment="1">
      <alignment horizontal="left" vertical="center" wrapText="1"/>
    </xf>
    <xf numFmtId="165" fontId="9" fillId="0" borderId="0" xfId="0" applyNumberFormat="1" applyFont="1" applyAlignment="1">
      <alignment horizontal="left" vertical="center" wrapText="1"/>
    </xf>
    <xf numFmtId="14" fontId="9" fillId="0" borderId="0" xfId="0" applyNumberFormat="1" applyFont="1" applyAlignment="1">
      <alignment horizontal="left" vertical="center"/>
    </xf>
    <xf numFmtId="3" fontId="0" fillId="3" borderId="0" xfId="0" applyNumberFormat="1" applyFill="1" applyAlignment="1">
      <alignment horizontal="left" vertical="center" wrapText="1"/>
    </xf>
    <xf numFmtId="44" fontId="0" fillId="3" borderId="0" xfId="0" applyNumberFormat="1" applyFill="1" applyAlignment="1">
      <alignment horizontal="left" vertical="center" wrapText="1"/>
    </xf>
    <xf numFmtId="8" fontId="0" fillId="3" borderId="0" xfId="0" applyNumberFormat="1" applyFill="1" applyAlignment="1">
      <alignment horizontal="left" vertical="center"/>
    </xf>
    <xf numFmtId="44" fontId="0" fillId="3" borderId="1" xfId="0" applyNumberFormat="1" applyFill="1" applyBorder="1" applyAlignment="1">
      <alignment horizontal="left" vertical="center"/>
    </xf>
    <xf numFmtId="44" fontId="7" fillId="3" borderId="0" xfId="2" applyNumberFormat="1" applyFont="1" applyFill="1" applyBorder="1" applyAlignment="1" applyProtection="1">
      <alignment horizontal="left" vertical="center"/>
    </xf>
    <xf numFmtId="44" fontId="6" fillId="3" borderId="0" xfId="0" applyNumberFormat="1" applyFont="1" applyFill="1" applyAlignment="1">
      <alignment horizontal="left" vertical="center"/>
    </xf>
    <xf numFmtId="0" fontId="16" fillId="0" borderId="0" xfId="0" applyFont="1" applyAlignment="1">
      <alignment horizontal="left" vertical="center"/>
    </xf>
    <xf numFmtId="0" fontId="17" fillId="2" borderId="0" xfId="0" applyFont="1" applyFill="1" applyAlignment="1">
      <alignment horizontal="left" vertical="center"/>
    </xf>
    <xf numFmtId="0" fontId="18" fillId="2" borderId="0" xfId="0" applyFont="1" applyFill="1" applyAlignment="1">
      <alignment horizontal="left" vertical="center"/>
    </xf>
    <xf numFmtId="165" fontId="17" fillId="2" borderId="0" xfId="0" applyNumberFormat="1" applyFont="1" applyFill="1" applyAlignment="1">
      <alignment horizontal="left" vertical="center"/>
    </xf>
    <xf numFmtId="14" fontId="18" fillId="2" borderId="0" xfId="0" applyNumberFormat="1" applyFont="1" applyFill="1" applyAlignment="1">
      <alignment horizontal="left" vertical="center"/>
    </xf>
    <xf numFmtId="44" fontId="14" fillId="3" borderId="0" xfId="0" applyNumberFormat="1" applyFont="1" applyFill="1" applyAlignment="1">
      <alignment horizontal="left" vertical="center"/>
    </xf>
    <xf numFmtId="165" fontId="14" fillId="3" borderId="0" xfId="0" applyNumberFormat="1" applyFont="1" applyFill="1" applyAlignment="1">
      <alignment horizontal="left" vertical="center" wrapText="1"/>
    </xf>
    <xf numFmtId="0" fontId="19" fillId="3" borderId="2" xfId="0" applyFont="1" applyFill="1" applyBorder="1" applyAlignment="1">
      <alignment horizontal="left" vertical="center"/>
    </xf>
    <xf numFmtId="0" fontId="15" fillId="3" borderId="0" xfId="0" applyFont="1" applyFill="1" applyAlignment="1">
      <alignment horizontal="left" vertical="center"/>
    </xf>
    <xf numFmtId="166" fontId="0" fillId="0" borderId="0" xfId="0" applyNumberFormat="1" applyAlignment="1">
      <alignment horizontal="left" vertical="center"/>
    </xf>
    <xf numFmtId="166" fontId="2" fillId="0" borderId="0" xfId="0" applyNumberFormat="1" applyFont="1" applyAlignment="1">
      <alignment horizontal="left" vertical="center"/>
    </xf>
    <xf numFmtId="166" fontId="0" fillId="3" borderId="2" xfId="0" applyNumberFormat="1" applyFill="1" applyBorder="1" applyAlignment="1">
      <alignment horizontal="left" vertical="center"/>
    </xf>
    <xf numFmtId="166" fontId="7" fillId="0" borderId="0" xfId="0" applyNumberFormat="1" applyFont="1" applyAlignment="1">
      <alignment horizontal="left" vertical="center"/>
    </xf>
    <xf numFmtId="166" fontId="0" fillId="3" borderId="0" xfId="0" applyNumberFormat="1" applyFill="1" applyAlignment="1">
      <alignment horizontal="left" vertical="center"/>
    </xf>
    <xf numFmtId="166" fontId="7" fillId="3" borderId="0" xfId="0" applyNumberFormat="1" applyFont="1" applyFill="1" applyAlignment="1">
      <alignment horizontal="left" vertical="center"/>
    </xf>
    <xf numFmtId="166" fontId="12" fillId="3" borderId="2" xfId="0" applyNumberFormat="1" applyFont="1" applyFill="1" applyBorder="1" applyAlignment="1">
      <alignment horizontal="left" vertical="center"/>
    </xf>
    <xf numFmtId="166" fontId="14" fillId="3" borderId="0" xfId="0" applyNumberFormat="1" applyFont="1" applyFill="1" applyAlignment="1">
      <alignment horizontal="left" vertical="center"/>
    </xf>
    <xf numFmtId="166" fontId="1" fillId="0" borderId="0" xfId="0" applyNumberFormat="1" applyFont="1" applyAlignment="1">
      <alignment horizontal="left" vertical="center"/>
    </xf>
    <xf numFmtId="166" fontId="14" fillId="0" borderId="0" xfId="0" applyNumberFormat="1" applyFont="1" applyAlignment="1">
      <alignment horizontal="left" vertical="center"/>
    </xf>
    <xf numFmtId="166" fontId="0" fillId="0" borderId="0" xfId="2" applyNumberFormat="1" applyFont="1" applyFill="1" applyBorder="1" applyAlignment="1" applyProtection="1">
      <alignment horizontal="left" vertical="center"/>
    </xf>
    <xf numFmtId="166" fontId="7" fillId="0" borderId="0" xfId="2" applyNumberFormat="1" applyFont="1" applyFill="1" applyBorder="1" applyAlignment="1" applyProtection="1">
      <alignment horizontal="left" vertical="center"/>
    </xf>
    <xf numFmtId="166" fontId="14" fillId="0" borderId="0" xfId="2" applyNumberFormat="1" applyFont="1" applyFill="1" applyBorder="1" applyAlignment="1" applyProtection="1">
      <alignment horizontal="left" vertical="center"/>
    </xf>
    <xf numFmtId="166" fontId="9" fillId="0" borderId="0" xfId="0" applyNumberFormat="1" applyFont="1" applyAlignment="1">
      <alignment horizontal="left" vertical="center"/>
    </xf>
    <xf numFmtId="166" fontId="9" fillId="3" borderId="0" xfId="0" applyNumberFormat="1" applyFont="1" applyFill="1" applyAlignment="1">
      <alignment horizontal="left" vertical="center"/>
    </xf>
    <xf numFmtId="166" fontId="9" fillId="4" borderId="0" xfId="1" applyNumberFormat="1" applyFont="1" applyFill="1" applyBorder="1" applyAlignment="1" applyProtection="1">
      <alignment horizontal="left" vertical="center"/>
    </xf>
    <xf numFmtId="166" fontId="0" fillId="0" borderId="1" xfId="0" applyNumberFormat="1" applyBorder="1" applyAlignment="1">
      <alignment horizontal="left" vertical="center"/>
    </xf>
    <xf numFmtId="166" fontId="17" fillId="2" borderId="0" xfId="0" applyNumberFormat="1" applyFont="1" applyFill="1" applyAlignment="1">
      <alignment horizontal="left" vertical="center"/>
    </xf>
    <xf numFmtId="165" fontId="20" fillId="5" borderId="3" xfId="0" applyNumberFormat="1" applyFont="1" applyFill="1" applyBorder="1" applyAlignment="1">
      <alignment horizontal="left" vertical="center" wrapText="1"/>
    </xf>
    <xf numFmtId="165" fontId="21" fillId="5" borderId="0" xfId="0" applyNumberFormat="1" applyFont="1" applyFill="1" applyAlignment="1">
      <alignment horizontal="left" vertical="center" wrapText="1"/>
    </xf>
    <xf numFmtId="1" fontId="21" fillId="5" borderId="0" xfId="0" applyNumberFormat="1" applyFont="1" applyFill="1" applyAlignment="1">
      <alignment horizontal="left" vertical="center" wrapText="1"/>
    </xf>
    <xf numFmtId="0" fontId="21" fillId="5" borderId="0" xfId="0" applyFont="1" applyFill="1" applyAlignment="1">
      <alignment horizontal="left" vertical="center" wrapText="1"/>
    </xf>
    <xf numFmtId="0" fontId="21" fillId="5" borderId="0" xfId="0" applyFont="1" applyFill="1" applyAlignment="1">
      <alignment horizontal="left" vertical="center"/>
    </xf>
    <xf numFmtId="166" fontId="21" fillId="5" borderId="0" xfId="0" applyNumberFormat="1" applyFont="1" applyFill="1" applyAlignment="1">
      <alignment horizontal="left" vertical="center" wrapText="1"/>
    </xf>
    <xf numFmtId="44" fontId="21" fillId="5" borderId="0" xfId="0" applyNumberFormat="1" applyFont="1" applyFill="1" applyAlignment="1">
      <alignment horizontal="left" vertical="center" wrapText="1"/>
    </xf>
    <xf numFmtId="0" fontId="22" fillId="5" borderId="0" xfId="0" applyFont="1" applyFill="1" applyAlignment="1">
      <alignment horizontal="left" vertical="center"/>
    </xf>
    <xf numFmtId="165" fontId="1" fillId="0" borderId="2" xfId="0" applyNumberFormat="1" applyFont="1" applyBorder="1" applyAlignment="1">
      <alignment horizontal="left" vertical="center" wrapText="1"/>
    </xf>
    <xf numFmtId="165" fontId="1" fillId="0" borderId="0" xfId="0" applyNumberFormat="1" applyFont="1" applyAlignment="1">
      <alignment horizontal="left" vertical="center" wrapText="1"/>
    </xf>
    <xf numFmtId="0" fontId="1" fillId="3" borderId="0" xfId="0" applyFont="1" applyFill="1" applyAlignment="1">
      <alignment horizontal="left" vertical="center"/>
    </xf>
    <xf numFmtId="0" fontId="1" fillId="0" borderId="0" xfId="0" applyFont="1" applyAlignment="1">
      <alignment horizontal="left" vertical="center"/>
    </xf>
    <xf numFmtId="14" fontId="1" fillId="3" borderId="0" xfId="0" applyNumberFormat="1" applyFont="1" applyFill="1" applyAlignment="1">
      <alignment horizontal="left" vertical="center"/>
    </xf>
    <xf numFmtId="44" fontId="1" fillId="3" borderId="0" xfId="0" applyNumberFormat="1" applyFont="1" applyFill="1" applyAlignment="1">
      <alignment horizontal="left" vertical="center"/>
    </xf>
    <xf numFmtId="14" fontId="21" fillId="5" borderId="0" xfId="0" applyNumberFormat="1" applyFont="1" applyFill="1" applyAlignment="1">
      <alignment horizontal="left" vertical="center" wrapText="1"/>
    </xf>
    <xf numFmtId="14" fontId="0" fillId="0" borderId="0" xfId="0" applyNumberFormat="1" applyAlignment="1">
      <alignment horizontal="left"/>
    </xf>
    <xf numFmtId="166" fontId="0" fillId="0" borderId="0" xfId="0" applyNumberFormat="1" applyAlignment="1">
      <alignment horizontal="left"/>
    </xf>
    <xf numFmtId="0" fontId="23" fillId="0" borderId="0" xfId="0" applyFont="1" applyAlignment="1">
      <alignment horizontal="left" vertical="center"/>
    </xf>
    <xf numFmtId="165" fontId="24" fillId="2" borderId="0" xfId="0" applyNumberFormat="1" applyFont="1" applyFill="1" applyAlignment="1">
      <alignment horizontal="left" vertical="center"/>
    </xf>
    <xf numFmtId="165" fontId="12" fillId="3" borderId="0" xfId="0" applyNumberFormat="1" applyFont="1" applyFill="1" applyAlignment="1">
      <alignment horizontal="left" vertical="center" wrapText="1"/>
    </xf>
    <xf numFmtId="44" fontId="14" fillId="0" borderId="0" xfId="0" applyNumberFormat="1" applyFont="1" applyAlignment="1">
      <alignment horizontal="left" vertical="center"/>
    </xf>
    <xf numFmtId="44" fontId="2" fillId="3" borderId="0" xfId="0" applyNumberFormat="1" applyFont="1" applyFill="1" applyAlignment="1">
      <alignment horizontal="left" vertical="center"/>
    </xf>
    <xf numFmtId="14" fontId="2" fillId="3" borderId="0" xfId="0" applyNumberFormat="1" applyFont="1" applyFill="1" applyAlignment="1">
      <alignment horizontal="left" vertical="center"/>
    </xf>
    <xf numFmtId="11" fontId="0" fillId="0" borderId="0" xfId="0" applyNumberFormat="1"/>
    <xf numFmtId="0" fontId="12" fillId="3" borderId="0" xfId="0" applyFont="1" applyFill="1" applyBorder="1" applyAlignment="1">
      <alignment horizontal="left" vertical="center"/>
    </xf>
    <xf numFmtId="0" fontId="0" fillId="0" borderId="0" xfId="0" applyBorder="1" applyAlignment="1" applyProtection="1">
      <alignment horizontal="left" vertical="center"/>
      <protection locked="0"/>
    </xf>
    <xf numFmtId="0" fontId="12" fillId="3" borderId="4" xfId="0" applyFont="1" applyFill="1" applyBorder="1" applyAlignment="1">
      <alignment horizontal="left" vertical="center"/>
    </xf>
    <xf numFmtId="165" fontId="0" fillId="0" borderId="0" xfId="0" applyNumberFormat="1" applyBorder="1" applyAlignment="1">
      <alignment horizontal="left" vertical="center" wrapText="1"/>
    </xf>
    <xf numFmtId="0" fontId="0" fillId="0" borderId="0" xfId="0" applyBorder="1" applyAlignment="1">
      <alignment horizontal="left" vertical="center"/>
    </xf>
    <xf numFmtId="165" fontId="12" fillId="3" borderId="0" xfId="0" applyNumberFormat="1" applyFont="1" applyFill="1" applyBorder="1" applyAlignment="1">
      <alignment horizontal="left" vertical="center" wrapText="1"/>
    </xf>
    <xf numFmtId="165" fontId="13" fillId="3" borderId="0" xfId="0" applyNumberFormat="1" applyFont="1" applyFill="1" applyBorder="1" applyAlignment="1">
      <alignment horizontal="left" vertical="center" wrapText="1"/>
    </xf>
    <xf numFmtId="165" fontId="7" fillId="0" borderId="0" xfId="0" applyNumberFormat="1" applyFont="1" applyBorder="1" applyAlignment="1">
      <alignment horizontal="left" vertical="center" wrapText="1"/>
    </xf>
    <xf numFmtId="0" fontId="12" fillId="0" borderId="0" xfId="0" applyFont="1" applyBorder="1" applyAlignment="1">
      <alignment horizontal="left" vertical="center"/>
    </xf>
    <xf numFmtId="0" fontId="19" fillId="3" borderId="0" xfId="0" applyFont="1" applyFill="1" applyBorder="1" applyAlignment="1">
      <alignment horizontal="left" vertical="center"/>
    </xf>
    <xf numFmtId="0" fontId="7" fillId="0" borderId="0" xfId="0" applyFont="1" applyBorder="1" applyAlignment="1">
      <alignment horizontal="left" vertical="center"/>
    </xf>
    <xf numFmtId="165" fontId="0" fillId="0" borderId="4" xfId="0" applyNumberFormat="1" applyBorder="1" applyAlignment="1">
      <alignment horizontal="left" vertical="center" wrapText="1"/>
    </xf>
    <xf numFmtId="0" fontId="13" fillId="3" borderId="0" xfId="0" applyFont="1" applyFill="1" applyBorder="1" applyAlignment="1">
      <alignment horizontal="left" vertical="center"/>
    </xf>
    <xf numFmtId="0" fontId="0" fillId="0" borderId="1" xfId="0" applyBorder="1"/>
    <xf numFmtId="0" fontId="0" fillId="3" borderId="0" xfId="0" applyFill="1" applyBorder="1" applyAlignment="1">
      <alignment horizontal="left" vertical="center"/>
    </xf>
    <xf numFmtId="165" fontId="0" fillId="0" borderId="0" xfId="0" applyNumberFormat="1" applyBorder="1" applyAlignment="1">
      <alignment horizontal="left" vertical="center"/>
    </xf>
    <xf numFmtId="165" fontId="0" fillId="3" borderId="0" xfId="0" applyNumberFormat="1" applyFill="1" applyBorder="1" applyAlignment="1">
      <alignment horizontal="left" vertical="center"/>
    </xf>
    <xf numFmtId="0" fontId="0" fillId="3" borderId="0" xfId="0" applyFill="1" applyBorder="1" applyAlignment="1">
      <alignment horizontal="left" vertical="center" wrapText="1"/>
    </xf>
    <xf numFmtId="0" fontId="23" fillId="0" borderId="0" xfId="0" applyFont="1" applyBorder="1" applyAlignment="1">
      <alignment horizontal="left" vertical="center"/>
    </xf>
    <xf numFmtId="0" fontId="0" fillId="0" borderId="2" xfId="0" applyBorder="1"/>
    <xf numFmtId="14" fontId="0" fillId="0" borderId="0" xfId="0" applyNumberFormat="1" applyBorder="1" applyAlignment="1">
      <alignment horizontal="left" vertical="center"/>
    </xf>
    <xf numFmtId="14" fontId="0" fillId="3" borderId="1" xfId="0" applyNumberFormat="1" applyFill="1" applyBorder="1" applyAlignment="1">
      <alignment horizontal="left" vertical="center"/>
    </xf>
    <xf numFmtId="166" fontId="9" fillId="3" borderId="0" xfId="0" applyNumberFormat="1" applyFont="1" applyFill="1" applyBorder="1" applyAlignment="1">
      <alignment horizontal="left" vertical="center"/>
    </xf>
    <xf numFmtId="166" fontId="0" fillId="3" borderId="0" xfId="0" applyNumberFormat="1" applyFill="1" applyBorder="1" applyAlignment="1">
      <alignment horizontal="left" vertical="center"/>
    </xf>
    <xf numFmtId="166" fontId="0" fillId="0" borderId="0" xfId="0" applyNumberFormat="1" applyBorder="1" applyAlignment="1">
      <alignment horizontal="left" vertical="center"/>
    </xf>
    <xf numFmtId="44" fontId="0" fillId="3" borderId="0" xfId="0" applyNumberFormat="1" applyFill="1" applyBorder="1" applyAlignment="1">
      <alignment horizontal="left" vertical="center"/>
    </xf>
    <xf numFmtId="0" fontId="10" fillId="3" borderId="0" xfId="0" applyFont="1" applyFill="1" applyBorder="1" applyAlignment="1">
      <alignment horizontal="left" vertical="center"/>
    </xf>
    <xf numFmtId="165" fontId="14" fillId="0" borderId="0" xfId="0" applyNumberFormat="1" applyFont="1" applyBorder="1" applyAlignment="1">
      <alignment horizontal="left" vertical="center" wrapText="1"/>
    </xf>
    <xf numFmtId="0" fontId="14" fillId="0" borderId="0" xfId="0" applyFont="1" applyBorder="1" applyAlignment="1">
      <alignment horizontal="left" vertical="center"/>
    </xf>
    <xf numFmtId="0" fontId="12" fillId="3" borderId="0" xfId="0" applyFont="1" applyFill="1" applyBorder="1" applyAlignment="1">
      <alignment horizontal="left" vertical="center" wrapText="1"/>
    </xf>
    <xf numFmtId="165" fontId="0" fillId="3" borderId="0" xfId="0" applyNumberFormat="1" applyFill="1" applyBorder="1" applyAlignment="1">
      <alignment horizontal="left" vertical="center" wrapText="1"/>
    </xf>
    <xf numFmtId="165" fontId="0" fillId="3" borderId="1" xfId="0" applyNumberFormat="1" applyFill="1" applyBorder="1" applyAlignment="1">
      <alignment horizontal="left" vertical="center" wrapText="1"/>
    </xf>
    <xf numFmtId="0" fontId="0" fillId="0" borderId="0" xfId="0" applyBorder="1"/>
    <xf numFmtId="3" fontId="0" fillId="0" borderId="0" xfId="0" applyNumberFormat="1" applyBorder="1" applyAlignment="1">
      <alignment horizontal="left" vertical="center" wrapText="1"/>
    </xf>
    <xf numFmtId="14" fontId="0" fillId="3" borderId="0" xfId="0" applyNumberFormat="1" applyFill="1" applyBorder="1" applyAlignment="1">
      <alignment horizontal="left" vertical="center"/>
    </xf>
    <xf numFmtId="165" fontId="20" fillId="5" borderId="0" xfId="0" applyNumberFormat="1" applyFont="1" applyFill="1" applyAlignment="1">
      <alignment horizontal="left" vertical="center" wrapText="1"/>
    </xf>
    <xf numFmtId="0" fontId="17" fillId="2" borderId="1" xfId="0" applyFont="1" applyFill="1" applyBorder="1" applyAlignment="1">
      <alignment horizontal="left" vertical="center"/>
    </xf>
    <xf numFmtId="1" fontId="0" fillId="0" borderId="0" xfId="0" applyNumberFormat="1" applyAlignment="1">
      <alignment horizontal="left" vertical="center" wrapText="1"/>
    </xf>
    <xf numFmtId="1" fontId="0" fillId="0" borderId="0" xfId="0" applyNumberFormat="1" applyAlignment="1">
      <alignment horizontal="left" vertical="center"/>
    </xf>
    <xf numFmtId="1" fontId="0" fillId="0" borderId="0" xfId="0" applyNumberFormat="1" applyBorder="1" applyAlignment="1">
      <alignment horizontal="left" vertical="center" wrapText="1"/>
    </xf>
    <xf numFmtId="1" fontId="0" fillId="3" borderId="0" xfId="0" applyNumberFormat="1" applyFill="1" applyAlignment="1">
      <alignment horizontal="left" vertical="center" wrapText="1"/>
    </xf>
    <xf numFmtId="1" fontId="14" fillId="0" borderId="0" xfId="0" applyNumberFormat="1" applyFont="1" applyAlignment="1">
      <alignment horizontal="left" vertical="center"/>
    </xf>
    <xf numFmtId="1" fontId="0" fillId="3" borderId="0" xfId="0" applyNumberFormat="1" applyFill="1" applyAlignment="1">
      <alignment horizontal="left" vertical="center"/>
    </xf>
    <xf numFmtId="1" fontId="2" fillId="0" borderId="0" xfId="0" applyNumberFormat="1" applyFont="1" applyAlignment="1">
      <alignment horizontal="left" vertical="center"/>
    </xf>
    <xf numFmtId="1" fontId="14" fillId="3" borderId="0" xfId="0" applyNumberFormat="1" applyFont="1" applyFill="1" applyAlignment="1">
      <alignment horizontal="left" vertical="center" wrapText="1"/>
    </xf>
    <xf numFmtId="1" fontId="1" fillId="0" borderId="0" xfId="0" applyNumberFormat="1" applyFont="1" applyAlignment="1">
      <alignment horizontal="left" vertical="center"/>
    </xf>
    <xf numFmtId="1" fontId="8" fillId="0" borderId="0" xfId="0" applyNumberFormat="1" applyFont="1" applyAlignment="1">
      <alignment horizontal="left" vertical="center" wrapText="1"/>
    </xf>
    <xf numFmtId="1" fontId="8" fillId="0" borderId="0" xfId="0" applyNumberFormat="1" applyFont="1" applyAlignment="1">
      <alignment horizontal="left" vertical="center"/>
    </xf>
    <xf numFmtId="1" fontId="0" fillId="0" borderId="1" xfId="0" applyNumberFormat="1" applyBorder="1" applyAlignment="1">
      <alignment horizontal="left" vertical="center"/>
    </xf>
    <xf numFmtId="1" fontId="7" fillId="0" borderId="0" xfId="0" applyNumberFormat="1" applyFont="1" applyAlignment="1">
      <alignment horizontal="left" vertical="center" wrapText="1"/>
    </xf>
    <xf numFmtId="1" fontId="7" fillId="3" borderId="0" xfId="0" applyNumberFormat="1" applyFont="1" applyFill="1" applyAlignment="1">
      <alignment horizontal="left" vertical="center" wrapText="1"/>
    </xf>
    <xf numFmtId="1" fontId="14" fillId="0" borderId="0" xfId="0" applyNumberFormat="1" applyFont="1" applyAlignment="1">
      <alignment horizontal="left" vertical="center" wrapText="1"/>
    </xf>
    <xf numFmtId="1" fontId="9" fillId="0" borderId="0" xfId="0" applyNumberFormat="1" applyFont="1" applyAlignment="1">
      <alignment horizontal="left" vertical="center" wrapText="1"/>
    </xf>
    <xf numFmtId="1" fontId="11" fillId="0" borderId="0" xfId="0" applyNumberFormat="1" applyFont="1" applyAlignment="1">
      <alignment horizontal="left" vertical="center"/>
    </xf>
    <xf numFmtId="1" fontId="9" fillId="0" borderId="0" xfId="0" applyNumberFormat="1" applyFont="1" applyAlignment="1">
      <alignment horizontal="left" vertical="center"/>
    </xf>
    <xf numFmtId="1" fontId="0" fillId="0" borderId="0" xfId="0" applyNumberFormat="1" applyBorder="1" applyAlignment="1">
      <alignment horizontal="left" vertical="center"/>
    </xf>
    <xf numFmtId="1" fontId="7" fillId="0" borderId="0" xfId="0" applyNumberFormat="1" applyFont="1" applyAlignment="1">
      <alignment horizontal="left" vertical="center"/>
    </xf>
    <xf numFmtId="1" fontId="14" fillId="3" borderId="0" xfId="0" applyNumberFormat="1" applyFont="1" applyFill="1" applyAlignment="1">
      <alignment horizontal="left" vertical="center"/>
    </xf>
    <xf numFmtId="1" fontId="12" fillId="3" borderId="2" xfId="0" applyNumberFormat="1" applyFont="1" applyFill="1" applyBorder="1" applyAlignment="1">
      <alignment horizontal="left" vertical="center"/>
    </xf>
    <xf numFmtId="1" fontId="17" fillId="2" borderId="0" xfId="0" applyNumberFormat="1" applyFont="1" applyFill="1" applyAlignment="1">
      <alignment horizontal="left" vertical="center"/>
    </xf>
    <xf numFmtId="165" fontId="12" fillId="0" borderId="0" xfId="0" applyNumberFormat="1" applyFont="1" applyBorder="1" applyAlignment="1">
      <alignment horizontal="left" vertical="center" wrapText="1"/>
    </xf>
    <xf numFmtId="165" fontId="14" fillId="3" borderId="0" xfId="0" applyNumberFormat="1" applyFont="1" applyFill="1" applyBorder="1" applyAlignment="1">
      <alignment horizontal="left" vertical="center" wrapText="1"/>
    </xf>
    <xf numFmtId="1" fontId="25" fillId="5" borderId="0" xfId="0" applyNumberFormat="1" applyFont="1" applyFill="1" applyAlignment="1">
      <alignment horizontal="left" vertical="center"/>
    </xf>
    <xf numFmtId="1" fontId="0" fillId="0" borderId="2" xfId="0" applyNumberFormat="1" applyFont="1" applyBorder="1" applyAlignment="1">
      <alignment horizontal="left" vertical="center"/>
    </xf>
    <xf numFmtId="1" fontId="2" fillId="0" borderId="2" xfId="0" applyNumberFormat="1" applyFont="1" applyBorder="1" applyAlignment="1">
      <alignment horizontal="left" vertical="center"/>
    </xf>
    <xf numFmtId="1" fontId="0" fillId="3" borderId="2" xfId="0" applyNumberFormat="1" applyFont="1" applyFill="1" applyBorder="1" applyAlignment="1">
      <alignment horizontal="left" vertical="center"/>
    </xf>
    <xf numFmtId="1" fontId="7" fillId="0" borderId="2" xfId="0" applyNumberFormat="1" applyFont="1" applyBorder="1" applyAlignment="1">
      <alignment horizontal="left" vertical="center"/>
    </xf>
    <xf numFmtId="1" fontId="7" fillId="3" borderId="2" xfId="0" applyNumberFormat="1" applyFont="1" applyFill="1" applyBorder="1" applyAlignment="1">
      <alignment horizontal="left" vertical="center"/>
    </xf>
    <xf numFmtId="1" fontId="14" fillId="3" borderId="2" xfId="0" applyNumberFormat="1" applyFont="1" applyFill="1" applyBorder="1" applyAlignment="1">
      <alignment horizontal="left" vertical="center"/>
    </xf>
    <xf numFmtId="1" fontId="14" fillId="0" borderId="2" xfId="0" applyNumberFormat="1" applyFont="1" applyBorder="1" applyAlignment="1">
      <alignment horizontal="left" vertical="center"/>
    </xf>
    <xf numFmtId="1" fontId="0" fillId="0" borderId="2" xfId="0" applyNumberFormat="1" applyFont="1" applyBorder="1" applyAlignment="1">
      <alignment horizontal="left"/>
    </xf>
    <xf numFmtId="1" fontId="0" fillId="0" borderId="1" xfId="0" applyNumberFormat="1" applyFont="1" applyBorder="1" applyAlignment="1">
      <alignment horizontal="left" vertical="center"/>
    </xf>
    <xf numFmtId="1" fontId="0" fillId="0" borderId="2" xfId="2" applyNumberFormat="1" applyFont="1" applyBorder="1" applyAlignment="1">
      <alignment horizontal="left" vertical="center"/>
    </xf>
    <xf numFmtId="1" fontId="7" fillId="0" borderId="2" xfId="2" applyNumberFormat="1" applyFont="1" applyBorder="1" applyAlignment="1">
      <alignment horizontal="left" vertical="center"/>
    </xf>
    <xf numFmtId="1" fontId="14" fillId="0" borderId="2" xfId="2" applyNumberFormat="1" applyFont="1" applyBorder="1" applyAlignment="1">
      <alignment horizontal="left" vertical="center"/>
    </xf>
    <xf numFmtId="1" fontId="9" fillId="0" borderId="2" xfId="0" applyNumberFormat="1" applyFont="1" applyBorder="1" applyAlignment="1">
      <alignment horizontal="left" vertical="center"/>
    </xf>
    <xf numFmtId="1" fontId="9" fillId="3" borderId="2" xfId="0" applyNumberFormat="1" applyFont="1" applyFill="1" applyBorder="1" applyAlignment="1">
      <alignment horizontal="left" vertical="center"/>
    </xf>
    <xf numFmtId="1" fontId="9" fillId="4" borderId="2" xfId="1" applyNumberFormat="1" applyFont="1" applyFill="1" applyBorder="1" applyAlignment="1">
      <alignment horizontal="left" vertical="center"/>
    </xf>
  </cellXfs>
  <cellStyles count="3">
    <cellStyle name="Normal" xfId="0" builtinId="0"/>
    <cellStyle name="Porcentagem" xfId="1" builtinId="5"/>
    <cellStyle name="Vírgula 2" xfId="2" xr:uid="{AF4659D4-F299-49A3-A248-7B477E0BDC80}"/>
  </cellStyles>
  <dxfs count="53"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Franklin Gothic Book"/>
        <family val="2"/>
        <scheme val="minor"/>
      </font>
      <alignment horizontal="left" vertical="center" textRotation="0" wrapText="0" indent="0" justifyLastLine="0" shrinkToFit="0" readingOrder="0"/>
      <protection locked="1" hidden="0"/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</dxf>
    <dxf>
      <numFmt numFmtId="34" formatCode="_-&quot;R$&quot;\ * #,##0.00_-;\-&quot;R$&quot;\ * #,##0.00_-;_-&quot;R$&quot;\ * &quot;-&quot;??_-;_-@_-"/>
      <fill>
        <patternFill>
          <fgColor indexed="64"/>
          <bgColor theme="0"/>
        </patternFill>
      </fill>
      <alignment horizontal="left" vertical="center" textRotation="0" wrapText="0" indent="0" justifyLastLine="0" shrinkToFit="0" readingOrder="0"/>
      <protection locked="1" hidden="0"/>
    </dxf>
    <dxf>
      <numFmt numFmtId="166" formatCode="&quot;R$&quot;\ #,##0.00"/>
      <alignment horizontal="left" vertical="center" textRotation="0" wrapText="0" indent="0" justifyLastLine="0" shrinkToFit="0" readingOrder="0"/>
    </dxf>
    <dxf>
      <numFmt numFmtId="166" formatCode="&quot;R$&quot;\ #,##0.00"/>
    </dxf>
    <dxf>
      <numFmt numFmtId="19" formatCode="dd/mm/yyyy"/>
      <alignment horizontal="left" vertical="center" textRotation="0" wrapText="0" indent="0" justifyLastLine="0" shrinkToFit="0" readingOrder="0"/>
    </dxf>
    <dxf>
      <numFmt numFmtId="19" formatCode="dd/mm/yyyy"/>
      <fill>
        <patternFill>
          <fgColor indexed="64"/>
          <bgColor theme="0"/>
        </patternFill>
      </fill>
      <alignment horizontal="left" vertical="center" textRotation="0" indent="0" justifyLastLine="0" shrinkToFit="0" readingOrder="0"/>
      <protection locked="1" hidden="0"/>
    </dxf>
    <dxf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</dxf>
    <dxf>
      <fill>
        <patternFill>
          <fgColor indexed="64"/>
          <bgColor theme="0"/>
        </patternFill>
      </fill>
      <alignment horizontal="left" vertical="center" textRotation="0" indent="0" justifyLastLine="0" shrinkToFit="0" readingOrder="0"/>
      <protection locked="1" hidden="0"/>
    </dxf>
    <dxf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Franklin Gothic Book"/>
        <family val="2"/>
      </font>
      <fill>
        <patternFill>
          <fgColor indexed="64"/>
          <bgColor theme="0"/>
        </patternFill>
      </fill>
      <alignment horizontal="left" vertical="center" textRotation="0" indent="0" justifyLastLine="0" shrinkToFit="0" readingOrder="0"/>
      <protection locked="1" hidden="0"/>
    </dxf>
    <dxf>
      <numFmt numFmtId="1" formatCode="0"/>
      <alignment horizontal="left" vertical="center" textRotation="0" wrapText="0" indent="0" justifyLastLine="0" shrinkToFit="0" readingOrder="0"/>
    </dxf>
    <dxf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B050"/>
        <name val="Franklin Gothic Book"/>
        <family val="2"/>
        <scheme val="minor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rgb="FF00B050"/>
        <name val="Franklin Gothic Book"/>
        <family val="2"/>
        <scheme val="minor"/>
      </font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Franklin Gothic Book"/>
        <family val="2"/>
        <scheme val="minor"/>
      </font>
      <alignment horizontal="left" vertical="center" textRotation="0" wrapText="0" indent="0" justifyLastLine="0" shrinkToFit="0" readingOrder="0"/>
      <protection locked="1" hidden="0"/>
    </dxf>
    <dxf>
      <alignment horizontal="left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ill>
        <patternFill>
          <fgColor indexed="64"/>
          <bgColor theme="0"/>
        </patternFill>
      </fill>
      <alignment horizontal="left" vertical="center" textRotation="0" indent="0" justifyLastLine="0" shrinkToFit="0" readingOrder="0"/>
      <protection locked="1" hidden="0"/>
    </dxf>
    <dxf>
      <alignment horizontal="left" vertical="center" textRotation="0" wrapText="0" indent="0" justifyLastLine="0" shrinkToFit="0" readingOrder="0"/>
    </dxf>
    <dxf>
      <alignment horizontal="left" vertical="center" textRotation="0" indent="0" justifyLastLine="0" shrinkToFit="0" readingOrder="0"/>
      <protection locked="1" hidden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Franklin Gothic Book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protection locked="1" hidden="0"/>
    </dxf>
    <dxf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Franklin Gothic Book"/>
        <family val="2"/>
        <scheme val="minor"/>
      </font>
      <fill>
        <patternFill>
          <fgColor indexed="64"/>
          <bgColor theme="0"/>
        </patternFill>
      </fill>
      <alignment horizontal="left" vertical="center" textRotation="0" wrapText="0" indent="0" justifyLastLine="0" shrinkToFit="0" readingOrder="0"/>
      <protection locked="1" hidden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  <protection locked="1" hidden="0"/>
    </dxf>
    <dxf>
      <alignment horizontal="left" vertical="center" textRotation="0" wrapText="0" indent="0" justifyLastLine="0" shrinkToFit="0" readingOrder="0"/>
    </dxf>
    <dxf>
      <alignment horizontal="left" vertical="center" textRotation="0" indent="0" justifyLastLine="0" shrinkToFit="0" readingOrder="0"/>
      <protection locked="1" hidden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protection locked="1"/>
    </dxf>
    <dxf>
      <fill>
        <patternFill patternType="solid">
          <bgColor rgb="FFFFFF00"/>
        </patternFill>
      </fill>
    </dxf>
    <dxf>
      <border>
        <top style="thin">
          <color indexed="64"/>
        </top>
      </border>
    </dxf>
    <dxf>
      <alignment horizontal="left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left" vertical="center" textRotation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color theme="0"/>
        <name val="Franklin Gothic Book"/>
        <family val="2"/>
      </font>
      <fill>
        <patternFill>
          <fgColor indexed="64"/>
          <bgColor theme="3" tint="-0.249977111117893"/>
        </patternFill>
      </fill>
      <alignment horizontal="left" vertical="center" textRotation="0" indent="0" justifyLastLine="0" shrinkToFit="0" readingOrder="0"/>
    </dxf>
    <dxf>
      <fill>
        <patternFill patternType="solid">
          <fgColor theme="0" tint="-0.14999847407452621"/>
          <bgColor theme="0" tint="-0.14999847407452621"/>
        </patternFill>
      </fill>
    </dxf>
    <dxf>
      <fill>
        <patternFill patternType="solid">
          <fgColor theme="0" tint="-0.14999847407452621"/>
          <bgColor theme="0" tint="-0.14999847407452621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1"/>
        </top>
      </border>
    </dxf>
    <dxf>
      <font>
        <b/>
        <color theme="1"/>
      </font>
      <border>
        <bottom style="medium">
          <color theme="1"/>
        </bottom>
      </border>
    </dxf>
    <dxf>
      <font>
        <color theme="1"/>
      </font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  <vertical style="thin">
          <color theme="1"/>
        </vertical>
        <horizontal style="thin">
          <color theme="1"/>
        </horizontal>
      </border>
    </dxf>
    <dxf>
      <fill>
        <patternFill patternType="solid">
          <fgColor auto="1"/>
          <bgColor theme="0" tint="-4.9989318521683403E-2"/>
        </patternFill>
      </fill>
    </dxf>
    <dxf>
      <font>
        <b/>
        <i val="0"/>
        <strike val="0"/>
        <color theme="0"/>
      </font>
      <fill>
        <patternFill patternType="solid">
          <fgColor auto="1"/>
          <bgColor theme="3"/>
        </patternFill>
      </fill>
      <border>
        <left style="thin">
          <color theme="3"/>
        </left>
        <right style="thin">
          <color theme="3"/>
        </right>
        <top style="thin">
          <color theme="3"/>
        </top>
        <bottom style="thin">
          <color theme="3"/>
        </bottom>
        <vertical style="thin">
          <color theme="5" tint="0.59996337778862885"/>
        </vertical>
        <horizontal style="thin">
          <color theme="3"/>
        </horizontal>
      </border>
    </dxf>
    <dxf>
      <border>
        <left style="thin">
          <color theme="3"/>
        </left>
        <right style="thin">
          <color theme="3"/>
        </right>
        <top style="thick">
          <color theme="3"/>
        </top>
        <bottom style="thick">
          <color theme="3"/>
        </bottom>
        <vertical style="thin">
          <color theme="6" tint="0.59996337778862885"/>
        </vertical>
        <horizontal style="thin">
          <color theme="6" tint="0.59996337778862885"/>
        </horizontal>
      </border>
    </dxf>
  </dxfs>
  <tableStyles count="2" defaultTableStyle="TableStyleLight15" defaultPivotStyle="PivotStyleLight16">
    <tableStyle name="Tabela de empresas" pivot="0" count="3" xr9:uid="{00000000-0011-0000-FFFF-FFFF00000000}">
      <tableStyleElement type="wholeTable" dxfId="52"/>
      <tableStyleElement type="headerRow" dxfId="51"/>
      <tableStyleElement type="secondRowStripe" dxfId="50"/>
    </tableStyle>
    <tableStyle name="TableStyleLight15 2" pivot="0" count="7" xr9:uid="{C3AFA1F9-706C-4C71-BBEC-B2F761E108B5}">
      <tableStyleElement type="wholeTable" dxfId="49"/>
      <tableStyleElement type="headerRow" dxfId="48"/>
      <tableStyleElement type="totalRow" dxfId="47"/>
      <tableStyleElement type="firstColumn" dxfId="46"/>
      <tableStyleElement type="lastColumn" dxfId="45"/>
      <tableStyleElement type="firstRowStripe" dxfId="44"/>
      <tableStyleElement type="firstColumnStripe" dxfId="43"/>
    </tableStyle>
  </tableStyles>
  <colors>
    <mruColors>
      <color rgb="FFFF6600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even Brenner da Silva" refreshedDate="46066.351075694445" createdVersion="8" refreshedVersion="8" minRefreshableVersion="3" recordCount="1527" xr:uid="{2174ECF3-698F-444E-91BF-A00245D7A73C}">
  <cacheSource type="worksheet">
    <worksheetSource name="Inventory_List_Table3"/>
  </cacheSource>
  <cacheFields count="14">
    <cacheField name="ITEM " numFmtId="0">
      <sharedItems containsBlank="1"/>
    </cacheField>
    <cacheField name="IS " numFmtId="0">
      <sharedItems containsBlank="1"/>
    </cacheField>
    <cacheField name="CHAVE " numFmtId="0">
      <sharedItems containsBlank="1"/>
    </cacheField>
    <cacheField name="NOTA FISCAL" numFmtId="0">
      <sharedItems containsBlank="1" containsMixedTypes="1" containsNumber="1" containsInteger="1" minValue="1" maxValue="201900302"/>
    </cacheField>
    <cacheField name="CLASSE DO ATIVO" numFmtId="0">
      <sharedItems containsBlank="1"/>
    </cacheField>
    <cacheField name="PLACA" numFmtId="0">
      <sharedItems containsBlank="1"/>
    </cacheField>
    <cacheField name="CHASSI" numFmtId="0">
      <sharedItems containsBlank="1" containsMixedTypes="1" containsNumber="1" containsInteger="1" minValue="12" maxValue="611348880002001"/>
    </cacheField>
    <cacheField name="DESCRIÇÃO DO ITEM" numFmtId="0">
      <sharedItems containsBlank="1" count="1167">
        <s v="CAMINHAO MERCEDES BENZ AXOR 3344/48"/>
        <s v="LAJEDO I"/>
        <s v="LAJEDO II"/>
        <s v="LAJEDO III"/>
        <s v="SANTO EXPEDITO X (AMBIENTAL)"/>
        <s v="SANTO EXPEDITO IX (AMBIENTAL)"/>
        <s v="MAQUINA INVERSORA DE SOLDA BAMBOZZI"/>
        <s v="TRATOR AGRICOLA MASSEY FERGUSON MF275"/>
        <s v="TRATOR AGRICOLA NEW HOLAND 7630"/>
        <s v="COMBOIO DE LUBRIFICACAO"/>
        <s v="TRATOR AGRICOLA JOHN DEERE 6125"/>
        <s v="CLASSIFICADOR DE SEMENTES CS 3000"/>
        <s v="SANTA ROSA (AMBIENTAL)"/>
        <s v="CASA DIRETOR BENFEITORIA RESIDENCIAL "/>
        <s v="PRANCHA IMAVI"/>
        <s v="GERADOR STEMAC 170 KVA"/>
        <s v="RAMPA DE LAVAGEM BENFEITORIA FUNCIONAL FAZ ST. LUCIA"/>
        <s v="PULVERIZADOR COLUMBIA JACTO 2000LTS"/>
        <s v="SANTA EDWIGES"/>
        <s v="TANQUE DE COMBUSTIVEL 12.000LTS"/>
        <s v="MAQUINA P/ PRENSAGEM MANGUEIRA"/>
        <s v="REDE DE ALTA TENSAO INFRAESTRUTURA ELETRICA FAZ. GRANDE LESTE "/>
        <s v="REDE DE BAIXA TENSAO INFRAESTRUTURA ELETRICA FAZ. GRANDE LESTE "/>
        <s v="BAZUCA TANKER MAGNUM 20000"/>
        <s v="MONITOR DELL 22 E2222HS"/>
        <s v="MOTOBOMBEADOR EBARA BHS12500 TRIFASICO 60HZ"/>
        <s v="BEBEDOURO 2 TORNEIRAS"/>
        <s v="BALANCA RODOVIARIA TOLEDO"/>
        <s v="KIT DE ABASTECIMENTO PARA DIESEL"/>
        <s v="FORNO TURBO TOSTANDO FLEX FTF-10E"/>
        <s v="ROCADEIRA JM RUTD 2.0"/>
        <s v="MAQUINA INVERSORA DE SOLDA ESAB 408"/>
        <s v="PIPA 5.000 LTS"/>
        <s v="CARRETA AGRICOLA 2 RODAS LIXO "/>
        <s v="COMBOIO CRUZADOR JACTO 3000"/>
        <s v="MEDIDOR DE UMIDADE MOTOMCO MODELO 919"/>
        <s v="MOTO SERRA STHIL MAGNUM 038"/>
        <s v="CORTADOR DE GRAMA STIHL FS 85"/>
        <s v="CACAMBA IMAVI"/>
        <s v="CARRETA GRANELEIRA NINJA 32000"/>
        <s v="COMBOIO DE LUBRIFICAÇÃO"/>
        <s v="SUBSOLADOR CIVEMASA"/>
        <s v="EQUIPAMENTO CONCHA"/>
        <s v="SANTO ANTONIO RESERVA"/>
        <s v="TRATOR AGRICOLA CASE MAGNUM 290"/>
        <s v="CHUPIM ROSCA TRANSPORTADORA"/>
        <s v="AR CONDICIONADO GREE 12.000"/>
        <s v="PIPA TANQUE C/ DOLLY 20.000LTS"/>
        <s v="STARLINK MINI"/>
        <s v="BAZUCA MASCHIETTO CG 12000"/>
        <s v="ESTRADA INTERNA FAZ. GRANDE LESTE"/>
        <s v="CASA DOS MOTORISTAS FAZ. GRANDE LESTE"/>
        <s v="REFEITORIO MOVEL / 24 LUGARES"/>
        <s v="BEBEDOURO INDUSTRIAL INOX TS-2 TORNEIRAS"/>
        <s v="TV LG 42 POL LED"/>
        <s v="TRATOR AGRICOLA JOHN DEERE 5065E"/>
        <s v="CARRETA AGRICOLA ACTON"/>
        <s v="BALANCA RODOVIARIA SATURNO SBR 2402 FULL ELETRONIC"/>
        <s v="PA CARREGADEIRA CASE W20E"/>
        <s v="DISTRIBUIDOR DE CORRETIVOS BRUTTUS 12000"/>
        <s v="HERCULES 10000 INOX"/>
        <s v="PLANTADEIRA STARA ABSOLUTA 35"/>
        <s v="CARRRETA AGRICOLA"/>
        <s v="KIT DE ABASTECIMENTO PARA QUEROSENE"/>
        <s v="AR CONDICIONADO 9.000 BTUS"/>
        <s v="PIPA TANQUE COMBOIO"/>
        <s v="CAIXA D'AGUA TANQUE 10.000 QUEROSENE"/>
        <s v="BEBEDOURO INOX"/>
        <s v="EMBUTIDORA DE GRAOS INGRAIN 100"/>
        <s v="CASA DO GERADOR FAZ. SANTO EXPEDITO BENFEITORIA FUNCIONAL"/>
        <s v="EQUIPAMENTO LIMPEZA E SECAGEM DE GRAOS"/>
        <s v="DESTRUIDOR DE SOQUEIRA TRITON"/>
        <s v="CELULAR SAMSUNG GALAXY A 35 5G 6GB RAM 128GB AZUL ESCURO"/>
        <s v="PLANTADEIRA CASE ASM 1224"/>
        <s v="GELADEIRA BRASTEMP"/>
        <s v="PENEIRÃO KAJUMAQ KJ 083"/>
        <s v="MAQUINA DE COSTURA INDUSTRIAL PORTATIL  HC73BP-1"/>
        <s v="GERADOR MERCEDES BENS SINCRONO"/>
        <s v="PLAINA PLANNER 710 GTS"/>
        <s v="COLHEITADEIRA TRITON CS"/>
        <s v="CORTADOR DE GRAMA JOHN DEERE D170"/>
        <s v="ONIBUS MERCEBES BENZ"/>
        <s v="MAQUINA DE SOLDA ESAB SUPER BANTAM 256"/>
        <s v="FORNO INDUSTRIAL ITAJOBI A GAS"/>
        <s v="GERADOR AGRALE M790"/>
        <s v="CARREGADOR DE BATERIA"/>
        <s v="DESCAROCADOR 1"/>
        <s v="ALIMENTADOR 1"/>
        <s v="DESCAROCADOR 2"/>
        <s v="ALIMENTADOR 2"/>
        <s v="ALIMENTADOR 3"/>
        <s v="DESCAROÇADOR 3"/>
        <s v="CAIXA DE SOBRA LUMMUS"/>
        <s v="LIMPA PLUMA 1"/>
        <s v="LIMPA PLUMA 2"/>
        <s v="LIMPA PLUMA 3"/>
        <s v="TORRE DE SECAGEM 1 24 GAVETAS"/>
        <s v="PRE-LIMPEZA LUMMUS"/>
        <s v="TORRE DE SECAGEM 2 24 GAVETAS"/>
        <s v="DESCOMPACTADOR DE FARDOS 1"/>
        <s v="DESCOMPACTADOR DE FARDOS 2"/>
        <s v="EXASTOR DE SOBRAS"/>
        <s v="EXASTOR DE FIBRILHA"/>
        <s v="EXASTOR EMPURRADOR"/>
        <s v="EXASTOR BATEDOR"/>
        <s v="EXASTOR DUPLO DE SUCCAO"/>
        <s v="BATEDOR DE FIBRILHA"/>
        <s v="PRENSA DE FIBRILHA"/>
        <s v="CALDEIRA"/>
        <s v="COMPRESSOR DE AR TECHTO PLATINUM TB20"/>
        <s v="CONDENSADOR DA PRENSA DE FARDINHO"/>
        <s v="MAQUINA FRICKE MERKLE BALMER 300"/>
        <s v="COMPRESSOR DE AR PRESSURE"/>
        <s v="GERADOR MOD. C80-D6-4C CUMMINS"/>
        <s v="PA CARREGADEIRA CASE W20"/>
        <s v="CERCAS E  DELIMITACOES FAZ. GRANDE LESTE"/>
        <s v="PULVERIZADOR UNIPORT 2000"/>
        <s v="TANQUE PIPA BOMBEIRO IMAVI COM MOTOR"/>
        <s v="MAQUINA DE SOLDA BALMER FRICKE MERKLE B-400"/>
        <s v="GELADEIRA CONSUL"/>
        <s v="PULVERIZADOR MICRON COMBAT"/>
        <s v="TV SAMSUNG 49 POL LED"/>
        <s v="ROCADEIRA STHIL FS85"/>
        <s v="AR CONDICIONADO GREE SPLIT 9000"/>
        <s v="ALEIRADOR DE ARRASTO MORI 1600"/>
        <s v="GRADE ARADORA 24X36"/>
        <s v="FORNO INDUSTRIAL VENANCIO 80X60CM INOX A GAS FIRI9"/>
        <s v="SOPRADOR STIHL BG 86C"/>
        <s v="GUINCHO MANTOVANI BIG BAG"/>
        <s v="PENEIRAO CAMIC MC088"/>
        <s v="IMPRESSORA HP OFFICEJET 4500"/>
        <s v="BALANCA SEMI-ANALITICA BK 4001"/>
        <s v="GERADOR CINAP ACIONAMENTO TDF"/>
        <s v="TANQUE PIPA BOMBEIRO GASCOM 15000 LTS"/>
        <s v="TANQUE COMBUSTIVEL MOVEL 3600LTS"/>
        <s v="REFRIGERADOR CONSUL"/>
        <s v="CORTADOR DE GRAMA TRAPP MC 50E"/>
        <s v="BEBEDOURO INDUSTRIAL 50 LTS  2 TORNEIRAS"/>
        <s v="COMPUTADOR INTEL CORE I3 4GB"/>
        <s v="COMPRESSOR DE AR PRESSURE 20 PES 250L"/>
        <s v="ENFARDADEIRA CASE IH LB433"/>
        <s v="ESTACAO VACUO P/ AR CONDICIONADO TECVACUO 220V"/>
        <s v="MAQUINA INVERSORA DE SOLDA ESAB LHN 242"/>
        <s v="FREEZER CONSUL 340 LT"/>
        <s v="EXTRATORA DE GRAOS OUTGRAIN 200"/>
        <s v="TANQUE DE COMBUSTIVEL 15000 LTS DIESEL POSTO SANTO EXPEDITO"/>
        <s v="LOTE 04 -CABECEIRA RIBEIRÃO DA PRATA 2º ETAPA"/>
        <s v="LOTE 05 -CABECEIRA RIBEIRÃO DA PRATA 2º ETAPA"/>
        <s v="CARRETA AGRICOLA FACCHINI"/>
        <s v="LOTE 04A -CABECEIRA RIBEIRÃO DA PRATA 2º ETAPA"/>
        <s v="CARRETA AGRICOLA"/>
        <s v="LOTE 03 -CABECEIRA RIBEIRÃO DA PRATA 2º ETAPA"/>
        <s v="TV SEMP TOSHIBA 49 POL LED"/>
        <s v="CHAVE DE IMPACTO MAKITA DTW300RTJ 18V BIVOLT"/>
        <s v="GRADE NIVELADORA 120X22"/>
        <s v="CEIFADEIRA FLEX MORI"/>
        <s v="CAMINHAO MERCEDES BENZ LK 2325"/>
        <s v="PIPA 10000LTS"/>
        <s v="GRADE ARADORA CIVEMASA GVC 28X32"/>
        <s v="TRANSPORTADOR DE CEREAIS / DALLA"/>
        <s v="ROLO COMPACTADOR CAMIC"/>
        <s v="ROLO COMPACTADOR"/>
        <s v="TRATADOR MISTURADOR DE SEMENTES TMS1000"/>
        <s v="PLANTADEIRA STARA ABSOLUTA 44-41"/>
        <s v="GUARITA FAZ. SANTA LUCIA 6m2 BENFEITORIA EM IMOVEL RURAL"/>
        <s v="AERONAVE AIR TRACTOR AT-502B"/>
        <s v="MOTOCICLETA HONDA CRF 150 FBR"/>
        <s v="GALPAO DEFENSIVOS FAZ. SANTO EXPEDITO BENFEITORIA EM IMOVEL RURAL"/>
        <s v="MEDIDOR DE UMIDADE JOHN DEERE"/>
        <s v="PLANTADEIRA 1 LINHA/JMF"/>
        <s v="BEBEDOURO INDUSTRIAL INOX 200LTS-4 TORNEIRAS"/>
        <s v="POLICORTE MOTOMIL SC-100T C/ MOTOR 3 HP"/>
        <s v="MOTOBOMBA BRANCO BD-705 CF"/>
        <s v="MOTOBOMBA BRANCO BD705 CF 3POL"/>
        <s v="MEDIDOR DE UMIDADE MOTOMCO MODEL 999"/>
        <s v="FAZENDA SANTO EXPEDITO II"/>
        <s v="TV MONITOR PANASONIC 32 POL HD LED"/>
        <s v="SELF-SERVICE COM 8 CUBAS"/>
        <s v="RASTREADORES SF"/>
        <s v="FREEZER CONSUL HORIZONTAL"/>
        <s v="NOTEBOOK ASUS INTEL CORE I3 8GB"/>
        <s v="RADIO MOTOROLA DEM-300 VHF DIGITAL 136-174 MHZ 45W"/>
        <s v="FREEZER HORIZONTAL 2 PORTAS 534 LITROS"/>
        <s v="GUINCHO AGRICOLA MARCHESAN GATG"/>
        <s v="FORNO INDUSTRIAL VENANCIO 80X60CM A GAS INOX FIRI9"/>
        <s v="CELULAR SAMSUNG GALAXY A35 128GB"/>
        <s v="CAMINHAO MERCEDES BENZ L 1313"/>
        <s v="IMPRESSORA BROTHER"/>
        <s v="BETONEIRA 400 LITROS COM MOTOR 220V"/>
        <s v="KIT DE ABASTECIMENTO COM CAP. DE 5000 LT GASOLINA"/>
        <s v="NOTEBOOK DELL CORE I3 4GB"/>
        <s v="NOTEBOOK SONY VAIO INTEL CORE I3 4GB"/>
        <s v="KIT DE ABASTECIMENTO COM CAP. DE 20000 LT DIESEL"/>
        <s v="CONTAINER SANITARIO"/>
        <s v="CONTAINER LAVATORIO"/>
        <s v="NOTEBOOK DELL CORE I3"/>
        <s v="COMPRESSOR DE AR PRESSURE INDUSTRIAL 250L"/>
        <s v="FOGAO INDUSTRIAL VENANCIO BRAVO"/>
        <s v="MAQUINA DE COSTURA WAIG INDUSTRIAL WPCII 220V PORTATIL"/>
        <s v="DESCONTAMINADOR DE DEFENSIVOS REINA DEGRADATOX FUNIL 600L"/>
        <s v="MACACO HIDRAULICO MARCON MJH 20 TONELADAS"/>
        <s v="RADIO HYTERA BP516 VHF 136-174MHZ 1500MA"/>
        <s v="REFEITORIO MOVEL 20 LUGARES"/>
        <s v="REFEITORIO MOVEL"/>
        <s v="TRATOR AGRICOLA JOHN DEERE 6100E"/>
        <s v="CARROCERIA CARGO 1119"/>
        <s v="TANQUE DE COMBUSTIVEL 20.000 LTS QUEROSENE HANGAR SANTO EXPEDITO"/>
        <s v="TANQUE DE COMBUSTIVEL 10.000 LTS OLEO DEGOMADO SANTO EXPEDITO"/>
        <s v="CAMINHAO FORD CARGO 1119"/>
        <s v="CARRETINHA REBOQUE PARA MOTOCICLETA"/>
        <s v="CABINE SUPLEMENTAR CARGO 1119"/>
        <s v="COMPUTADOR INTEL PENTIUM 4GB"/>
        <s v="BOMBA CENTRIFUGA BC-21R 2.1/2 7,5CV MONO 220/440V"/>
        <s v="TRATOR AGRICOLA FARMALL 95"/>
        <s v="MAQUINA INVERSORA DE SOLDA ESAB BANTAM 180I MOD 733115"/>
        <s v="COMPUTADOR ADM 2GB"/>
        <s v="AR CONDICIONADO DE 12000 BTUS"/>
        <s v="CARREGADOR DE BATERIA VONDER COM AUX DE PARTIDA 12/24 X 200 AMP"/>
        <s v="COMPRESSOR DE AR PRESSURE 25 PES 250L"/>
        <s v="NOTEBOOK DELL VOSTRO CORE I3 4G"/>
        <s v="PRE MISTURADOR SIMPLES 3POL 1.000LT INOX"/>
        <s v="GUINCHO HIDRAULICO SOLLUS"/>
        <s v="APARELHO DE RADIONAVEGACAO ZTN 112560-80"/>
        <s v="TANQUE PRE-MISTURA DEFENSIVO 500LTS"/>
        <s v="KIT SKID DE ABASTECIMENTO PARA QUEROSENE"/>
        <s v="TV SONY 50 POL LED"/>
        <s v="IMPRESSORA MULTIFUNCIONAL HP M432 LASER"/>
        <s v="STARLINK KIT V4 (ANTENA+ROTEADOR WI-FI)"/>
        <s v="NOTEBOOK DELL CORE I5 8GB"/>
        <s v="CABINE SUPLEMENTAR F-4000"/>
        <s v="ROCADEIRA DE ARRASTO MFW ROTD 1800 "/>
        <s v="NOTEBOOK DELL CORE I5 4GB"/>
        <s v="TORRE ESTAIADA QUADRADA  25"/>
        <s v="TORRE ESTAIADA QUADRADA  20"/>
        <s v="COMPUTADOR INTEL I5 4GB"/>
        <s v="PROJETOR EPSON POWERLITE S41+3300"/>
        <s v="TORRE ESTAIADA QUADRADA 20M"/>
        <s v="TORRE ESTAIADA QUADRADA 30M"/>
        <s v="PALETEIRA HIDRAULICA MANUAL 2 TON RODAS DUPLA"/>
        <s v="CONJUNTO CAIXA SEMENTE DE CAPIM"/>
        <s v="IMPRESSORA HP LASER JET M1212"/>
        <s v="SEMEADORA ADUBADORA IKEDA MS100 CR ACOPLAVEL A TRATORES"/>
        <s v="COLHEITADEIRA DE ALGODAO JOHN DEERE 9996"/>
        <s v="CARRETA TRANSBORDO BUSA BASS BOY CTA 550"/>
        <s v="APARELHO DE RADIONAVEGACAO ZTN94020"/>
        <s v="MOTOBOMBA BRANCO B4T 710L"/>
        <s v="PULVERIZADOR CASE IH PATRIOT 350"/>
        <s v="TRATOR AGRICOLA FARMALL 80"/>
        <s v="PRENSA DE ALGODAO BUSA EB11T"/>
        <s v="TV PHILCO 49 POL LED"/>
        <s v="MOTOSSERRA STIHL MS 382 40CM"/>
        <s v="CAIXA D'AGUA TANQUE 10.000 OLEO DEGOMADO"/>
        <s v="CARREGADOR DE BATERIA VONDER CBV 950"/>
        <s v="COMPUTADOR PENTIUM I3"/>
        <s v="LAVADORA INDUSTRIAL DE ALTA PRESSAO JACTO J500 C/ MOTOR 3CV MONO"/>
        <s v="MAQUINA DE QUEIMAR DESFIBRADOR"/>
        <s v="PRENSA DE ALGODAO BUSA EB10T"/>
        <s v="REFEITORIO MOVEL 24 LUGARES"/>
        <s v="OFICINA MOVEL // CONTAINER // 6 RODAS"/>
        <s v="BALANCA DE GANCHO 2.000 KG"/>
        <s v="IMPRESSORA ZEBRA GC 420 TT 203 DPI USB, SERIAL E PARALELA - G"/>
        <s v="DESKTOP DELL OPTIPLEX 3080 CORE I5 10ª"/>
        <s v="NOTEBOOK DELL I3"/>
        <s v="TANQUE PIPA GUERRA 20.000LTS"/>
        <s v="MAQUINA INVERSORA DE SOLDA ESAB"/>
        <s v="TANQUE PIPA DOLLY 20.000LTS"/>
        <s v="TRITURADOR HERDER FLV800"/>
        <s v="CARRETA AGRICOLA PARA BIG BAG ANTIGO BASS BOY IMP-149"/>
        <s v="CARRETA TRANSBORDO BASS BOY BUSA CTA 550"/>
        <s v="IMPRESSORA TERMICA BEMATECH MP 4200HS STANDART"/>
        <s v="CONJUNTO DE MAQUINA PINHALENSE MESA DE GRAVIDADE"/>
        <s v="FREEZER HORIZONTAL 500 LTS"/>
        <s v="TRATOR AGRICOLA STEIGER 420 HD"/>
        <s v="BEBEDOURO INDUSTRIAL INOX 150 LT 2 TORNEIRAS"/>
        <s v="RETIFICADEIRA BOSCH GGS 28 LCE PROFESSIONAL"/>
        <s v="MOTOCICLETA HONDA CG 160 START"/>
        <s v="MOTOBOMBA BRANCO BD705CF 3 POL"/>
        <s v="SEMEADORA ADUBADORA HERCULES 15000"/>
        <s v="MAQUINA PRENSAGEM MANGUEIRA PE80 TF 220V MONO"/>
        <s v="CEIFADEIRA MORI FLEX"/>
        <s v="ESTEIRA TRANSPORTADOR DE CEREAIS DALLA"/>
        <s v="SUBSOLADOR TERRUS 12H SSC"/>
        <s v="CPU DUAL CORE CELERON 4GB"/>
        <s v="TANQUE DE COMBUSTIVEL 15.000 LTS DIESEL POSTO SANTO EXPEDITO"/>
        <s v="TANQUE PRE-MISTURA DEFENSIVOS DIVISA 2.000L"/>
        <s v="PULVERIZADOR AUTOPROPELIDO JACTO UNIPORT 2000"/>
        <s v="GUINCHO BAG TRITON TR-819 2.2 TONELADAS"/>
        <s v="PLAINA NIVELADORA AGRICOLA"/>
        <s v="MOTOBOMBA HONDA WB30XH"/>
        <s v="IMPRESSORA SAMSUNG M288X"/>
        <s v="CORTADOR DE GRAMA TRAPP RM-600G 6HP A GASOLINA"/>
        <s v="CONTAINER DEPOSITO 01"/>
        <s v="CONTAINER DEPOSITO 02"/>
        <s v="CAMINHAO MERCEDES BENZ ATEGO 1419 MB"/>
        <s v="EMPILHADEIRA HANGCHA CPCD25/XRG2"/>
        <s v="MOTOBOMBA HONDA WB20XH"/>
        <s v="TERRACEADOR SUPER TATU DE ARRASTO"/>
        <s v="TV PANASONIC 32 POL LED"/>
        <s v="TV SEMP TOSHIBA 32 POL"/>
        <s v="MESA DE GRAVIDADE BENEFICIAMENTO BRACHIARIA"/>
        <s v="TANQUE PRÉ-MISTURA DEFENSIVOS"/>
        <s v="CONJUNTO CAIXA DE SEMENTE CAPIM"/>
        <s v="OFICINA MOVEL / JAT"/>
        <s v="CONTAINER DEFENSIVOS"/>
        <s v="IMPRESSORA HP-DESKJET 2676"/>
        <s v="TV AOC 32 POL"/>
        <s v="CARROCERIA DE MADEIRA ABERTA 1419"/>
        <s v="CABINE SUPLEMENTAR"/>
        <s v="COLHEITADEIRA DE CAPIM JUMBO 2.4 CSC 2000"/>
        <s v="CAMINHONETE TOYOTA HILUX CD DSL 4X4 POWER PACK"/>
        <s v="COLHEITADEIRA DE CAPIM JUMBO 2.4 CSC 2000 / IMP-156"/>
        <s v="COLHEITADEIRA DE CAPIM JUMBO 2.4 CSC 2000 / IMP-171"/>
        <s v="FREEZER CONSUL HORIZONTAL 2 PORTAS 534 LTS"/>
        <s v="MAQUINA DE JATO DE AREIA 280 LT CJ"/>
        <s v="TANQUE DE COMBUSTIVEL 15.000"/>
        <s v="IMPRESSORA LASER BROTHER DCP-1602"/>
        <s v="CORTADOR DE FRIOS ARBEL 170 SX 3.0"/>
        <s v="COLHEITADEIRA ALEIRADOR JOHN DEERE 6200"/>
        <s v="PRE-MISTURA DE 3 POLEGAS INOX DE 1.000 LTS"/>
        <s v="MEDIDOR DE UMIDADE GEHAKA G600"/>
        <s v="EMBUTIDORA DE GRAOS MARCHER BRASIL INGRAIN 100"/>
        <s v="LAVADORA ALTA PRESSAO CHIAPERINI  LJ-3100 220V"/>
        <s v="MAQUINA DE SOLDA ESAB MIG 450"/>
        <s v="MAQUINA DE SOLDA ESAB ARC 406"/>
        <s v="REBOQUE DOLLY FACCHINI"/>
        <s v="CARRETA BASCULANTE NOMA GRANELEIRO"/>
        <s v="CAMINHAO FORD CARGO 1517E + COMBOIO GASCOM "/>
        <s v="CARRETA AGRICOLA TRITON 5TON"/>
        <s v="FREEZER HORIZONTAL ELETROLUX 385 LT"/>
        <s v="ONIBUS VW 1519 TIPO URBANO / ESCOLAR"/>
        <s v="CAMINHAO MERCEDES BENZ L1620"/>
        <s v="ANCINHO ENLEIRADOR PLAT AE4000"/>
        <s v="SOPRADOR COSTAL STIHL BR 600"/>
        <s v="PA CARREGADEIRA W20F RJ"/>
        <s v="ROCADEIRA DE ARRASTO PICCIN RPCO3000"/>
        <s v="CARRETA TANQUE MEPEL COMBATE A INCENDIO 12.500 LT"/>
        <s v="DRONE PARROT  ANAFI WORK  4K"/>
        <s v="ESMERILHADEIRA BOSCH GWS 26-230"/>
        <s v="GRADE NIVELADORA MARCHESAN FLUTUANTE"/>
        <s v="ROCADEIRA A COMBUSTAO STIHL KA 85R"/>
        <s v="PENEIRAO USINA CSC2000"/>
        <s v="COLHEITADEIRA ALEIRADOR JD 7300 / MAQ-007"/>
        <s v="BALANÇA DE PISO UL-2500/5"/>
        <s v="ROLO FACA AGRICOLA KATRINA MOD COMPACTADOR 9000"/>
        <s v="CAMARA DE LIMPEZA POR DENSIDADE"/>
        <s v="SEPARADOR DENSIMETRICO"/>
        <s v="EXAUSTOR DE FARELO"/>
        <s v="OFICINA MOVEL"/>
        <s v="EMPILHADEIRA CLARK C30?"/>
        <s v="BALANCA DE PLATAFORMA DIGITAL 40X50 300 KG"/>
        <s v="GRADE ARADORA 18X36POL"/>
        <s v="ENSACADEIRA MANUAL - BICA ABERTA 270 X 140 MM"/>
        <s v="MAQUINA DE LIMPEZA DE GRAOS MODELO MPL-120"/>
        <s v="PLATAFORMA DE GRAOS DRAPER TERRAFLEX 3162 45 PES"/>
        <s v="CLASSIFICADOR DE SEMENTE BIG CLASS 5000"/>
        <s v="TV MONITOR MULTILASER 32 POL"/>
        <s v="CARRETA AGRICOLA REBOKE 25000 INOX GRANELEIRA"/>
        <s v="TANQUE PRE-MISTURA DEFENSIVOS DIVISA 3'' 1000 LTS"/>
        <s v="COLHEITADEIRA DE GRAOS CASE IH AXIAL FLOW 9230"/>
        <s v="SEMEADORA ADUBADORA HERCULES 6.0"/>
        <s v="CAMINHONETE TOYOTA HILUX CD SRX 4X4"/>
        <s v="EQUIPAMENTO HIDR IMAVI G-25"/>
        <s v="MOTOBOMBA VONDER 7,0 HP"/>
        <s v="AR CONDICIONADO PHILCO 24000 BTUS"/>
        <s v="PLAINA NIVELADORA PLANNER 310 HD GTS"/>
        <s v="CORTADOR DE GRAMA HUSQVARNA LC140 4,5HP"/>
        <s v="SERRA RAPIDA BOSCH POLICORTE PORTATIL 14"/>
        <s v="FURADEIRA SCHULZ COL. FSC 32 P"/>
        <s v="TV SMART 50 POL"/>
        <s v="IMPRESSORA XEROX MULTIFUNCIONAL B205"/>
        <s v="SERRA RAPIDA BOSCH POLICORTE 14 POL"/>
        <s v="SOPRADOR COSTAL STIHL BR 430"/>
        <s v="ASPIRADOR SUGADOR DE GRAOS INDUSTRIAL"/>
        <s v="MOTOCICLETA HONDA POP 110I"/>
        <s v="MODULO CLASSIFICADOR TRIEUR"/>
        <s v="CARRETA TANQUE COMBATE A INCENDIO 15.500 LT"/>
        <s v="TRATOR AGRICOLA CASE IH PUMA 230"/>
        <s v="UBS UNIDADE BENEFICIAMENTO DE SEMENTES FAZ. SANTA LUCIA BENFEITORIA INDUSTRIAL"/>
        <s v="EXTRATORA DE GRAOS MARCHER OUTGRAIN 220"/>
        <s v="ROCADEIRA DE ARRASTO PICCIN RPCO3000 DUPLA"/>
        <s v="GRADE ARADORA CIVEMASA GASPCRC EHD S0518 SUPER PESADA"/>
        <s v="NOTEBOOK DELL INSPIRON I5 RAM 8GB SSD 256GB"/>
        <s v="PLATAFORMA PARA CORTE DE MILHO EAGLE VENCE TUDO PM 20L BOCUDA EAGLE"/>
        <s v="PENEIRA DE USINA CSC2000"/>
        <s v="EQUIPAMENTO CJ BIG BAG SERIE OURO"/>
        <s v="PLANTADEIRA DE ARRASTO MANTO VERDE"/>
        <s v="REFRIGERADOR ELECTROLUX RE31 240L"/>
        <s v="GRADE PICADORA DE DISCO RETO"/>
        <s v="CARRETA TANQUE MEPEL COMBATE A INCENDIO 15.500 LT"/>
        <s v="FOGAO VENANCIO MAXI M6ED6 6 BOCAS"/>
        <s v="FOGAO VENANCIO MAXI M6ED6 6 BOCAS DUPLA"/>
        <s v="DEMOLIDOR MASTER GRADE PICADORA DE DISCO RETO"/>
        <s v="BEBEDOURO INDUSTRIAL INOX 4 TORNEIRAS 200 LTS"/>
        <s v="COMBOIO REBOQUE ANDRADE"/>
        <s v="BENFEITORIA EM IMOVEL RURAL GALPAO MOEGA FAZ. SANTO EXPEDITO"/>
        <s v="FREEZER GELOPAR GPC-57BR VER C/GRAD"/>
        <s v="COMBOIO REBOQUE ANDRADE (LUBRIFICACAO)"/>
        <s v="MOTONIVELADORA CASE MOD 865B"/>
        <s v="PA CARREGADEIRA CASE MOD W20F"/>
        <s v="CAMINHONETE TOYOTA HILUX TOYOTA CD DIESEL 4x4 STD POWER PACK"/>
        <s v="EQUIPAMENTO ROLLON MOD G-25"/>
        <s v="SOPRADOR BG86"/>
        <s v="LAVADORA DE ALTA PRESSAO KARCHER HD585"/>
        <s v="CAIXA D'AGUA METALICA TUBULAR 50M³"/>
        <s v="REFRIGERADOR ELETROLUX 260 LT"/>
        <s v="ROCADEIRA A COMBUSTAO STIHL FS 290 DM 300-3"/>
        <s v="CARRETA AGRICOLA TRITON 05 TON"/>
        <s v="CORRENTE NIVELADORA MODELO 10"/>
        <s v="MOTOBOMBA BRANCO B4T 706 3POL"/>
        <s v="AMASSADEIRA RAPIDA G.PANIZ SR-15 SS 220V"/>
        <s v="MESA INOX 430 1,40X70 C/ PRAT EPOXI INNAL"/>
        <s v="GERADOR MWM 33KVA D229-3"/>
        <s v="FORNO P/FOGAO BRASMAQ MED BPT. INOX MASTER"/>
        <s v="FOGAO IND ITAJOBI 8BC 30X30 4QS/4QD MASTER"/>
        <s v="FORNO TURBO ELETRICO G-PANIZ FTE300 - 380V"/>
        <s v="MESA METAL M180"/>
        <s v="CAMARA DE CRESCIMENTO IMECA PAO FRANCES 58X70cm"/>
        <s v="FREEZER HORIZONTAL METALFRIO 546 LTS DA550B 220V"/>
        <s v="CILINDRO DE MASSA LAMINADOR GASTROMAQ CL300"/>
        <s v="CAMINHAO SCANIA R 440 A 6X4"/>
        <s v="SERRA POLICORTE BOSCH 14 220V GCO 14-24 2400W"/>
        <s v="BALANCA RODOVIARIA 950I 36X3,2M 120T METALICA"/>
        <s v="ROCADEIRA A COMBUSTAO STIHL FS 290"/>
        <s v="MAQUINA DE CORTE DE PLASMA VONDER CUT-45"/>
        <s v="SOPRADOR STIHL BGA 86"/>
        <s v="COMPRESSOR DE AR PRESSURE 60PCM-425LTS"/>
        <s v="PRENSA HIDRAULICA 30 TONELADAS"/>
        <s v="TV LG SMART 65 POL UHD 4K"/>
        <s v="PERFURADOR DE SOLO TATU 9 E 12 BROCAS"/>
        <s v="SELF-SERVICE TERMICO VENANCIO 8 CUBAS 220V"/>
        <s v="NOTEBOOK VAIO FE15 CORE I7 8GB SSD 512"/>
        <s v="REP CONTROL ID - IDCLASS BIO PROX ASK SSA"/>
        <s v="MAQUINA INVERSORA DE SOLDA ESAB 420A RUSTLER 455I MIG/MAG/MM 4X4"/>
        <s v="MOTOBOMBA BRANCO DIE 7CV AUTO 3 705CF"/>
        <s v="MAQUINA PRE LIMPEZA DE GRAOS MODELO MPL-120"/>
        <s v="SILO METALICO ELEVADO DE CEREAIS MOD 2412-E"/>
        <s v="MAQUINA PRENSAGEM MANGUEIRA PE80 TF 380V TRIF"/>
        <s v="MAQUINA RETIFICADORA SOLDA BALMER BR400A"/>
        <s v="CORTADOR GRAMA BRANCO B4T-6000 A GASOLINA"/>
        <s v="PIVOT CENTRAL 14 TORRES FOCKINK SERIE 82849"/>
        <s v="PIVOT CENTRAL 14 TORRES FOCKINK SERIE 82847"/>
        <s v="PIVOT CENTRAL 14 TORRES FOCKINK SERIE 82845"/>
        <s v="PIVOT CENTRAL 14 TORRES FOCKINK SERIE 82850"/>
        <s v="PIVOT CENTRAL 14 TORRES FOCKINK SERIE 82844"/>
        <s v="PIVOT CENTRAL 14 TORRES FOCKINK SERIE 82848"/>
        <s v="PIVOT CENTRAL 14 TORRES FOCKINK SERIE 82846"/>
        <s v="PIVOT CENTRAL 14 TORRES FOCKINK SERIE 82854"/>
        <s v="GRADE NIVELADORA TATU GNFM/E 72X22 COM PNEUS"/>
        <s v="REBOQUE DOLLY FACCHINI 02 EIXOS CAMBAO RIGIDO"/>
        <s v="CARRETA SEMI REBOQUE RODOTREM BASCULANTE 35M3 02"/>
        <s v="AR-CONDICIONADO SPLIT GREE 12000 GW12QC ECO GARDEN VERTICAL 220V"/>
        <s v="AR-CONDICIONADO SPLIT GREE 9000QB ECO GARDEN VERTICAL 220V"/>
        <s v="PULVERIZADOR AUTOPROPELIDO CASE IH PATRIOT 350"/>
        <s v="CAMINHAO MERCEDES BENZ ACCELO 815 COM CABINE"/>
        <s v="CAMINHAO MERCEDES BENZ ATEGO 2426 COM CABINE"/>
        <s v="PICAPE FIAT STRADA ENDURANCE CP 1.4"/>
        <s v="PIVOT CENTRAL VALLEY SERIE 13683"/>
        <s v="PIVOT CENTRAL VALLEY SERIE 13684"/>
        <s v="PIVOT CENTRAL VALLEY SERIE 13685"/>
        <s v="PIVOT CENTRAL VALLEY SERIE 13686"/>
        <s v="PIVOT CENTRAL VALLEY SERIE 13687"/>
        <s v="PIVOT CENTRAL VALLEY SERIE 13688"/>
        <s v="PIVOT CENTRAL VALLEY SERIE 13689"/>
        <s v="PIVOT CENTRAL VALLEY SERIE 13690"/>
        <s v="PIVOT CENTRAL VALLEY SERIE 14345"/>
        <s v="DESKTOP DELL SERVIDOR PRECISION 3450 SFF I7 16GB 512SSD"/>
        <s v="NOBREAK SMS ATRIUM RACK AR3000BI"/>
        <s v="CABINE SUPLEMENTAR 06 LUGARES"/>
        <s v="GERADOR MWM 84KVA"/>
        <s v="CLIMATIZADOR EVAPORATIVO P7 SUPERARE POLO CLIMA"/>
        <s v="CAMINHAO MERCEDES BENZ ATEGO 1419 COM CABINE"/>
        <s v="PODADOR DE CERCA VIVA STIHL"/>
        <s v="IMPRESSORA MULTIFUNCIONAL XEROX B205"/>
        <s v="MAQUINA DE SOLDA ESAB MIG SMASHWELD 300I"/>
        <s v="MOTOSSERRA STIHL MS 382 40CM 36RS"/>
        <s v="CARROCERIA COM ASSOALHO NAVAL ATEGO 1419"/>
        <s v="CHAVE DE IMPACTO DEWALT 20V"/>
        <s v="BEBEDOURO IND INOX 200 LTS 4 TORNEIRAS 220V"/>
        <s v="CARROCERIA COM ASSOALHO NAVAL ACCELO 815"/>
        <s v="MAX CALDA 3500L MEPEL MXC 1ERS A15"/>
        <s v="MAQUINA DE MEIO FIO PAVIMAX MD-250 S"/>
        <s v="INJETOR FERTILIZ. INJEFER D VALLEY C/1"/>
        <s v="MEDIDOR DE UMIDADE GEHAKA MODELO G650"/>
        <s v="BALANCA PLATAFORMA DIGITAL 300 KG"/>
        <s v="AR CONDICIONADO SPLIT 18.000 BTUS"/>
        <s v="REFRIGERADOR HORIZONTAL 532 LTS"/>
        <s v="PLANTADEIRA SEMEADORA ADUBADORA DE ARRASTO VENCE TUDO PAMPEANA "/>
        <s v="CARREGADOR DE BATERIA BIVOLT CBI 800 VONDER"/>
        <s v="AR CONDICIONADO SPLIT GREE ECO GARDEN 18.000"/>
        <s v="AR CONDICIONADO SPLIT 9000 BTUS"/>
        <s v="CORTADOR DE GRAMA MAKITA 460MM GASOLINA"/>
        <s v="ROCADEIRA DE ARRASTO SANTA ISABEL 2 FACAS"/>
        <s v="LAVADORA DE ALTA PRESSAO STIHL RE110"/>
        <s v="CARREGADOR BATERIA BIVOLT CIB 800 VONDER"/>
        <s v="FOGAO INDUSTRIAL 06 BOCAS"/>
        <s v="FORNO TURBO GAS 10 MONO 220V FTG300"/>
        <s v="FREEZER HORIZ GELOPAR GHBS 510BR 2 PORTAS"/>
        <s v="TRATOR AGRICOLA DE RODAS CASE IH FARMALL 100"/>
        <s v="TRATOR AGRICOLA DE RODAS CASE IH FARMALL 110"/>
        <s v="TRATOR AGRICOLA DE RODAS CASE IH PUMA 215"/>
        <s v="FORNO TURBO GAS G-PANIZ 10 MONO 220V FTG300"/>
        <s v="TRITURADOR DE PALHA MORI VT-250"/>
        <s v="LIQUIDIFICADOR INDUSTRIAL DE 08 LITROS"/>
        <s v="BATEDEIRA INDUSTRIAL DE 10 LITROS"/>
        <s v="FREEZER DE DUAS TAMPAS 534 LITROS"/>
        <s v="CAMINHONETE TOYOTA HILUX CD DSL POWER PACK"/>
        <s v="COMPRESSOR DE AR SCROLL 380V"/>
        <s v="CATADOR DE PEDRAS"/>
        <s v="FREEZER METALFRIO DA420 220V"/>
        <s v="COMPRESSOR DE AR SCHULZ 8,5 50L 2,0 CV C/ RODAS"/>
        <s v="ASPIRADOR DE PO VONDER APV2475 75L "/>
        <s v="FURADEIRA ELETRICA IMPACTO 5/8 D21570k 1300W 220V"/>
        <s v="DESKTOP OPTIPLEX 3090 MICRO"/>
        <s v="PENEIRAO DE SEMENTES AGRO METALI"/>
        <s v="GRADE SUPER ARADORA CIVEMASA INTERMEDIARIA"/>
        <s v="COMPUTADOR INTEL PICHAU GAMER I5-10400F GEFORCE GTX 1650 4GB"/>
        <s v="TV SAMSUNG 60 POL 4K CRYSTAL"/>
        <s v="GERADOR DE ENERGIA 3.5 KVA BRANCO B4T-3500 MONOFASICO"/>
        <s v="ESCAVADEIRA DE ESTEIRA R225LVS"/>
        <s v="TERMOMETRO DIGITAL FAIXA -200 A 1352°C RESOLUCAO 0,1°C"/>
        <s v="AR CONDICIONADO GREE SPLIT 12000"/>
        <s v="EQUIPAMENTO HIDR IMAVI MOD. G-25C/TR. 3º EIXO"/>
        <s v="TANQUE BOMBEIRO 16000L KIT BOMBEIRO"/>
        <s v="BOMBA P/ABASTECIMENTO COMBUSTIVEL 60LT/MIN"/>
        <s v="SOPRADOR TIPO ROOTS R100"/>
        <s v="POLTRONA LUNA PRETO"/>
        <s v="SOFA 3 LUGARES"/>
        <s v="MESA DE MADEIRA"/>
        <s v="CADEIRA CELE"/>
        <s v="MESA DE CENTRO P ESCRITORIO 60X40"/>
        <s v="BANQUETA AGROLINE TIPO X ACO"/>
        <s v="MESA DE ALUMINIO"/>
        <s v="ROLO COMPACTADOR DYNAPAC PATA FIXA"/>
        <s v="TRATOR AGRICOLA DE RODAS CASE IH MAGNUM 340"/>
        <s v="NOBREAK RACK NHS PREMIUM HOT-SWAP SENOIDAL 3000VA"/>
        <s v="MOTOBOMBA HONDA WB30XH 3 POLEGADAS"/>
        <s v="IMPRESSORA XEROX B215"/>
        <s v="REFRIGERADOR ELECTROLUX 260L"/>
        <s v="ESMERILHADEIRA 5&quot; 18V 125MM A BATERIA"/>
        <s v="LAVADORA DE ROUPAS ELECTROLUX 220/60"/>
        <s v="FOGAO DE PISO ELECTROLUX 76DXA"/>
        <s v="COIFA PAREDE ELECTROLUX INOX 220/60"/>
        <s v="LAVA LOUCAS ELECTROLUX LP14X 220/60"/>
        <s v="AR CONDICIONADO SPLIT GREE ECO GARDEN 24000BTUS"/>
        <s v="RELOGIO DE PONTO ID CLASS CONTROL BIOMETRICO"/>
        <s v="TV SAMSUNG 65 POL"/>
        <s v="TRANSFORMADOR TRIF 380-220"/>
        <s v="REFRIGERADOR ELECTROLUX 240LTS"/>
        <s v="EMPILHADEIRA CLARK L30D"/>
        <s v="AR CONDICIONADO SPLIT ECO G GREE 9000BTUS"/>
        <s v="AR CONDICIONADO SPLIT ECO G GREE 12000BTUS"/>
        <s v="AR CONDICIONADO SPLIT G-TOP GREE 18000BTUS"/>
        <s v="AR CONDICIONADO SPLIT ECO G GREE 24000BTUS"/>
        <s v="TV PHILCO 32 POL"/>
        <s v="AERONAVE RV-10"/>
        <s v="PURIFICADOR DE AGUA VIVAX DEFENSE"/>
        <s v="MEDIDOR DE UMIDADE E PH AL101 40 LTS"/>
        <s v="AR CONDICIONADO SPLIT ECO GREE 24000BTUS"/>
        <s v="AR CONDICIONADO SPLIT ECO GREE 9000BTUS"/>
        <s v="TV SAMSUNG 50 POL SMART"/>
        <s v="PLANTADEIRA CASE IN FAST RISER"/>
        <s v="GERADOR DE ENERGIA A GASOLINA 10KVA MONOFASICO BRANCO B4T 11000E"/>
        <s v="MODULO ARMAZENAGEM DE PALETE 1,00 X 2,30 X 4,00"/>
        <s v="ENSACADEIRA DE BIG BAG SAT EBPD-MP"/>
        <s v="ENSACADEIRA ELETRONICA SAT ES 4001 SB"/>
        <s v="CAMINHAO VW/13.190 CRM 4X2"/>
        <s v="TANQUE DE COMBUSTIVEL 15000LTS"/>
        <s v="TANQUE DE COMBUSTIVEL 15000LTS QUEROSENE FAZ. JATOBA"/>
        <s v="ASPIRADOR DE PO WORKER 70L"/>
        <s v="TANQUE OVAL 3645 LTS OVAL QUEROSENE FAZ JATOBA"/>
        <s v="DESKTOP DELL OPTIPLEX 3000 MICRO"/>
        <s v="FAZENDA GRANDE LESTE II"/>
        <s v="FAZENDA GRANDE LESTE III"/>
        <s v="MANIPULADOR TELESCOPICO JCB 530-70"/>
        <s v="STARLINK V3 USER TERMINAL"/>
        <s v="FATIADOR DE FRIOS FTD 178 BIVOLT"/>
        <s v="GUINDASTE GRIMALDI GR-16.500"/>
        <s v="CACAMBA GRIMALDI 6528 18 TONELADAS "/>
        <s v="GERADOR 450KVA WEG NTA-855-G3 SEDE SANTO EXPEDITO"/>
        <s v="MANOMETRO DE PRESSAO DIFERENCIAL 0-100 HPA"/>
        <s v="COMBOIO DE LUBRIFICACAO GASCOM PRESSOLUB"/>
        <s v="DOSADOR COLETIVO DE SEMENTES MIUDAS"/>
        <s v="MESA DENSIMETRICA LAMPRONIO DZ-200"/>
        <s v="DEPOSITO TULHA METALICA TH-30"/>
        <s v="SISTEMA DE CAPTACAO DE PO DZ-200"/>
        <s v="PULVERIZADOR KUHN CANHAO AF600"/>
        <s v="GARFO ENLEIRADOR DE 5 METROS"/>
        <s v="CONJUNTO DE MAQUINAS PINHALENSE"/>
        <s v="SECADOR GRAVITACIONAL"/>
        <s v="ELEVADOR EM Z DE BALDE DE SEMENTES"/>
        <s v="RESFRIADOR DE SEMENTES"/>
        <s v="SOPRADOR DE SEMENTES EAGRI SOUTH DAKOTA"/>
        <s v="MONITOR DELL ULTRASHARP 23.8 TELA INFINITA"/>
        <s v="IMPRESSORA XEROX B205"/>
        <s v="TV LG 65 POL UHD 4K"/>
        <s v="TV LED 43 SMART FULL HD"/>
        <s v="CAMERA VIP 5280 IA"/>
        <s v="COMPRESSOR DE AR SCHULZ 10 PES 100L 2HP 140PSI"/>
        <s v="PRE-LIMPEZA P/GRAOS PLZ-50 ZACCARIA"/>
        <s v="TANQUE PRE-MISTURA DIVISA 3 POL  2.000 LTS INOX"/>
        <s v="GERADOR DE ENERGIA BRANCO B4T-11000 E"/>
        <s v="HOMOGENEIZADOR"/>
        <s v="PULVERIZADOR KUHN AF 600"/>
        <s v="LAVADORA DE ALTA PRESSAO ELETROPLAS EL-3500A"/>
        <s v="AR CONDICIONADO SPLIT ECO G GREE 18000BTUS"/>
        <s v="CARROCEIRA FURGAO CARGA SECA FACCHINI"/>
        <s v="CADEIRA GIRATÓRIA PRESIDENTE LUXO COM MOLAS"/>
        <s v="ADUTORAS - INFRAESTRUTURA HIDRAULICA FAZ. SANTA LUCIA"/>
        <s v="FURADEIRA COL. FSC 32 P"/>
        <s v="COMPRESSOR DE AR SCHULZ PRATIC AIR CSI 8,5/25"/>
        <s v="PRENSA HIDRAULICA MARCON 60 TON MPH-60"/>
        <s v="MAQUINA DE SOLDA ESAB MIG 455 TOP FLEX"/>
        <s v="PALETEIRA MCC 50 TON PNEUMATICO"/>
        <s v="CADEIRA GIRATÓRIA PRESIDENTE EM COURINO"/>
        <s v="BEBEDOURO INDUSTRIAL AQUAMAX INOX 50 LTS"/>
        <s v="ARMARIO MADEIRA 5 PORTAS E 4 GAVETAS"/>
        <s v="ARMARIO EM MADEIRA 7 PORTAS E 2 GAVETAS ARQUIVO"/>
        <s v="ARMARIO MADEIRA EM L 5 PORTAS E 4 GAVETAS"/>
        <s v="CEIFADEIRA TRI MORI CFFL230313"/>
        <s v="BATEDEIRA PLANETARIA 5LTS BPS-05 VM 220V"/>
        <s v="REFRIGERADOR ELECTROLUX FF TF55S 2P 431L"/>
        <s v="MOTOCICLETA HONDA CRF 250F"/>
        <s v="SELF-SERVICE TERMICO IBET 8 CUBAS"/>
        <s v="MAQUINA DE SOLDA BRUTUS MIG 350BR"/>
        <s v="TV SAMSUNG 43 POL LED SMART FULL HD"/>
        <s v="LAVADORA DE ROUPA ELECTROLUX LES11 11KG"/>
        <s v="MOTOBOMBA CENTRIFUGA BRANCO A GASOLINA B4T716"/>
        <s v="EQUIPAMENTO DE MICROFILTRAGEM MOVEL POC FMF 203 MINI DE OLEO TIPO MOVEL"/>
        <s v="BALANCA DE PLATAFORMA 40X50 PAINEL DIGITAL 300KG"/>
        <s v="BALANCA SEMI ANALITICA MARTE AD500"/>
        <s v="EXAUSTOR AXIAL DE TELHADO 1000MM MOD ET/103"/>
        <s v="AMOSTRADOR DE SOLO TRAIL TECH 500S"/>
        <s v="PENEIRAO PRE-LIMPEZA AGRO METALI 2024"/>
        <s v="QUADRICICLO HONDA TRX420 4X4"/>
        <s v="ARMAZEN FAZ. SANTA LUCIA BENFEITORIA FUNCIONAL"/>
        <s v="TV PHILCO 42 LED SMART"/>
        <s v="GRADE INTERMEDIARIA GOIH E 270 68X28X7,5MM"/>
        <s v="QUARTEADOR DE CEREAIS 16 CANAIS X 18MM"/>
        <s v="SUGA/EMPURRA DE GRAOS SULTEC"/>
        <s v="AMASSADEIRA RAPIDA SR-15 SS 220V G.PANIZ"/>
        <s v="TV SAMSUNG 32 POL LED"/>
        <s v="TRATOR AGRICOLA CASE MAGNUM 380"/>
        <s v="CAIXA DAGUA TUBULAR 60M³ 15,6X2,22M"/>
        <s v="CARRETA REBOQUE RANDON 03 EIXOS"/>
        <s v="CEIFADEIRA MORI TRI FLEX 300"/>
        <s v="BEBEDOURO ACQUA IND PRE100E INOX"/>
        <s v="FREEZER CONSUL 2 TAMPAS 534 LITROS"/>
        <s v="CAMARA DE LIMPEZA ZACCARIA P/DENSIDADE"/>
        <s v="SEPARADOR DESIMETRICO ZACCARIA"/>
        <s v="PLATAFORMA DE GRAOS CASE 3020 35 PES"/>
        <s v="DISTRIBUIDOR HERCULES 24000 INOX"/>
        <s v="COLHEITADEIRA DE GRAOS CASE IH AXIAL FLOW 7250"/>
        <s v="IMPRESSORA TERMICA ZETEX 250X"/>
        <s v="IMPRESSORA DE CARTOES SIGMA DATACARD DS2"/>
        <s v="GELADEIRA CONSUL 334 LITROS"/>
        <s v="ANCINHO ENLEIRADOR GIRASSOL PP704"/>
        <s v="MOTOR ELETRICO WEQ TRIFASICO 10CV"/>
        <s v="BALANCA ELETRONICA DIGITRON PLATAFORMA 3000KG"/>
        <s v="KIT DE ABASTECIMENTO PARA GASOLINA"/>
        <s v="CAMARA CLIMATIZADA FOTOPERIODO EL212/4"/>
        <s v="AR CONDICIONADO HW GTOP GREE 12000BTUS"/>
        <s v="AR CONDICIONADO SPLIT G TOP GREE 18000BTUS"/>
        <s v="AR CONDICIONADO PISO TETO GREE 56000BTUS"/>
        <s v="TRANSFORMADOR TRIFASICO 112,5KVA"/>
        <s v="CORTADOR GRAMA BRANCO A GAS B4T-7000"/>
        <s v="CAMINHAO MERCEDES BENZ ATEGO 2429"/>
        <s v="SISTEMA DE TELEMETRIA PROCER PARA GRAOS EM SILOS"/>
        <s v="TANQUE PRE-MISTURA DEFENSIVOS 2.000 LTS"/>
        <s v="LAVADORA DE ROUPAS BRASTEMP BWK12"/>
        <s v="TANQUE DE COMBUSTIVEL 20.000 LTS FAZ. GRANDE LESTE "/>
        <s v="TANQUE DE COMBUSTIVEL 20.000 LTS"/>
        <s v="ROLO COMPACTADOR AGRIMEC // KIT 3"/>
        <s v="MEDIDOR DE UMIDADE DO SOLO NOVOTEST MC7828SOIL"/>
        <s v="MACBOOK APPLE PRO 13 M2 8GB"/>
        <s v="CARRETA GRANELEIRA REBOKE 25000 INOX"/>
        <s v="EMPILHADEIRA CLARK LEP30"/>
        <s v="ANALISADOR DE UMIDADE 50GR MARTE"/>
        <s v="BEBEDOURO INDUSTRIAL KNOX 3T"/>
        <s v="CABINE SUPLEMENTAR 06 LUGARES ALVORADA"/>
        <s v="CARROCERIA IDEAL"/>
        <s v="CAMINHAO MERCEDES BENZ ACCELO 1017"/>
        <s v="GUINCHO HIDRAULICO RIBEIRO 3 TONELAS"/>
        <s v="SELF-SERVICE TERMICO VENANCIO 12CUBAS"/>
        <s v="ONIBUS MB COMIL SVELTO"/>
        <s v="ONIBUS MB INDUSCAR APACHE"/>
        <s v="GERADOR SCANIA/WEG 500KVA"/>
        <s v="TANQUE PRE-MISTURA DEFENSIVOS 1.500 LTS"/>
        <s v="TV AOC LED 43 POL FULL HD"/>
        <s v="LAVADORA DE ALTA PRESSAO STIHL RE110 1,7KW"/>
        <s v="FORNO ELETRICO BEST 48LTS PLUS"/>
        <s v="AR CONDICIONADO GREE G-TOP PLUS 9000BTUS"/>
        <s v="AR CONDICIONADO GREE G-TOP PLUS 24000BTUS"/>
        <s v="BANHO MARIA SSD DIGITAL 10 LTS"/>
        <s v="FREEZER GELOPAR HORIZONTAL PC 532L"/>
        <s v="BEBEDOURO KNOX KX20D3T1"/>
        <s v="FOGAO VENANCIO MAXI 40CM"/>
        <s v="CAMINHAO VOLVO FH 540 6X4"/>
        <s v="MAQUINA INVERSORA DE SOLDA ESAB LHN 242 PLUS"/>
        <s v="COMPRESSOR DE AR CHIAPERINI 20 PES 250L"/>
        <s v="MOTOREDUTOR GD60 EIXO VAZAO 20CV 4P ANTI-RECUO"/>
        <s v="EQUIPAMENTO DE DIALISE POC FMD 204 DE OLEO DIESEL TIPO MOVEL"/>
        <s v="PIVOT CENTRAL VALLEY SERIE 17524"/>
        <s v="PIVOT CENTRAL VALLEY SERIE 17525"/>
        <s v="PIVOT CENTRAL VALLEY SERIE 17526"/>
        <s v="PIVOT CENTRAL VALLEY SERIE 17527"/>
        <s v="PIVOT CENTRAL VALLEY SERIE 17528"/>
        <s v="PIVOT CENTRAL VALLEY SERIE 17529"/>
        <s v="PIVOT CENTRAL VALLEY SERIE 17530"/>
        <s v="PIVOT CENTRAL VALLEY SERIE 17531"/>
        <s v="PIVOT CENTRAL VALLEY SERIE 17532"/>
        <s v="PIVOT CENTRAL VALLEY SERIE 17533"/>
        <s v="CAMINHONETE FORD RANGER CD 4X4  XLT"/>
        <s v="COLHEITADEIRA DE GRAOS CASE IH AXIAL FLOW 8250"/>
        <s v="ELEVADOR HIDRAULICO 4 TON"/>
        <s v="CORTADOR DE GRAMA HUSQVARNA LC151 4,5HP"/>
        <s v="CHAVE DE IMPACTO PNEUMATICA SCHULZ 3/4 POL 120KG"/>
        <s v="MONITOR AOC LED 21.5&quot; FULL HD"/>
        <s v="ESTUFA AGRICOLA ZANNALEVE P"/>
        <s v="KIT ABASTECIMENTO ARLA 230V"/>
        <s v="PLATAFORMA DE GRAOS DRAPER TERRAFLEX 3162"/>
        <s v="CATRACA ELETROMECANICA M OPTSIS"/>
        <s v="SOPRADOR JUSTI BG 86C"/>
        <s v="RAM CLASSIC LARAMIE"/>
        <s v="CAMINHONETE TOYOTA HILUX 4X4D STD PP AT 25"/>
        <s v="GERADOR B4T-13000 E"/>
        <s v="BALANCA ELETRONICA PRIX 3 32KG"/>
        <s v="TORNO MECANICO NARDINI NZ-400 X 4000"/>
        <s v="ROCADEIRA A COMBUSTAO STIHL FR 410 COSTAL"/>
        <s v="SERRA FITA METVISA 1 CV"/>
        <s v="MAQUINA DE SOLDA RETIFICADORA ESAB ORIGOARC 455"/>
        <s v="FURADEIRA INDUSTRIAL DEWALT D21570K"/>
        <s v="TANQUE RESERVATÓRIO  2,3M³"/>
        <s v="MOTOR A DIESEL BRANCO REFRIGERADO A AGUA BDA22"/>
        <s v="TRITURADOR FORRAGEIRO GARTHEN GTI"/>
        <s v="TANQUE PRE MISTURA 2.000 LTS INOX"/>
        <s v="ROCADEIRA DE ARRASTO BALDAN RPDL3000 DE 4 FACAS"/>
        <s v="GRADE NIVELADORA TATU GNFM S-1014"/>
        <s v="PRANCHA FACHINNI 3 EIXOS RODOVIARIA"/>
        <s v="DESKTOP OPTPLEX MICRO 7010 I5"/>
        <s v="MAQUINA DE LIMPEZA KEPLER MPL-120"/>
        <s v="MAQUINA DE LIMPEZA KEPLER MPL-170"/>
        <s v="MESA DE MARMORE"/>
        <s v="FREEZER FRICON DUAS TAMPAS 503 LTS"/>
        <s v="FREEZER GELOPAR HORIZONTAL 306 LTS"/>
        <s v="AR CONDICIONADO GREE 12000 BTUS"/>
        <s v="AR-CONDICIONADO GREE 12000 BTUS"/>
        <s v="CARRETA GRANELEIRA GUERRA SR GRANEL 4E 1E D PN KLL 6X2 14000 MAD 2025"/>
        <s v="MAQUINA INVERSORA DE SOLDA ESAB LHN 162"/>
        <s v="INOCULADOR DE SEMENTES TS BIO JET"/>
        <s v="CONTAINER GRIMALDI"/>
        <s v="ROCADEIRA DE ARRASTO BALDAN RPDL3000"/>
        <s v="COLHEITADEIRA DE SEM. DE CAPIM  JUMBO CSC"/>
        <s v="CARRETA PRE MISTURA SF"/>
        <s v="EQUIPAMENTO GRIMALDI ROLL ON ROLL"/>
        <s v="FORNO FTG300 G-PANIZ"/>
        <s v="FREEZER HORIZONTAL GHBS-510"/>
        <s v="FREEZER HORIZONTAL GHBS-310"/>
        <s v="LIQUIDIFICADOR SKYMSEN INDUSTRIAL 15 LTS"/>
        <s v="CORTADOR DE FRIOS BERMAR BM 06 NR"/>
        <s v="BATEDEIRA PLANETARIA G PANIZ"/>
        <s v="AMASSADEIRA RAPIDA G.PANIZ SR-25 SS 220V"/>
        <s v="REFRESQUEIRA IBBL BBS2"/>
        <s v="REFRIGERADOR BRASTEMP BRE57AK"/>
        <s v="MAQUINA DE LAVAR BRASTEMP BWK13A9"/>
        <s v="CAMINHONETE TOYOTA HILUX CD 4X4 SR AT"/>
        <s v="MEDIDOR DE UMIDADE G 650"/>
        <s v="TV PHILCO 65 POL 4K"/>
        <s v="AR CONDICIONADO GREE 24000 BTUS"/>
        <s v="ONIBUS MPOLO VIAGGIO"/>
        <s v="ALOJAMENTO PRE MOLDADO D 240m²"/>
        <s v="GUARITA FAZ. SANTO EXPEDITO BENFEITORIA EM IMOVEL RURAL"/>
        <s v="BENFEITORIA EM IMOVEL RURAL GALPAO DEFENSIVOS FAZ. GRANDE LESTE 600m2"/>
        <s v="BENFEITORIA EM IMOVEL RURAL GALPAO DEFENSIVOS FAZ. SANTA LUCIA 748m2"/>
        <s v="ALMOXARIFADO FAZ. SANTA LUCIA"/>
        <s v="BASE CAIXA D'AGUA FAZ. SANTA LUCIA"/>
        <s v="CAIXA D'AGUA METALICA TUBULAR 10.000 LTS"/>
        <s v="GUINCHO HIDRAULICO BREMEN 3 TON"/>
        <s v="BENFEITORIA EM IMOVEL RURAL CASA DOS MOTORISTAS FAZ. SANTA LUCIA"/>
        <s v="CASA DO TI FAZ. SANTA LUCIA BENFEITORIA FUNCIONAL"/>
        <s v="CANTINA BENFEITORIA FUNCIONAL FAZ. GRANDE LESTE"/>
        <s v="BENFEITORIA EM IMOVEL RURAL GUARITA FAZ. GRANDE LESTE"/>
        <s v="ALOJAMENTO 3 450m FAZ. SANTA LUCIA"/>
        <s v="ESTRADA EXTERNA FAZ. GRANDE LESTE"/>
        <s v="ESTRADA INTERNA FAZ. SANTA LUCIA"/>
        <s v="PISTA DE POUSO FAZ. GRANDE LESTE BENFEITORIA EM IMOVEL RURAL"/>
        <s v="POCO ARTESIANO SEDE FAZ. SANTO EXPEDITO"/>
        <s v="ALOJAMENTO 1 BENFEITORIA FUNCIONAL FAZ. GRANDE LESTE"/>
        <s v="BENFEITORIA EM IMOVEL RURAL QUADRA DE ESPORTES FAZ. SANTA LUCIA"/>
        <s v="ALOJAMENTO 2 BENFEITORIA FUNCIONAL FAZ. GRANDE LESTE"/>
        <s v="ALOJAMENTO 1 BENFEITORIA FUNCIONAL FAZ. SANTO EXPEDITO"/>
        <s v="ALOJAMENTO 2 BENFEITORIA FUNCIONAL FAZ. SANTO EXPEDITO"/>
        <s v="ALOJAMENTO 3 BENFEITORIA FUNCIONAL FAZ. SANTO EXPEDITO"/>
        <s v="REDE ELETRICA INFRAESTRUTURA FAZ. SANTO EXPEDITO"/>
        <s v="ALOJAMENTO PRE MOLDADO FAZ. JATOBA 240m²"/>
        <s v="MOEGA FAZ. SANTO EXPEDITO BENFEITORIA EM IMOVEL RURAL"/>
        <s v="CASA DOS MOTORISTAS FAZ. SANTO EXPEDITO 30m2 BENFEITORIA RESIDENCIAL"/>
        <s v="CASA 1 ADM FAZ. GRANDE LESTE BENFEITORIA RESIDENCIAL"/>
        <s v="CASA 2 ADM FAZ. GRANDE LESTE BENFEITORIA RESIDENCIAL"/>
        <s v="POCO ARTESIANO SEDE FAZ. SANTA LUCIA"/>
        <s v="MOTOSSERRA STIHL MS382"/>
        <s v="DETECTOR MULTIGAS PORTATIL MGT"/>
        <s v="MAQUINA INVERSORA DE SOLDA TORK KAB 150"/>
        <s v="CORTADOR DE GRAMA TRAMONTINA CC50M"/>
        <s v="ALEIRADOR ARRASTO FORRAGEIRAS 540"/>
        <s v="CEIFADEIRA MORI TRI FLEX 540"/>
        <s v="ALEIRADOR COMPACTA MORI DUO 540 RPM"/>
        <s v="ROCADEIRA BALDAN RPDL 3000"/>
        <s v="TRATOR AGRICOLA CASE FARMALL 100"/>
        <s v="MOTOBOMBA VONDER 3 7HP"/>
        <s v="BANHO MARIA SOLID STEEL SSDI DIGITAL 10 LTS"/>
        <s v="TRATOR AGRICOLA CASE FARMALL 110"/>
        <s v="INCORPORADOR ROTATIVO SIMABA"/>
        <s v="BALANCA SEMI ANALITICA MARTE 510G"/>
        <s v="MAQ. CATADOR DE PEDRA PINHALENSE MESA MVF-3"/>
        <s v="TV SAMSUNG 65 POL 4K"/>
        <s v="COMPRESSOR DE AR PRESSURE STORM ELETRICO 600HP 200L 5HP"/>
        <s v="BEBEDOURO ACQUA PRE50 2T"/>
        <s v="BEBEDOURO ACQUA PRE100 3T"/>
        <s v="MONITOR DELL 24 P2425H"/>
        <s v="FREEZER ELECTROLUX HORIZONTAL CHA31FB"/>
        <s v="TORRE ESTAIADA 24M AUTO-SUSTENTAVEL"/>
        <s v="CEIFADEIRA TRI 540"/>
        <s v="TV LG ‎43 LED SMART"/>
        <s v="FREEZER ELECTROLUX H440 400L"/>
        <s v="QUARTEADOR SEM. 18X15MM"/>
        <s v="CAMINHONETE FORD RANGER CD 4X4 XLT"/>
        <s v="BANHO MARIA DIGITAL- SSDI -10L"/>
        <s v="BALANCA SEMI ANALITICA MARTE AD200"/>
        <s v="COMPRESSOR DE AR SCHULZ CSV 10 PES 110 L"/>
        <s v="HIDROLAVADORA CHIAPERINI IND LJ 7000"/>
        <s v="SOPRADOR STIHL BG 86 C E"/>
        <s v="AR CONDICIONADO GREE GTOP 9000BTUS"/>
        <s v="CELULAR SAMSUNG GALAXY S24"/>
        <s v="TRATOR AGRICOLA CASE MAGNUM 340"/>
        <s v="SKIM JET TRUCK AIR"/>
        <s v="DESCONTAMINADOR DE AGROTOXICOS DA6 1000"/>
        <s v="SISTEMA DE TELEMETRIA VALMONT PIVO CENTRAL"/>
        <s v="COLHEITADEIRA DE ALGODAO JOHN DEERE COTTOM PICKER"/>
        <s v="CAMINHAO VOLVO VMX 360"/>
        <s v="FAZENDA GRANDE LESTE IV"/>
        <s v="PLAINA NIVELADORA AGRICOLA ROBUST 800"/>
        <s v="FOGAO C/ 10 BOCAS 400X400 C/ CHAPA QUENTE"/>
        <s v="COIFA C/ 3 CHAMINES 400X1200"/>
        <s v="FORNO A GAS DIMEN EXTER  INTER"/>
        <s v="SELF SERVICE NAS DIMEN COM 6 CUBAS QUENTES"/>
        <s v="COIFA DIMEN 2 MOTORES 400MM 2"/>
        <s v="ROCADEIRA DE ARRASTO BALDAN RACD3400"/>
        <s v="MANIPULADOR TELESCOPIO JCB 530-70"/>
        <s v="CARRETA COMBATE INCENDIO 15500L BLM"/>
        <s v="REBOQUE TRUCK GALEGO GR"/>
        <s v="REBOQUE TRUCK GALEGO SR"/>
        <s v="RADIO MOTOROLA DEM-300 VHF"/>
        <s v="AR CONDICIONADO GREE 9000 BTUS"/>
        <s v="AR CONDICIONADO GREE 18000 BTUS"/>
        <s v="AR CONDICIONADO GREE 32000 BTUS"/>
        <s v="CELULAR SAMSUNG GALAXY A35 5G 6GB"/>
        <s v="SUPORTE PARA BIG BAG HOOK-ON JCB"/>
        <s v="COMPRESSOR DE AR SCHULZ 500L TRIFASICO"/>
        <s v="COMPRESSOR DE AR SCHULZ SRP4020E TS"/>
        <s v="ESPETO PARA FARDO DE ALGODAO SOMAQ"/>
        <s v="FRESADORA FERRAMENTEIRA MANROD MR-9400VC 220V"/>
        <s v="PULVERIZADOR CASE PATRIOT 350"/>
        <s v="RADIO MOTOROLA DEM-300VHF"/>
        <s v="CELULAR SAMSUNG A35 5G 6GB RAM"/>
        <s v="AR CONDICIONADO LG BRAFORCE TETO 24V"/>
        <s v="TRATOR AGRICOLA CASE STEIGER 580"/>
        <s v="TV SAMSUNG LED 55 POL"/>
        <s v="DRONE XAG KIT P100 PRO"/>
        <s v="GERADOR TOYAMA TG15000CXE3-XP TRIF 4T"/>
        <s v="SOPRADOR BG86 CE"/>
        <s v="DEMOLIDOR (PICADOR DE PALHA)"/>
        <s v="GALPAO OFICINA FAZ. SANTA LUCIA 60x70m BENFEITORIA EM IMOVEL RURAL"/>
        <s v="MISTURADOR VITAMIX INOX 350 LT"/>
        <s v="CELULAR SAMSUNG A35 128GB"/>
        <s v="BALANCA INDUSTRIAL PROFIELD 2.000 KG"/>
        <s v="MAQUINA DE LAVAR ELECTROLUX 8,5KG"/>
        <s v="FURADEIRA DE COLUNA FERRARI 1.1/2CV"/>
        <s v="CELULAR SAMSUNG GALAXY A35 5G 8GB RAM 256GB AZUL"/>
        <s v="CAMINHONETE FORD RANGER 2.0 4X4 XL"/>
        <s v="TV SAMSUNG LED 50 POL SMART 4K 50DU7700"/>
        <s v="IMPRESSORA HP LASERJET M432"/>
        <s v="SOPRADOR COSTAL STILH BR 420"/>
        <s v="TANQUE PRE-MISTURADOR DE DEFENSIVOS 500 LTS"/>
        <s v="BETONEIRA MENEGOTI 400 LTS 2CV MONOFASICO 1 TRACO"/>
        <s v="CELULAR SAMSUNG GALAXY A25 5G 8GB RAM 256GB AZUL"/>
        <s v="CARREGADOR DE BATERIA VONDER BIVOLT CIB 800"/>
        <s v="MAQUINA ENVOLVEDORA CYKLOP CST 204 PRS"/>
        <s v="STARLINK V4 USER TERMINAL"/>
        <s v="MESA DENSIMETRICA SILOMAX SDSH-200"/>
        <s v="GUINCHO P/ BIG BAG TRATORMASTER"/>
        <s v="RADIO MOTOROLA DEM-300VHF VHF DIGITAL 136-1"/>
        <s v="MONITOR DELL 23.8 P2422H"/>
        <s v="DESKTOP DELL OPTIPLEX MICRO I5 12300 8GB 256GB"/>
        <s v="TV SAMSUNG LED 55 POL SMART 4K"/>
        <s v="CELULAR SAMSUNG GALAXY A35 5G 8GB RAM 256GB"/>
        <s v="CELULAR SAMSUNG GALAXY A35 5G 6GB RAM 128GB"/>
        <s v="NOTEBOOK HP ZBBOK FURY 64GB 1TB RTX A3000 WIN 11"/>
        <s v="AR CONDICIONADO GREE GTOP 9000 BTUS"/>
        <s v="CORTADOR DE GRAMA HUSQVARNA TS-142"/>
        <s v="REFRESQUEIRA VENANCIO RV116 1 CUBA 16 LITROS"/>
        <s v="MONITOR DELL 22 P2222H"/>
        <s v="CAMINHAO MERCEDES BENZ ATEGO 1719 / COM COMBOIO GASCOM PRELOSSUR"/>
        <s v="MEDIDOR DE UMIDADE DE GRAOS AGROLOGIC AL 102"/>
        <s v="PLATAFORMA DE GRAOS DRAPER TERRAFLEX 4F 45 PES"/>
        <s v="IMPRESSORA TERMICA ARGOX OS214 USB"/>
        <s v="NOTEBOOK LENOVO TELA 15'5 I5 12° 8GB SSD 1TB"/>
        <s v="KIT CONVERSAO ESPACAMENTO DELTA AGRO 50CM P/ 25CM 36M CNH"/>
        <s v="MONITOR DELL 24 P2422H"/>
        <s v="ESMERILHADEIRA DEWALT 20V 4.1/2 DCG413B"/>
        <s v="INCUBADORA B.O.D 120L"/>
        <s v="AR CONDICIONADO GREE G-CLASSIC 9000 BTUS"/>
        <s v="CAMINHAO SCANIA R 540 A 6X4"/>
        <s v="CELULAR SAMSUNG GALAXY S23 5G 8GB RAM 256GB"/>
        <s v="LAVADORA JATO CHIAPERINI LJ 7000 FIXA TRI 5HP"/>
        <s v="SUPORTE ICAMENTO DE BAGS TRATORMASTER"/>
        <s v="CELULAR IPHONE 16 PRO MAX 256GB TITANIO PRETO"/>
        <s v="MAQUINA INVERSORA DE SOLDA ESAB TIG 200A LHN"/>
        <s v="ROCADEIRA A COMBUSTAO STIHL KA 120 2 FACAS 230"/>
        <s v="ROCADEIRA A COMBUSTAO STIHL FS 120 3 FACAS 250"/>
        <s v="NOTEBOOK DELL INSPIRON 15 3520 i7-1255U 16GB RAM 512GB SSD TELA 15.6"/>
        <s v="GUINCHO ELETRICO NAGANO 600/1200KG"/>
        <s v="RADIO HYTERA MD626 ANALG/DIGITAL"/>
        <s v="BOMBA P/ABASTECIMENTO COMBUSTIVEL 90LT/MIN"/>
        <s v="PROPULSORA PNEUMATICA BOZZA P/ OLEO 12021 Z"/>
        <s v="COLHEITADEIRA DE CAPIM CSC 2000 JUMBO 2025"/>
        <s v="CELULAR SAMSUNG GALAXY A35 256G"/>
        <s v="DETECTOR DE GASES BOSEAN PORTATIL"/>
        <s v="PROJETOR EPSON EPIQVISION FH02"/>
        <s v="KIT ABASTECIMENTO ARLA 230V FAZ JATOBA"/>
        <s v="IMPRESSORA HP 432"/>
        <s v="KIT ABASTECIMENTO ARLA 230V FAZ SANTO EXPEDITO"/>
        <s v="KIT ABASTECIMENTO ARLA 230V FAZ GRANDE LESTE"/>
        <s v="CASA DE BOMBA 1 PIVO 1-6 / GL"/>
        <s v="CASA DE BOMBA 2 PIVO 2-7 / GL"/>
        <s v="CASA DE BOMBA 3 PIVO 3-8 / GL"/>
        <s v="CASA DE BOMBA 4 PIVO 4-9 / GL"/>
        <s v="CASA DE BOMBA 5 PIVO 5-10 / GL"/>
        <s v="CASA DE BOMBA 6 PIVO 11-16 / GL"/>
        <s v="CASA DE BOMBA 7 PIVO 12-17 / GL"/>
        <s v="CASA DE BOMBA 8 PIVO 13-18 / GL"/>
        <s v="CASA DE BOMBA 9 PIVO 14-19 / GL"/>
        <s v="CASA DE BOMBA 10 PIVO 15-20 / GL"/>
        <s v="TORRE ESTAIADA 50M AUTO-SUSTENTAVEL TRIANGULAR"/>
        <s v="CAMINHONETE TOYOTA HILUX TOYOTA CD DSL POWER PACK AT"/>
        <s v="BENFEITORIA EM IMOVEL RURAL HANGAR FAZ. GRANDE LESTE"/>
        <s v="BENFEITORIA EM IMOVEL RURAL POSTO ABASTECIMENTO FAZ. GRANDE LESTE"/>
        <s v="REDE ELETRICA INFRAESTRUTURA FAZ. SANTA LUCIA"/>
        <s v="REDE ELETRICA IRRIGACAO INFRAESTRUTURA FAZ. SANTA LUCIA"/>
        <s v="BORRACHARIA BENFEITORIA FUNCIONAL FAZ. SANTA LUCIA"/>
        <s v="CAMARA FRIA BENFEITORIA FUNCIONAL FAZ. SANTA LUCIA"/>
        <s v="CABECOTE CHAVETEIRO MOTORIZADO PARA FRESADORA"/>
        <s v="CASA DO GERADOR FAZ. SANTA LUCIA BENFEITORIA FUNCIONAL"/>
        <s v="MAQUINA P/ CORTE DE MANGUEIRAS MHP MCM3600"/>
        <s v="MAQUINA P/ DESCASQUE DE MANGUEIRAS MHP MDM-1700"/>
        <s v="DESBOBINADOR MODULAR DE MANGUEIRAS MHP MADM-07BHF700"/>
        <s v="MAQUINA P/ PRENSAR MANGUEIRAS MHP MPT80EB"/>
        <s v="CEIFADEIRA MORI TRI 540 RPM"/>
        <s v="CEIFADEIRA DUPLA MORI CONJ 540 RPM"/>
        <s v="MONITOR DELL 21.5 E2222HS"/>
        <s v="PRENSA HIDRAULICA MARCON BANCADA 10 TON."/>
        <s v="REBOQUE DOLLY ALFASTEEL REBASDY 2E"/>
        <s v="CARGA SEMI-REBOQUE ALFASTEEL SRASBS 2E"/>
        <s v="CARGA SEMI-REBOQUE ALFASTEEL SRASBS 2B"/>
        <s v="BOMBA DEFEN JACTO JP100"/>
        <s v="DESCONTAMINADOR DE DEFENSIVOS IONIX 1000-61"/>
        <s v="TV TCL SMART 50 POL 4K UHD"/>
        <s v="DETECTOR DE GASES MAX XT II"/>
        <s v="RADIO MOTOROLA R2 VHF 136-174 MHZ"/>
        <s v="RADIO MOTOROLA DEM-300 VHF 136-174"/>
        <s v="RADIO MOTOROLA DEM-300 VHF 136-175"/>
        <s v="RADIO MOTOROLA DEM-300 VHF 136-176"/>
        <s v="RADIO MOTOROLA DEM-300 VHF 136-177"/>
        <s v="EMPILHADEIRA CLARK L35XE 7135 TSU"/>
        <s v="SISTEMA TELEMETRIA PARA IRRIGAÇÃO"/>
        <s v="MOTOBOMBEADOR EBARA BHSE10340-05"/>
        <s v="RADIO MOTOROLA DEM-300 VHF 136-178"/>
        <s v="TRATOR AGRICOLA CASE IH MAGNUM 340"/>
        <s v="TRATOR AGRICOLA CASE IH FARMALL 100"/>
        <s v="TRATOR AGRICOLA CASE IH FARMALL 110"/>
        <s v="ROCADEIRA A COMBUSTAO STIHL KA 120"/>
        <s v="MONITOR DELL 22'' E2222HS"/>
        <s v="DRONE DJI MINI 4 PRO FLY MORE COMBO"/>
        <s v="AR CONDICIONADO GREE G-TOP INVERTER 12000 BTU"/>
        <s v="SEPARADOR METRA ADS4000"/>
        <s v="DOSADOR E INJETOR DIFER 1000/24000"/>
        <s v="MONITOR DELL 22” E2222HS"/>
        <s v="PLANTADEIRA VADERSTAD TEMPO 26 LINHAS"/>
        <s v="STARLINK KIT V4"/>
        <s v="EMPILHADEIRA HELI DIESEL 2.5 TON"/>
        <s v="PLANTADEIRA DE ARRASTO STARA ESTRELA"/>
        <s v="CADEIRA DONATELA FENDI"/>
        <s v="DRONE XAG P150 DE PULVERIZACAO"/>
        <s v="FRIGOBAR INVERTER 67 LTS"/>
        <s v="FRIGOBAR INVERTER 93 LTS"/>
        <s v="GELADEIRA BRASTEMP BRM56FK 461 LTS"/>
        <s v="EQUIPAMENTO INDUSTRIAL FRIGORIFICO COLD LINE BRASIL"/>
        <s v="PULVERIZADOR DE ARRASTO DF 250 LT FAB PROPRIA"/>
        <s v="GARFO ENLEIRADOR 4MTS PA CARREGADEIRA W20"/>
        <m/>
        <s v="LAVADORA DE ALTA PRESSAO PS LAV 400" u="1"/>
        <s v="REBOQUE DOLLY 2 EIXOS CONVENCIONAL" u="1"/>
        <s v="CARRETA BASCULANTE GRANELEIRO" u="1"/>
        <s v="COMPUTADOR SERVIDOR PRECISION 3450 SFF I7 16GB 512SD" u="1"/>
        <s v="EQUIP HIDR IMAVI MOD. G-25C/TR. 3º EIXO" u="1"/>
        <s v="FREEZER HORIZONTAL GELOPAR PC 532L" u="1"/>
        <s v="KIT DRONE XAG P100 PRO" u="1"/>
        <s v="MAQUINA DE SOLDA BAMBOZZI" u="1"/>
        <s v="MAQUINA DE SOLDA ESAB 408" u="1"/>
        <s v="MAQUINA DE SOLDA FRICKE MERKLE BALMER B-400" u="1"/>
        <s v="INVERSORA P/SOLDA ESAB LHN 242 " u="1"/>
        <s v="MAQUINA INVERSORA DE SOLDA ESAB  BANTAM 180I  MOD 733115" u="1"/>
        <s v="MAQUINA DE SOLDA ESAB INVERSORA" u="1"/>
        <s v="MAQUINA DE SOLDA ESAB INVERSORA LHN 202i PLUS" u="1"/>
        <s v="MAQUINA DE SOLDA MIG ESAB 455 TOP FLEX" u="1"/>
        <s v="MAQUINA DE SOLDA MIG BRUTUS 350BR" u="1"/>
        <s v="INVERSORA P SOLDA ESAB LHN 242 PLUS" u="1"/>
        <s v="INVERSORA P/SOLDA ESAB LHN 242I PLUS" u="1"/>
        <s v="RETIFICADOR SOLDA ESAB ORIGOARC 455" u="1"/>
        <s v="INVERSORA P/SOLDA ESAB LHN 162" u="1"/>
        <s v="MAQ SOLDA MIG 150A 50/60HZ" u="1"/>
        <s v="MEDIDOR DE HUMIDADE" u="1"/>
        <s v="PLANTADEIRA PNEUMATICA VANDERSTAD TEMPO L" u="1"/>
        <s v="FORNO TURBO FLEX FTF-10E" u="1"/>
        <s v="SEMEADORA PLANTADEIRA MANTO VERDE" u="1"/>
        <s v="SEMEADORA ADUBADORA DE ARRASTO VENCE TUDO PAMPEANA" u="1"/>
        <s v="SOPRADOR STHIL BG 86C" u="1"/>
        <s v="ASPIRADOR DE PO E LIQUIDOS VONDER 75 LITROS APV2475" u="1"/>
        <s v="SOPRADOR DE SEMENTES DAKOT SOUTH" u="1"/>
        <s v="ASPIRADOR HIPER CLEAN 220V 2400W" u="1"/>
        <s v="BALANCA ELETRONICA AD500 MARTE" u="1"/>
        <s v="SOPRADOR DE SEMENTES DAKOTA SOUTH" u="1"/>
        <s v="SOPRADOR BG 86 101 76 JUSTI" u="1"/>
        <s v="ROÇADEIRA JM RUTD 2.0" u="1"/>
        <s v="EMBUTIDORA DE GRAOS" u="1"/>
        <s v="AR CONDICIONADO SPLIT 12000 BTUS" u="1"/>
        <s v="AR CONDICIONADO SPLIT 12000 BTUS GREE" u="1"/>
        <s v="ALEIRADOR MORI CONJ  DUO 540" u="1"/>
        <s v="BALANCA SEMI ANALITICA 510G MARTE" u="1"/>
        <s v="SOPRADOR DE SEM. SOUTH DAKOTA" u="1"/>
        <s v="CAMINHONETE FORD RANGER XLCD2D4M" u="1"/>
        <s v="BALANCA AD200 PRECISAO" u="1"/>
        <s v="AR CONDICIONADO BRAFORCE INVERTER 24V TETO" u="1"/>
        <s v="BALANCA INDUSTRIAL PROFIELD 2000KG" u="1"/>
        <s v="CAMINHAO SCANIA R-540 A 6X4" u="1"/>
        <s v="AR CONDICIONADO GREE SPLIT INVERTER 12000 BTUS" u="1"/>
        <s v="ALEIRADOR DUPLO MORI 540 RPM" u="1"/>
        <s v="AR CONDICIONADO GREE SPLIT 9000 BTUS" u="1"/>
        <s v="AR CONDICIONADO SPLIT 9.000 BTUS" u="1"/>
        <s v="AR CONDICIONADO GREE SPLIT GWC09QB" u="1"/>
        <s v="AR-CONDICIONADO SPLIT GREE 9000 G TOP GWC09QB" u="1"/>
        <s v="AR CONDICIONADO SPLIT 12.000 BTUS" u="1"/>
        <s v="AMASSEIRA AR25 G PANIZ" u="1"/>
        <s v="CAMINHAO SCANIA R 440 A6X4" u="1"/>
        <s v="RELOGIO DE PONTO CONTROL ID" u="1"/>
        <s v="INVESTIMENTO ADUTORAS / IRRIG GL" u="1"/>
        <s v="CARRETA CACAMBA TRITON 14TON" u="1"/>
        <s v="FREEZER GELOPAR VERTICAL C/GRADE GPC-57BR" u="1"/>
        <s v="LAVADORA DE ALTA PRESSAO JACTO J500 C/ MOTOR 3CV MONO" u="1"/>
        <s v="LAVADORA ALTA PRESSAO JACTO J500 C/ MOTOR 3CV MONO" u="1"/>
        <s v="FREEZER HORIZONTAL CONSUL 534 LITROS 2 PORTAS" u="1"/>
        <s v="TANQUE PRE MISTURA DIVISA 2.000 LTS INOX" u="1"/>
        <s v="LAVADORA ALTA PRESSAO STIHL RE110" u="1"/>
        <s v="LAVADORA DE ROUPA BRASTEMP BWK12" u="1"/>
        <s v="CAÇAMBA IMAVI" u="1"/>
        <s v="MONITOR MULTILASER 32 POL" u="1"/>
        <s v="AR CONDICIONADO SPLIT 9000 G TOP GWC09QB GREE" u="1"/>
        <s v="CHAVE IMPACTO DEWALT 20V" u="1"/>
        <s v="CHAVE IMPACTO DEWALT 1/2 20V" u="1"/>
        <s v="CHAVE DE IMPACTO 1/2 DCF889M2" u="1"/>
        <s v="CAMINHAO VOLVO VMX 360 HERCULES 24000 INOX ACOPLADO " u="1"/>
        <s v="COMPRESSOR DE AR 25 PES 250L" u="1"/>
        <s v="SISTEMA TELEMETRIA PARA GRAOS EM SILOS" u="1"/>
        <s v="AR CONDICIONADO 12000 BTUS" u="1"/>
        <s v="SISTEMA DE TELEMETRIA PIVO CENTRAL" u="1"/>
        <s v="COMPRESSOR" u="1"/>
        <s v="COMPRESSOR DE AR 20 PES 250L" u="1"/>
        <s v="COMPRESSOR PRESSURE INDUSTRIAL 250L" u="1"/>
        <s v="COMPRESSOR TECHTO PLATINUM TB20" u="1"/>
        <s v="COMPRESSOR PRESSURE" u="1"/>
        <s v="COMPRESSOR AR PRESSURE 60PCM-425 LTS" u="1"/>
        <s v="MOTOCOMPRESSOR DE AR 8,7 PES 2,0HP 50 LITROS 220V" u="1"/>
        <s v="FILTRO FLUIDO DE AR SCHULZ FS0125" u="1"/>
        <s v="HILUX CD DSL 4X4 POWER PACK" u="1"/>
        <s v="HILUX TOYOTA CD DIESEL 4x4 STD POWER PACK" u="1"/>
        <s v="FIAT STRADA ENDURANCE CP 1.4" u="1"/>
        <s v="HILUX CD DSL POWER PACK" u="1"/>
        <s v="HILUX CD 4X4 SR AT" u="1"/>
        <s v="HILUX TOYOTA CD DSL POWER PACK AT" u="1"/>
        <s v="RANGER CD 4X4  XLT" u="1"/>
        <s v="RANGER 2.0 4X4 XL" u="1"/>
        <s v="CARGA SEMI- REBOQUE ALFASTEEL REBASDY 2E" u="1"/>
        <s v="TRITURADOR DE RESTOS DE CULTURA HERDER FLV 800" u="1"/>
        <s v="GERADOR CUMMIS DC6 450KVA" u="1"/>
        <s v="TRITURADOR FORRAGEIRO GARTHEN GTI 2000 LD" u="1"/>
        <s v="PLATAFORMA DRAPER TERRAFLEX 3162 45 PES" u="1"/>
        <s v="PLATAFORMA PLANA FACCHINI 35 TON" u="1"/>
        <s v="ROCADEIRA DE ARRASTO" u="1"/>
        <s v="CARRETA COMBATE INCENDIO 12.500 LTS" u="1"/>
        <s v="CARRETA COMBATE INCENDIO 15500L MEPEL" u="1"/>
        <s v="CARRETA DE COMBATE INCENDIO MEPEL 15500 LTS" u="1"/>
        <s v="PIPA 6.300 LITROS" u="1"/>
        <s v="PLATAFORMA GRIMALDI 18 TONELADAS 6510" u="1"/>
        <s v="TRATOR AGRICOLA CASE STEIGER S580" u="1"/>
        <s v="PLANNER GTS 710" u="1"/>
        <s v="PLANNER GTS 310 HD" u="1"/>
        <s v="CARRETA PRANCHA RODOVIARIA" u="1"/>
        <s v="SEMI-REBOQUE FACCHINI CARREGA TUDO 03 EIXOS" u="1"/>
        <s v="GRADE PICADORA DEMOLIDOR DE DISCO RETO" u="1"/>
        <s v="SCANIA R 440 A6X4" u="1"/>
        <s v="CARRETA PRANCHA ROVOVIARIA" u="1"/>
        <s v="CORTADEIRA CAMIC MC220" u="1"/>
        <s v="CORTADEIRA KAJUMAQ KJ 2200" u="1"/>
        <s v="OZONIZADOR REINA DEGRADATOX FUNIL 600L" u="1"/>
        <s v="GUINCHO BAG TRASEIRO 2.2 TONELADAS" u="1"/>
        <s v="GUINCHO BAG TRITON TRASEIRO TR-819 2.2 TONELADAS" u="1"/>
        <s v="TRATOR AGRICOLA CASE STEIGER 420" u="1"/>
        <s v="PLATAFORMA PARA CORTE DE MILHO EAGLE PM 20L BOCUDA EAGLE" u="1"/>
        <s v="MAQUINA DE MEIO FIO MD-250 S" u="1"/>
        <s v="SEMEADORA ADUBADORA DE ARRASTO PAMPEANA" u="1"/>
        <s v="TRITURADOR DE PALHA MORI MODELO VT-250" u="1"/>
        <s v="SOPRADOR DE SEMENTES" u="1"/>
        <s v="CARRETA BASCULANTE GRANELEIRO NOMA" u="1"/>
        <s v="TRATADOR E REVESTIDOR DE SEMENTE MAQNEW" u="1"/>
        <s v="TRITURADOR PICADOR FORRAG HP/GUAR JUSTI" u="1"/>
        <s v="AUTOMACAO E TERMOMETRIA " u="1"/>
        <s v="GUINCHO HIDRAULICO MARCON 2TON" u="1"/>
        <s v="UBS 6000 M²" u="1"/>
        <s v="INVESTIMENTO POCOS / IRRIG GL" u="1"/>
        <s v="INVESTIMENTO OBRA CIVIL / IRRIG GL" u="1"/>
        <s v="CONJ DE MAQ PINHALENSE" u="1"/>
        <s v="HOMOGENEIZADOR DE SEMENTES" u="1"/>
        <s v="SISTEMA DE PULVERIZACAO SAVEFARM" u="1"/>
        <s v="FRESADORA 60HZ MR 9400" u="1"/>
        <s v="ELEVADOR UBS GL" u="1"/>
        <s v="BETONEIRA MAX 400 LTS 2CV MONOFASICO 1 TRACO" u="1"/>
        <s v="CEIFADEIRA DUPLA MORI 540 RPM" u="1"/>
        <s v="PRENSA HIDRAULICA BOVENAU BANCADA 10 TON." u="1"/>
        <s v="MOTOR BRANCO REFRIGERADO A AGUA" u="1"/>
        <s v="DISTRIBUIDOR DE SOQUEIRA TRITON" u="1"/>
        <s v="REBOQUE DOLLY 02 EIXOS CAMBAO RIGIDO" u="1"/>
        <s v="CHAVE DE IMPACTO PNEUMATICA PUMA 3/4 POL 120KG" u="1"/>
        <s v=" AMOSTRADOR DE SOLO" u="1"/>
        <s v="BASE CAIXA DAGUA " u="1"/>
        <s v="CASA GERADOR 3 M²" u="1"/>
        <s v=" ALOJAMENTO 3 450 M" u="1"/>
        <s v="TV SEMP TOSHIBA LED 49 POL" u="1"/>
        <s v="TRATOR CASE MAGNUM 290" u="1"/>
        <s v="TRATOR JOHN DEERE 5065E" u="1"/>
        <s v="TRATOR JOHN DEERE 6125" u="1"/>
        <s v="TRATOR MASSEY FERGUSON MF275" u="1"/>
        <s v="TRATOR NEW HOLAND 7630" u="1"/>
        <s v="TRATOR JOHN DEERE 6100E" u="1"/>
        <s v="TRATOR STEIGER 420 HD" u="1"/>
        <s v="TRATOR CASE IH PUMA 230" u="1"/>
        <s v="TRATOR CASE STEIGER 420" u="1"/>
        <s v="PISTA AVIAO " u="1"/>
        <s v="POCO SEDE / SE" u="1"/>
        <s v="AMPLIAÇÃO PRE-LIMPEZA EQU-154 " u="1"/>
        <s v="RAMPA DE LAVAGEM  40 M²" u="1"/>
        <s v="REFORMA ALOJAMENTO 1 " u="1"/>
        <s v="REFORMA ALOJAMENTO 2 " u="1"/>
        <s v=" REFORMA CANTINA / GL" u="1"/>
        <s v="REFORMA CASA 1 / GL" u="1"/>
        <s v="INVESTIMENTO REDE ELETRICA / IRRIG GL" u="1"/>
        <s v="INVESTIMENTO RESERVATORIO / IRRIG GL" u="1"/>
        <s v="REDE DE ALTA TENSAO INFRAESTRUTURA ELETRICA FAZ. SANTA LUCIA" u="1"/>
        <s v="REDE DE BAIXA TENSAO INFRAESTRUTURA ELETRICA FAZ. SANTA LUCIA" u="1"/>
      </sharedItems>
    </cacheField>
    <cacheField name="FORNECEDOR/CLIENTE" numFmtId="0">
      <sharedItems containsBlank="1"/>
    </cacheField>
    <cacheField name="CNPJ" numFmtId="0">
      <sharedItems containsBlank="1"/>
    </cacheField>
    <cacheField name="DATA EMISSÃO" numFmtId="14">
      <sharedItems containsNonDate="0" containsDate="1" containsString="0" containsBlank="1" minDate="1899-12-30T00:00:00" maxDate="2026-01-28T00:00:00"/>
    </cacheField>
    <cacheField name="VALOR" numFmtId="0">
      <sharedItems containsBlank="1" containsMixedTypes="1" containsNumber="1" minValue="0" maxValue="9671576.25"/>
    </cacheField>
    <cacheField name="ADESIVADO" numFmtId="0">
      <sharedItems containsBlank="1"/>
    </cacheField>
    <cacheField name="FAZEND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27">
  <r>
    <s v="VEI-0045"/>
    <s v="IS000001"/>
    <m/>
    <n v="1511285"/>
    <s v="Classe para Veiculos"/>
    <s v="RCS8B96"/>
    <s v="9BM958478LB186083"/>
    <x v="0"/>
    <s v="MERCEDES-BENZ DO BRASIL LTDA"/>
    <s v="VIA CARGA"/>
    <d v="2010-08-20T00:00:00"/>
    <n v="449715"/>
    <s v="OK"/>
    <m/>
  </r>
  <r>
    <s v="IMO-031"/>
    <s v="IS000002"/>
    <m/>
    <s v="TERRAS "/>
    <s v="Classe para Terras"/>
    <s v="SEM PLACA"/>
    <s v="SEM CHASSI"/>
    <x v="1"/>
    <m/>
    <m/>
    <d v="2011-01-07T00:00:00"/>
    <n v="5160000"/>
    <s v="IMOVEL RURAL E INSTALAÇÕES "/>
    <m/>
  </r>
  <r>
    <s v="IMO-032"/>
    <s v="IS000003"/>
    <m/>
    <s v="TERRAS "/>
    <s v="Classe para Terras"/>
    <s v="SEM PLACA"/>
    <s v="SEM CHASSI"/>
    <x v="2"/>
    <m/>
    <m/>
    <d v="2011-01-07T00:00:00"/>
    <n v="1000000"/>
    <s v="IMOVEL RURAL E INSTALAÇÕES "/>
    <m/>
  </r>
  <r>
    <s v="IMO-033"/>
    <s v="IS000004"/>
    <m/>
    <s v="TERRAS "/>
    <s v="Classe para Terras"/>
    <s v="SEM PLACA"/>
    <s v="SEM CHASSI"/>
    <x v="3"/>
    <m/>
    <m/>
    <d v="2011-01-07T00:00:00"/>
    <n v="300000"/>
    <s v="IMOVEL RURAL E INSTALAÇÕES "/>
    <m/>
  </r>
  <r>
    <s v="IMO-045"/>
    <s v="IS000005"/>
    <m/>
    <s v="TERRAS "/>
    <s v="Classe para Terras"/>
    <s v="SEM PLACA"/>
    <s v="SEM CHASSI"/>
    <x v="4"/>
    <m/>
    <m/>
    <d v="2011-01-14T00:00:00"/>
    <n v="50000"/>
    <s v="IMOVEL RURAL E INSTALAÇÕES "/>
    <m/>
  </r>
  <r>
    <s v="IMO-050"/>
    <s v="IS000006"/>
    <m/>
    <s v="TERRAS "/>
    <s v="Classe para Terras"/>
    <s v="SEM PLACA"/>
    <s v="SEM CHASSI"/>
    <x v="5"/>
    <m/>
    <m/>
    <d v="2011-01-14T00:00:00"/>
    <n v="80000"/>
    <s v="IMOVEL RURAL E INSTALAÇÕES "/>
    <m/>
  </r>
  <r>
    <s v="EQU-0110"/>
    <s v="IS000007"/>
    <m/>
    <s v="NOTA NÃO ENCONTRADA"/>
    <s v="Classe para Equip. Diversos"/>
    <s v="SEM PLACA"/>
    <s v="SEM CHASSI"/>
    <x v="6"/>
    <m/>
    <s v="NOTA NÃO ENCONTRADA"/>
    <d v="2011-02-28T00:00:00"/>
    <n v="3843"/>
    <m/>
    <m/>
  </r>
  <r>
    <s v="TRA-0028"/>
    <s v="IS000008"/>
    <m/>
    <s v="NOTA NÃO ENCONTRADA"/>
    <s v="Classe para Maquinas Implementos  Agricola Fz St Expedito"/>
    <s v="SEM PLACA"/>
    <n v="275020382"/>
    <x v="7"/>
    <s v="NOTA NÃO ENCONTRADA"/>
    <s v="NOTA NÃO ENCONTRADA"/>
    <d v="2011-03-26T00:00:00"/>
    <n v="20000"/>
    <s v="OK"/>
    <s v="SANTO EXPEDITO"/>
  </r>
  <r>
    <s v="TRA-0029"/>
    <s v="IS000009"/>
    <m/>
    <s v="NOTA NÃO ENCONTRADA"/>
    <s v="Classe para Maquinas Implementos  Agricola Fz Santa Lucia"/>
    <s v="SEM PLACA"/>
    <s v="ZACA72889"/>
    <x v="8"/>
    <s v="NOTA NÃO ENCONTRADA"/>
    <s v="NOTA NÃO ENCONTRADA"/>
    <d v="2011-03-31T00:00:00"/>
    <n v="104000"/>
    <s v="OK"/>
    <s v="SANTO EXPEDITO"/>
  </r>
  <r>
    <s v="IMP-0009"/>
    <s v="IS000010"/>
    <m/>
    <s v="NOTA NÃO ENCONTRADA"/>
    <s v="Classe para Maq. Imp Agricola"/>
    <s v="SEM PLACA"/>
    <s v="SEM CHASSI"/>
    <x v="9"/>
    <s v="NOTA NÃO ENCONTRADA"/>
    <s v="NOTA NÃO ENCONTRADA"/>
    <d v="2011-04-01T00:00:00"/>
    <n v="17110"/>
    <s v="OK"/>
    <s v="SANTO EXPEDITO"/>
  </r>
  <r>
    <s v="TRA-0023"/>
    <s v="IS000011"/>
    <m/>
    <s v="NOTA NÃO ENCONTRADA"/>
    <s v="Classe para Maquinas Implementos  Agricola Fz Santa Lucia"/>
    <s v="SEM PLACA"/>
    <s v="1BM6125JPBD000492"/>
    <x v="10"/>
    <s v="NOTA NÃO ENCONTRADA"/>
    <s v="NOTA NÃO ENCONTRADA"/>
    <d v="2011-05-18T00:00:00"/>
    <n v="120000"/>
    <s v="OK"/>
    <m/>
  </r>
  <r>
    <s v="IMP-0084"/>
    <s v="IS000012"/>
    <m/>
    <s v="NOTA NÃO ENCONTRADA"/>
    <s v="Classe para Maquinas Implementos  Agricola Fz St Expedito"/>
    <s v="SEM PLACA"/>
    <s v="SEM CHASSI"/>
    <x v="9"/>
    <s v="NOTA NÃO ENCONTRADA"/>
    <s v="NOTA NÃO ENCONTRADA"/>
    <d v="2011-06-02T00:00:00"/>
    <n v="7000"/>
    <m/>
    <m/>
  </r>
  <r>
    <s v="EQU-0146"/>
    <s v="IS000013"/>
    <m/>
    <s v="NOTA NÃO ENCONTRADA"/>
    <s v="Classe para Equip. Diversos"/>
    <s v="SEM PLACA"/>
    <s v="SEM CHASSI"/>
    <x v="11"/>
    <s v="NOTA NÃO ENCONTRADA"/>
    <s v="NOTA NÃO ENCONTRADA"/>
    <d v="2011-07-13T00:00:00"/>
    <n v="12931"/>
    <m/>
    <m/>
  </r>
  <r>
    <s v="IMO-042"/>
    <s v="IS000014"/>
    <m/>
    <s v="TERRAS "/>
    <s v="Classe para Terras"/>
    <s v="SEM PLACA"/>
    <s v="SEM CHASSI"/>
    <x v="12"/>
    <m/>
    <m/>
    <d v="2011-07-13T00:00:00"/>
    <n v="38650.5"/>
    <s v="IMOVEL RURAL E INSTALAÇÕES "/>
    <m/>
  </r>
  <r>
    <s v="IS000015"/>
    <s v="IS000015"/>
    <m/>
    <s v="IMOVEIS"/>
    <s v="Classe para Imoveis Santa Lucia"/>
    <s v="SEM PLACA"/>
    <s v="SEM CHASSI"/>
    <x v="13"/>
    <m/>
    <m/>
    <d v="2011-08-26T00:00:00"/>
    <n v="2897000"/>
    <s v="IMOVEL RURAL E INSTALAÇÕES "/>
    <s v="SANTA LUCIA"/>
  </r>
  <r>
    <s v="IMP-0069"/>
    <s v="IS000016"/>
    <m/>
    <s v="NOTA NÃO ENCONTRADA"/>
    <s v="Classe para Equip. Diversos"/>
    <s v="SEM PLACA"/>
    <s v="SEM CHASSI"/>
    <x v="14"/>
    <s v="NOTA NÃO ENCONTRADA"/>
    <s v="NOTA NÃO ENCONTRADA"/>
    <d v="2011-09-12T00:00:00"/>
    <n v="18000"/>
    <s v="OK"/>
    <s v="SANTO EXPEDITO"/>
  </r>
  <r>
    <s v="EQU-0014"/>
    <s v="IS000017"/>
    <m/>
    <s v="NOTA NÃO ENCONTRADA"/>
    <s v="Classe para Equip. Oficina"/>
    <s v="SEM PLACA"/>
    <s v="SEM CHASSI"/>
    <x v="15"/>
    <s v="NOTA NÃO ENCONTRADA"/>
    <s v="NOTA NÃO ENCONTRADA"/>
    <d v="2011-10-07T00:00:00"/>
    <n v="10000"/>
    <m/>
    <m/>
  </r>
  <r>
    <s v="IS000018"/>
    <s v="IS000018"/>
    <m/>
    <s v="IMOVEIS"/>
    <s v="Classe para Imoveis Santa Lucia"/>
    <s v="SEM PLACA"/>
    <s v="SEM CHASSI"/>
    <x v="16"/>
    <m/>
    <m/>
    <d v="2024-09-30T00:00:00"/>
    <n v="221814"/>
    <s v="IMOVEL RURAL E INSTALAÇÕES "/>
    <m/>
  </r>
  <r>
    <s v="IMP-0036"/>
    <s v="IS000019"/>
    <m/>
    <s v="NOTA NÃO ENCONTRADA"/>
    <s v="Classe para Maq. Imp Agricola"/>
    <s v="SEM PLACA"/>
    <s v="SEM CHASSI"/>
    <x v="17"/>
    <s v="NOTA NÃO ENCONTRADA"/>
    <s v="NOTA NÃO ENCONTRADA"/>
    <d v="2011-12-18T00:00:00"/>
    <n v="10000"/>
    <s v="OK"/>
    <s v="JATOBA"/>
  </r>
  <r>
    <s v="IMO-040"/>
    <s v="IS000020"/>
    <m/>
    <s v="TERRAS "/>
    <s v="Classe para Terras"/>
    <s v="SEM PLACA"/>
    <s v="SEM CHASSI"/>
    <x v="18"/>
    <m/>
    <m/>
    <d v="1899-12-30T00:00:00"/>
    <n v="2160000"/>
    <s v="IMOVEL RURAL E INSTALAÇÕES "/>
    <m/>
  </r>
  <r>
    <s v="EQU-0029"/>
    <s v="IS000021"/>
    <m/>
    <s v="NOTA NÃO ENCONTRADA"/>
    <s v="Classe para Equip. Oficina Fz Santa Lucia"/>
    <s v="SEM PLACA"/>
    <s v="SEM CHASSI"/>
    <x v="19"/>
    <s v="NOTA NÃO ENCONTRADA"/>
    <s v="NOTA NÃO ENCONTRADA"/>
    <d v="2012-02-14T00:00:00"/>
    <n v="25000"/>
    <s v="OK"/>
    <m/>
  </r>
  <r>
    <s v="EQU-0111"/>
    <s v="IS000022"/>
    <m/>
    <s v="NOTA NÃO ENCONTRADA"/>
    <s v="Classe para Equip. Diversos"/>
    <s v="SEM PLACA"/>
    <s v="SEM CHASSI"/>
    <x v="20"/>
    <s v="NOTA NÃO ENCONTRADA"/>
    <s v="NOTA NÃO ENCONTRADA"/>
    <d v="2012-02-21T00:00:00"/>
    <n v="8900"/>
    <m/>
    <m/>
  </r>
  <r>
    <s v="IMO-046"/>
    <s v="IS000023"/>
    <m/>
    <s v="IMOVEIS"/>
    <s v="Classe para Imoveis Grande Leste"/>
    <s v="SEM PLACA"/>
    <s v="SEM CHASSI"/>
    <x v="21"/>
    <m/>
    <m/>
    <d v="2024-09-30T00:00:00"/>
    <n v="2826000"/>
    <s v="IMOVEL RURAL E INSTALAÇÕES "/>
    <s v="GRANDE LESTE"/>
  </r>
  <r>
    <s v="IMO-047"/>
    <s v="IS000024"/>
    <m/>
    <s v="TERRAS "/>
    <s v="Classe para Terras"/>
    <s v="SEM PLACA"/>
    <s v="SEM CHASSI"/>
    <x v="22"/>
    <m/>
    <m/>
    <d v="2012-04-09T00:00:00"/>
    <n v="5250000"/>
    <s v="IMOVEL RURAL E INSTALAÇÕES "/>
    <s v="GRANDE LESTE"/>
  </r>
  <r>
    <s v="IMP-0045"/>
    <s v="IS000025"/>
    <m/>
    <s v="NOTA NÃO ENCONTRADA"/>
    <s v="Classe para Maquinas Implementos  Agricola Fz St Expedito"/>
    <s v="SEM PLACA"/>
    <s v="TMV00048200A00AN02012"/>
    <x v="23"/>
    <s v="NOTA NÃO ENCONTRADA"/>
    <s v="NOTA NÃO ENCONTRADA"/>
    <d v="2012-04-09T00:00:00"/>
    <n v="75000"/>
    <s v="OK"/>
    <s v="JATOBA"/>
  </r>
  <r>
    <s v="IMP-0046"/>
    <s v="IS000026"/>
    <m/>
    <s v="NOTA NÃO ENCONTRADA"/>
    <s v="Classe para Maquinas Implementos  Agricola Fz St Expedito"/>
    <s v="SEM PLACA"/>
    <s v="TMV00012000B00"/>
    <x v="23"/>
    <s v="NOTA NÃO ENCONTRADA"/>
    <s v="NOTA NÃO ENCONTRADA"/>
    <d v="2012-04-09T00:00:00"/>
    <n v="50000"/>
    <s v="OK"/>
    <s v="SANTO EXPEDITO"/>
  </r>
  <r>
    <s v="IS000027"/>
    <s v="IS000027"/>
    <m/>
    <n v="2718"/>
    <s v="Classe para Informatica e Comunicaçao"/>
    <s v="SEM PLACA"/>
    <s v="SEM CHASSI"/>
    <x v="24"/>
    <s v="MELLO E MELLO TECNOLOGIA LTDA"/>
    <s v="24.923.049/0001-84"/>
    <d v="2025-08-14T00:00:00"/>
    <n v="1131"/>
    <m/>
    <s v="ESCRITORIO CENTRAL"/>
  </r>
  <r>
    <s v="IS000028"/>
    <s v="IS000028"/>
    <m/>
    <n v="604"/>
    <s v="Classe para equip. Diversos Fz Grande Leste"/>
    <s v="SEM PLACA"/>
    <s v="SEM CHASSI"/>
    <x v="25"/>
    <s v="EBARA BOMBAS AMERICA DO SUL LTDA - LEM"/>
    <s v="46.138.319/0013-12"/>
    <d v="2025-08-25T00:00:00"/>
    <n v="164532.54999999999"/>
    <m/>
    <s v="GRANDE LESTE"/>
  </r>
  <r>
    <s v="MVU-0027"/>
    <s v="IS000029"/>
    <m/>
    <s v="NOTA NÃO ENCONTRADA"/>
    <s v="Classe para Moveis e Utensilios Fz Santa Lucia"/>
    <s v="SEM PLACA"/>
    <s v="SEM CHASSI"/>
    <x v="26"/>
    <s v="NOTA NÃO ENCONTRADA"/>
    <s v="NOTA NÃO ENCONTRADA"/>
    <d v="2012-04-20T00:00:00"/>
    <n v="2165"/>
    <s v="OK"/>
    <m/>
  </r>
  <r>
    <s v="EQU-0019"/>
    <s v="IS000030"/>
    <m/>
    <s v="NOTA NÃO ENCONTRADA"/>
    <s v="Classe para Equip. Diversos Fz Santa Lucia"/>
    <s v="SEM PLACA"/>
    <s v="SEM CHASSI"/>
    <x v="27"/>
    <s v="NOTA NÃO ENCONTRADA"/>
    <s v="NOTA NÃO ENCONTRADA"/>
    <d v="2012-04-27T00:00:00"/>
    <n v="100000"/>
    <s v="OK"/>
    <m/>
  </r>
  <r>
    <s v="EQU-0141"/>
    <s v="IS000031"/>
    <m/>
    <s v="NOTA NÃO ENCONTRADA"/>
    <s v="Classe para Equip. Oficina Fz Santa Lucia"/>
    <s v="SEM PLACA"/>
    <s v="SEM CHASSI"/>
    <x v="28"/>
    <s v="NOTA NÃO ENCONTRADA"/>
    <s v="NOTA NÃO ENCONTRADA"/>
    <d v="2012-06-22T00:00:00"/>
    <n v="2296.44"/>
    <m/>
    <m/>
  </r>
  <r>
    <s v="MVU-0033"/>
    <s v="IS000032"/>
    <m/>
    <n v="29698"/>
    <s v="Classe para Moveis e Utensilios"/>
    <s v="SEM PLACA"/>
    <s v="SEM CHASSI"/>
    <x v="29"/>
    <s v="EXCLUSIVA UTILIDADES E EMBALAGENS LTDA"/>
    <s v="04.023.539/0001-17"/>
    <d v="2025-11-24T00:00:00"/>
    <n v="3000"/>
    <m/>
    <m/>
  </r>
  <r>
    <s v="IMP-0080"/>
    <s v="IS000033"/>
    <m/>
    <s v="NOTA NÃO ENCONTRADA"/>
    <s v="Classe para Maq. Imp Agricola"/>
    <s v="SEM PLACA"/>
    <s v="SEM CHASSI"/>
    <x v="30"/>
    <s v="NOTA NÃO ENCONTRADA"/>
    <s v="NOTA NÃO ENCONTRADA"/>
    <d v="2012-09-04T00:00:00"/>
    <n v="7500"/>
    <m/>
    <m/>
  </r>
  <r>
    <s v="EQU-0027"/>
    <s v="IS000034"/>
    <m/>
    <s v="NOTA NÃO ENCONTRADA"/>
    <s v="Classe para Equip. Oficina"/>
    <s v="SEM PLACA"/>
    <s v="SEM CHASSI"/>
    <x v="31"/>
    <s v="NOTA NÃO ENCONTRADA"/>
    <s v="NOTA NÃO ENCONTRADA"/>
    <d v="2012-09-08T00:00:00"/>
    <n v="3450"/>
    <m/>
    <m/>
  </r>
  <r>
    <s v="IMP-0085"/>
    <s v="IS000035"/>
    <m/>
    <s v="NOTA NÃO ENCONTRADA"/>
    <s v="Classe para Maq. Imp Agricola"/>
    <s v="SEM PLACA"/>
    <s v="SEM CHASSI"/>
    <x v="32"/>
    <s v="NOTA NÃO ENCONTRADA"/>
    <s v="NOTA NÃO ENCONTRADA"/>
    <d v="2012-09-21T00:00:00"/>
    <n v="5000"/>
    <m/>
    <m/>
  </r>
  <r>
    <s v="EQU-0147"/>
    <s v="IS000036"/>
    <m/>
    <s v="NOTA NÃO ENCONTRADA"/>
    <s v="Classe para Equip. Diversos"/>
    <s v="SEM PLACA"/>
    <s v="SEM CHASSI"/>
    <x v="20"/>
    <s v="NOTA NÃO ENCONTRADA"/>
    <s v="NOTA NÃO ENCONTRADA"/>
    <d v="2012-10-02T00:00:00"/>
    <n v="9485"/>
    <m/>
    <m/>
  </r>
  <r>
    <s v="IMP-0189"/>
    <s v="IS000037"/>
    <m/>
    <s v="NOTA NÃO ENCONTRADA"/>
    <s v="Classe para Maq. Imp Agricola"/>
    <s v="SEM PLACA"/>
    <s v="SEM CHASSI"/>
    <x v="33"/>
    <s v="NOTA NÃO ENCONTRADA"/>
    <s v="NOTA NÃO ENCONTRADA"/>
    <d v="2012-10-08T00:00:00"/>
    <n v="2000"/>
    <s v="OK"/>
    <s v="SANTA LUCIA"/>
  </r>
  <r>
    <s v="IMP-0086"/>
    <s v="IS000038"/>
    <m/>
    <s v="NOTA NÃO ENCONTRADA"/>
    <s v="Classe para Maq. Imp Agricola"/>
    <s v="SEM PLACA"/>
    <s v="SEM CHASSI"/>
    <x v="34"/>
    <s v="NOTA NÃO ENCONTRADA"/>
    <s v="NOTA NÃO ENCONTRADA"/>
    <d v="2012-11-01T00:00:00"/>
    <n v="50000"/>
    <m/>
    <m/>
  </r>
  <r>
    <s v="EQU-0023"/>
    <s v="IS000039"/>
    <m/>
    <s v="NOTA NÃO ENCONTRADA"/>
    <s v="Classe para Equip. Diversos Fz Santa Lucia"/>
    <s v="SEM PLACA"/>
    <s v="SEM CHASSI"/>
    <x v="35"/>
    <s v="NOTA NÃO ENCONTRADA"/>
    <s v="NOTA NÃO ENCONTRADA"/>
    <d v="2013-01-28T00:00:00"/>
    <n v="4000"/>
    <s v="OK"/>
    <s v="SANTA LUCIA"/>
  </r>
  <r>
    <s v="EQU-0002"/>
    <s v="IS000040"/>
    <m/>
    <s v="NOTA NÃO ENCONTRADA"/>
    <s v="Classe para Equip. Diversos"/>
    <s v="SEM PLACA"/>
    <s v="SEM CHASSI"/>
    <x v="36"/>
    <s v="NOTA NÃO ENCONTRADA"/>
    <s v="NOTA NÃO ENCONTRADA"/>
    <d v="2013-02-19T00:00:00"/>
    <n v="623.28"/>
    <s v="OK"/>
    <s v="GRANDE LESTE"/>
  </r>
  <r>
    <s v="EQU-0030"/>
    <s v="IS000041"/>
    <m/>
    <s v="NOTA NÃO ENCONTRADA"/>
    <s v="Classe para Equip. Diversos"/>
    <s v="SEM PLACA"/>
    <s v="SEM CHASSI"/>
    <x v="37"/>
    <s v="NOTA NÃO ENCONTRADA"/>
    <s v="NOTA NÃO ENCONTRADA"/>
    <d v="2013-02-19T00:00:00"/>
    <n v="1779.08"/>
    <m/>
    <m/>
  </r>
  <r>
    <s v="IMP-0050"/>
    <s v="IS000042"/>
    <m/>
    <s v="NOTA NÃO ENCONTRADA"/>
    <s v="Classe para Equip. Diversos"/>
    <s v="SEM PLACA"/>
    <s v="SEM CHASSI"/>
    <x v="38"/>
    <s v="NOTA NÃO ENCONTRADA"/>
    <s v="NOTA NÃO ENCONTRADA"/>
    <d v="2013-02-22T00:00:00"/>
    <n v="6000"/>
    <m/>
    <m/>
  </r>
  <r>
    <s v="IMP-0064"/>
    <s v="IS000043"/>
    <m/>
    <s v="NOTA NÃO ENCONTRADA"/>
    <s v="Classe para Equip. Diversos"/>
    <s v="SEM PLACA"/>
    <s v="SEM CHASSI"/>
    <x v="38"/>
    <s v="NOTA NÃO ENCONTRADA"/>
    <s v="NOTA NÃO ENCONTRADA"/>
    <d v="2013-02-22T00:00:00"/>
    <n v="6000"/>
    <m/>
    <m/>
  </r>
  <r>
    <s v="IMP-0018"/>
    <s v="IS000044"/>
    <m/>
    <n v="154536"/>
    <s v="Classe para Maquinas Implementos  Agricola Fz St Expedito"/>
    <s v="SEM PLACA"/>
    <n v="15955113"/>
    <x v="39"/>
    <s v="VIA CARGA"/>
    <s v="VIA CARGA"/>
    <d v="2013-03-06T00:00:00"/>
    <n v="123500"/>
    <s v="OK"/>
    <s v="SANTO EXPEDITO"/>
  </r>
  <r>
    <s v="IMP-0093"/>
    <s v="IS000045"/>
    <m/>
    <s v="NOTA NÃO ENCONTRADA"/>
    <s v="Classe para Maq. Imp Agricola"/>
    <s v="SEM PLACA"/>
    <s v="SEM CHASSI"/>
    <x v="40"/>
    <s v="NOTA NÃO ENCONTRADA"/>
    <s v="NOTA NÃO ENCONTRADA"/>
    <d v="2013-04-01T00:00:00"/>
    <n v="20000"/>
    <m/>
    <m/>
  </r>
  <r>
    <s v="IMP-0011"/>
    <s v="IS000046"/>
    <m/>
    <s v="NOTA NÃO ENCONTRADA"/>
    <s v="Classe para Maquinas Implementos  Agricola Fz Jatoba"/>
    <s v="SEM PLACA"/>
    <n v="3074"/>
    <x v="41"/>
    <s v="NOTA NÃO ENCONTRADA"/>
    <s v="NOTA NÃO ENCONTRADA"/>
    <d v="2013-07-17T00:00:00"/>
    <n v="50000"/>
    <s v="OK"/>
    <s v="GRANDE LESTE"/>
  </r>
  <r>
    <s v="IMP-0070"/>
    <s v="IS000047"/>
    <m/>
    <s v="NOTA NÃO ENCONTRADA"/>
    <s v="Classe para Equip. Diversos"/>
    <s v="SEM PLACA"/>
    <s v="SEM CHASSI"/>
    <x v="42"/>
    <s v="NOTA NÃO ENCONTRADA"/>
    <s v="NOTA NÃO ENCONTRADA"/>
    <d v="2013-07-19T00:00:00"/>
    <n v="15000"/>
    <s v="                                                  "/>
    <m/>
  </r>
  <r>
    <s v="IMO-044"/>
    <s v="IS000048"/>
    <m/>
    <s v="TERRAS "/>
    <s v="Classe para Terras"/>
    <s v="SEM PLACA"/>
    <s v="SEM CHASSI"/>
    <x v="43"/>
    <m/>
    <m/>
    <d v="2013-08-22T00:00:00"/>
    <n v="383000"/>
    <s v="IMOVEL RURAL E INSTALAÇÕES "/>
    <m/>
  </r>
  <r>
    <s v="TRA-0003"/>
    <s v="IS000049"/>
    <m/>
    <n v="41585"/>
    <s v="Classe para Maquinas Implementos  Agricola Fz Santa Lucia"/>
    <s v="SEM PLACA"/>
    <s v="HCCZM290CDCM07898"/>
    <x v="44"/>
    <s v="MAXUM MAQUINAS E EQUIPAMENTOS LTDA"/>
    <s v="VIA CARGA"/>
    <d v="2013-08-27T00:00:00"/>
    <n v="355000"/>
    <s v="OK"/>
    <s v="SANTO EXPEDITO"/>
  </r>
  <r>
    <s v="IMP-0038"/>
    <s v="IS000050"/>
    <m/>
    <s v="NOTA NÃO ENCONTRADA"/>
    <s v="Classe para Equip. Diversos"/>
    <s v="SEM PLACA"/>
    <s v="SEM CHASSI"/>
    <x v="45"/>
    <s v="NOTA NÃO ENCONTRADA"/>
    <s v="NOTA NÃO ENCONTRADA"/>
    <d v="2013-09-29T00:00:00"/>
    <n v="4629"/>
    <m/>
    <m/>
  </r>
  <r>
    <s v="IMP-0034"/>
    <s v="IS000051"/>
    <m/>
    <s v="NOTA NÃO ENCONTRADA"/>
    <s v="Classe para Equip. Diversos"/>
    <s v="SEM PLACA"/>
    <s v="SEM CHASSI"/>
    <x v="38"/>
    <s v="NOTA NÃO ENCONTRADA"/>
    <s v="NOTA NÃO ENCONTRADA"/>
    <d v="2013-11-20T00:00:00"/>
    <n v="10000"/>
    <s v="OK"/>
    <s v="SANTA LUCIA"/>
  </r>
  <r>
    <s v="IMP-0067"/>
    <s v="IS000052"/>
    <m/>
    <s v="NOTA NÃO ENCONTRADA"/>
    <s v="Classe para Equip. Diversos"/>
    <s v="SEM PLACA"/>
    <s v="SEM CHASSI"/>
    <x v="38"/>
    <s v="NOTA NÃO ENCONTRADA"/>
    <s v="NOTA NÃO ENCONTRADA"/>
    <d v="2013-11-20T00:00:00"/>
    <n v="10000"/>
    <m/>
    <m/>
  </r>
  <r>
    <s v="MVU-0043"/>
    <s v="IS000053"/>
    <m/>
    <n v="46973"/>
    <s v="Classe para Moveis e Utensilios Fz Santa Lucia"/>
    <s v="SEM PLACA"/>
    <s v="SEM CHASSI"/>
    <x v="46"/>
    <s v="Nosso Lar Lojas de Departamentos Ltda-Lj111"/>
    <s v="00.607.587/0029-00"/>
    <d v="2025-11-04T00:00:00"/>
    <n v="1713"/>
    <m/>
    <m/>
  </r>
  <r>
    <s v="MVU-0044"/>
    <s v="IS000054"/>
    <m/>
    <n v="46973"/>
    <s v="Classe para Moveis e Utensilios Fz Santa Lucia"/>
    <s v="SEM PLACA"/>
    <s v="SEM CHASSI"/>
    <x v="46"/>
    <s v="Nosso Lar Lojas de Departamentos Ltda-Lj111"/>
    <s v="00.607.587/0029-00"/>
    <d v="2025-11-04T00:00:00"/>
    <n v="1713"/>
    <m/>
    <m/>
  </r>
  <r>
    <s v="IMP-0004"/>
    <s v="IS000055"/>
    <m/>
    <s v="NOTA NÃO ENCONTRADA"/>
    <s v="Classe para Maq. Imp Agricola"/>
    <s v="SEM PLACA"/>
    <s v="SEM CHASSI"/>
    <x v="47"/>
    <s v="NOTA NÃO ENCONTRADA"/>
    <s v="NOTA NÃO ENCONTRADA"/>
    <d v="2013-12-26T00:00:00"/>
    <n v="30000"/>
    <s v="OK"/>
    <s v="SANTO EXPEDITO"/>
  </r>
  <r>
    <s v="IS000056"/>
    <s v="IS000056"/>
    <m/>
    <n v="31931"/>
    <s v="Classe para Informatica e Comunicaçao Fz Grande Leste"/>
    <s v="SEM PLACA"/>
    <s v="SEM CHASSI"/>
    <x v="48"/>
    <s v="TECNOSUL COMPANY LTDA"/>
    <s v="26.037.394/0001-46"/>
    <d v="2025-08-18T00:00:00"/>
    <n v="1705.2"/>
    <m/>
    <s v="GRANDE LESTE"/>
  </r>
  <r>
    <s v="IMP-0073"/>
    <s v="IS000057"/>
    <m/>
    <s v="NOTA NÃO ENCONTRADA"/>
    <s v="Classe para Maq. Imp Agricola"/>
    <s v="SEM PLACA"/>
    <s v="SEM CHASSI"/>
    <x v="49"/>
    <s v="NOTA NÃO ENCONTRADA"/>
    <s v="NOTA NÃO ENCONTRADA"/>
    <d v="2014-02-27T00:00:00"/>
    <n v="8000"/>
    <m/>
    <m/>
  </r>
  <r>
    <s v="IS000058"/>
    <s v="IS000058"/>
    <m/>
    <s v="TERRAS "/>
    <s v="Classe para Terras"/>
    <s v="SEM PLACA"/>
    <s v="SEM CHASSI"/>
    <x v="50"/>
    <s v="DANIEL FRANCIOSI"/>
    <m/>
    <m/>
    <m/>
    <s v="IMOVEL RURAL E INSTALAÇÕES "/>
    <s v="GRANDE LESTE"/>
  </r>
  <r>
    <s v="IMP-0072"/>
    <s v="IS000059"/>
    <m/>
    <s v="NOTA NÃO ENCONTRADA"/>
    <s v="Classe para Maquinas Implementos  Agricola Fz St Expedito"/>
    <s v="SEM PLACA"/>
    <s v="SEM CHASSI"/>
    <x v="49"/>
    <s v="NOTA NÃO ENCONTRADA"/>
    <s v="NOTA NÃO ENCONTRADA"/>
    <d v="2014-04-27T00:00:00"/>
    <n v="8000"/>
    <s v="OK"/>
    <s v="SANTO EXPEDITO"/>
  </r>
  <r>
    <s v="IS000060"/>
    <s v="IS000060"/>
    <m/>
    <s v="TERRAS "/>
    <s v="Classe para Terras"/>
    <s v="SEM PLACA"/>
    <s v="SEM CHASSI"/>
    <x v="51"/>
    <m/>
    <m/>
    <d v="2014-05-07T00:00:00"/>
    <n v="158266.82999999999"/>
    <m/>
    <s v="GRANDE LESTE"/>
  </r>
  <r>
    <s v="IMP-0166"/>
    <s v="IS000061"/>
    <m/>
    <s v="NOTA NÃO ENCONTRADA"/>
    <s v="Classe para Equip. Diversos"/>
    <s v="SEM PLACA"/>
    <s v="SEM CHASSI"/>
    <x v="52"/>
    <s v="NOTA NÃO ENCONTRADA"/>
    <s v="NOTA NÃO ENCONTRADA"/>
    <d v="2014-05-29T00:00:00"/>
    <n v="10000"/>
    <s v="OK"/>
    <m/>
  </r>
  <r>
    <s v="MVU-0037"/>
    <s v="IS000062"/>
    <m/>
    <s v="NOTA NÃO ENCONTRADA"/>
    <s v="Classe para Moveis e Utensilios"/>
    <s v="SEM PLACA"/>
    <s v="SEM CHASSI"/>
    <x v="53"/>
    <s v="NOTA NÃO ENCONTRADA"/>
    <s v="NOTA NÃO ENCONTRADA"/>
    <d v="2014-06-25T00:00:00"/>
    <n v="3144"/>
    <m/>
    <m/>
  </r>
  <r>
    <s v="MVU-0039"/>
    <s v="IS000063"/>
    <m/>
    <s v="NOTA NÃO ENCONTRADA"/>
    <s v="Classe para Moveis e Utensilios"/>
    <s v="SEM PLACA"/>
    <s v="SEM CHASSI"/>
    <x v="54"/>
    <s v="NOTA NÃO ENCONTRADA"/>
    <s v="NOTA NÃO ENCONTRADA"/>
    <d v="2014-06-25T00:00:00"/>
    <s v="_"/>
    <m/>
    <m/>
  </r>
  <r>
    <s v="TRA-0012"/>
    <s v="IS000064"/>
    <m/>
    <s v="NOTA NÃO ENCONTRADA"/>
    <s v="Classe para Maq. Imp Agricola"/>
    <s v="SEM PLACA"/>
    <s v="1BM5065EJE4001125"/>
    <x v="55"/>
    <s v="NOTA NÃO ENCONTRADA"/>
    <s v="NOTA NÃO ENCONTRADA"/>
    <d v="2014-07-01T00:00:00"/>
    <n v="80000"/>
    <s v="OK"/>
    <m/>
  </r>
  <r>
    <s v="TRA-0013"/>
    <s v="IS000065"/>
    <m/>
    <s v="NOTA NÃO ENCONTRADA"/>
    <s v="Classe para Maquinas Implementos  Agricola Fz Jatoba"/>
    <s v="SEM PLACA"/>
    <s v="1BM5065ELE4001120"/>
    <x v="55"/>
    <s v="NOTA NÃO ENCONTRADA"/>
    <s v="NOTA NÃO ENCONTRADA"/>
    <d v="2014-07-01T00:00:00"/>
    <n v="50000"/>
    <s v="OK"/>
    <m/>
  </r>
  <r>
    <s v="TRA-0014"/>
    <s v="IS000066"/>
    <m/>
    <s v="NOTA NÃO ENCONTRADA"/>
    <s v="Classe para Maquinas Implementos  Agricola Fz Santa Lucia"/>
    <s v="SEM PLACA"/>
    <s v="1BM5065ECE4001118"/>
    <x v="55"/>
    <s v="NOTA NÃO ENCONTRADA"/>
    <s v="NOTA NÃO ENCONTRADA"/>
    <d v="2014-07-01T00:00:00"/>
    <n v="50000"/>
    <s v="OK"/>
    <m/>
  </r>
  <r>
    <s v="TRA-0015"/>
    <s v="IS000067"/>
    <m/>
    <s v="NOTA NÃO ENCONTRADA"/>
    <s v="Classe para Maquinas Implementos  Agricola Fz Santa Lucia"/>
    <s v="SEM PLACA"/>
    <s v="1BM5065ETE4001122"/>
    <x v="55"/>
    <s v="NOTA NÃO ENCONTRADA"/>
    <s v="NOTA NÃO ENCONTRADA"/>
    <d v="2014-07-01T00:00:00"/>
    <n v="80000"/>
    <s v="OK"/>
    <m/>
  </r>
  <r>
    <s v="IMP-0079"/>
    <s v="IS000068"/>
    <m/>
    <s v="NOTA NÃO ENCONTRADA"/>
    <s v="Classe para Maquinas Implementos  Agricola Fz St Expedito"/>
    <s v="SEM PLACA"/>
    <s v="SEM CHASSI"/>
    <x v="56"/>
    <s v="NOTA NÃO ENCONTRADA"/>
    <s v="NOTA NÃO ENCONTRADA"/>
    <d v="2014-07-11T00:00:00"/>
    <n v="14000"/>
    <s v="OK"/>
    <s v="SANTO EXPEDITO"/>
  </r>
  <r>
    <s v="TRA-0009"/>
    <s v="IS000069"/>
    <m/>
    <s v="NOTA NÃO ENCONTRADA"/>
    <s v="Classe para Maquinas Implementos  Agricola Fz Jatoba"/>
    <s v="SEM PLACA"/>
    <s v="1BM5065ELE4001311"/>
    <x v="55"/>
    <s v="NOTA NÃO ENCONTRADA"/>
    <s v="NOTA NÃO ENCONTRADA"/>
    <d v="2014-08-29T00:00:00"/>
    <n v="78000"/>
    <s v="OK"/>
    <s v="JATOBA"/>
  </r>
  <r>
    <s v="TRA-0011"/>
    <s v="IS000070"/>
    <m/>
    <s v="NOTA NÃO ENCONTRADA"/>
    <s v="Classe para Maquinas Implementos  Agricola Fz Santa Lucia"/>
    <s v="SEM PLACA"/>
    <s v="1BM5065ELE4001258"/>
    <x v="55"/>
    <s v="NOTA NÃO ENCONTRADA"/>
    <s v="NOTA NÃO ENCONTRADA"/>
    <d v="2014-08-29T00:00:00"/>
    <n v="78000"/>
    <s v="OK"/>
    <s v="SANTA LUCIA"/>
  </r>
  <r>
    <s v="EQU-0021"/>
    <s v="IS000071"/>
    <m/>
    <s v="NOTA NÃO ENCONTRADA"/>
    <s v="Classe para equip. Diversos Fz Santo Expedito"/>
    <s v="SEM PLACA"/>
    <s v="SEM CHASSI"/>
    <x v="57"/>
    <s v="NOTA NÃO ENCONTRADA"/>
    <s v="NOTA NÃO ENCONTRADA"/>
    <d v="2014-09-08T00:00:00"/>
    <n v="116500"/>
    <s v="OK"/>
    <s v="SANTO EXPEDITO"/>
  </r>
  <r>
    <s v="MAQ-0001"/>
    <s v="IS000072"/>
    <m/>
    <s v="NOTA NÃO ENCONTRADA"/>
    <s v="Classe para Maquinas Implementos  Agricola Fz Jatoba"/>
    <s v="SEM PLACA"/>
    <s v="HBZNW20ECEAE06522"/>
    <x v="58"/>
    <s v="NOTA NÃO ENCONTRADA"/>
    <s v="NOTA NÃO ENCONTRADA"/>
    <d v="2014-09-24T00:00:00"/>
    <n v="291075"/>
    <s v="OK"/>
    <s v="SANTO EXPEDITO"/>
  </r>
  <r>
    <s v="IMP-0016"/>
    <s v="IS000073"/>
    <m/>
    <s v="NOTA NÃO ENCONTRADA"/>
    <s v="Classe para Maquinas Implementos  Agricola Fz Jatoba"/>
    <s v="SEM PLACA"/>
    <s v="3015514P12248"/>
    <x v="59"/>
    <s v="NOTA NÃO ENCONTRADA"/>
    <s v="NOTA NÃO ENCONTRADA"/>
    <d v="2014-09-29T00:00:00"/>
    <n v="183000"/>
    <s v="OK"/>
    <s v="GRANDE LESTE"/>
  </r>
  <r>
    <s v="IMP-0043"/>
    <s v="IS000074"/>
    <m/>
    <s v="NOTA NÃO ENCONTRADA"/>
    <s v="Classe para Maquinas Implementos  Agricola Fz Jatoba"/>
    <s v="SEM PLACA"/>
    <s v="SEM CHASSI"/>
    <x v="59"/>
    <s v="NOTA NÃO ENCONTRADA"/>
    <s v="NOTA NÃO ENCONTRADA"/>
    <d v="2014-09-29T00:00:00"/>
    <n v="183000"/>
    <m/>
    <m/>
  </r>
  <r>
    <s v="IMP-0048"/>
    <s v="IS000075"/>
    <m/>
    <s v="NOTA NÃO ENCONTRADA"/>
    <s v="Classe para Maquinas Implementos  Agricola Fz St Expedito"/>
    <s v="SEM PLACA"/>
    <n v="3015414"/>
    <x v="60"/>
    <s v="NOTA NÃO ENCONTRADA"/>
    <s v="NOTA NÃO ENCONTRADA"/>
    <d v="2014-09-29T00:00:00"/>
    <n v="133000"/>
    <s v="OK"/>
    <s v="SANTO EXPEDITO"/>
  </r>
  <r>
    <s v="IMP-0047"/>
    <s v="IS000076"/>
    <m/>
    <s v="NOTA NÃO ENCONTRADA"/>
    <s v="Classe para Maquinas Implementos  Agricola Fz Jatoba"/>
    <s v="SEM PLACA"/>
    <n v="3015614"/>
    <x v="60"/>
    <s v="NOTA NÃO ENCONTRADA"/>
    <s v="NOTA NÃO ENCONTRADA"/>
    <d v="2014-10-08T00:00:00"/>
    <n v="133000"/>
    <s v="OK"/>
    <s v="SANTO EXPEDITO"/>
  </r>
  <r>
    <s v="PLA-0001"/>
    <s v="IS000077"/>
    <m/>
    <s v="NOTA NÃO ENCONTRADA"/>
    <s v="Classe para Maquinas Implementos  Agricola Fz Jatoba"/>
    <s v="SEM PLACA"/>
    <s v="SEM CHASSI"/>
    <x v="61"/>
    <s v="NOTA NÃO ENCONTRADA"/>
    <s v="NOTA NÃO ENCONTRADA"/>
    <d v="2014-10-08T00:00:00"/>
    <n v="459000"/>
    <s v="OK"/>
    <s v="GRANDE LESTE"/>
  </r>
  <r>
    <s v="PLA-0002"/>
    <s v="IS000078"/>
    <m/>
    <s v="NOTA NÃO ENCONTRADA"/>
    <s v="Classe para Maquinas Implementos  Agricola Fz St Expedito"/>
    <s v="SEM PLACA"/>
    <s v="31463/14"/>
    <x v="61"/>
    <s v="VIA CARGA"/>
    <s v="VIA CARGA"/>
    <d v="2014-10-08T00:00:00"/>
    <n v="459000"/>
    <s v="OK"/>
    <s v="SANTO EXPEDITO"/>
  </r>
  <r>
    <s v="IMP-0008"/>
    <s v="IS000079"/>
    <m/>
    <s v="NOTA NÃO ENCONTRADA"/>
    <s v="Classe para Maq. Imp Agricola"/>
    <s v="SEM PLACA"/>
    <s v="SEM CHASSI"/>
    <x v="62"/>
    <s v="NOTA NÃO ENCONTRADA"/>
    <s v="NOTA NÃO ENCONTRADA"/>
    <d v="2014-10-15T00:00:00"/>
    <n v="2000"/>
    <s v="OK"/>
    <s v="SANTA LUCIA"/>
  </r>
  <r>
    <s v="EQU-0140"/>
    <s v="IS000080"/>
    <m/>
    <s v="NOTA NÃO ENCONTRADA"/>
    <s v="Classe para Equip. Oficina Fz Santa Lucia"/>
    <s v="SEM PLACA"/>
    <s v="SEM CHASSI"/>
    <x v="63"/>
    <s v="NOTA NÃO ENCONTRADA"/>
    <s v="NOTA NÃO ENCONTRADA"/>
    <d v="2014-10-30T00:00:00"/>
    <n v="3380"/>
    <s v="OK"/>
    <m/>
  </r>
  <r>
    <s v="MVU-0046"/>
    <s v="IS000081"/>
    <m/>
    <s v="NOTA NÃO ENCONTRADA"/>
    <s v="Classe para Moveis e Utensilios"/>
    <s v="SEM PLACA"/>
    <s v="SEM CHASSI"/>
    <x v="64"/>
    <s v="NOTA NÃO ENCONTRADA"/>
    <s v="NOTA NÃO ENCONTRADA"/>
    <d v="2014-11-22T00:00:00"/>
    <n v="2500"/>
    <m/>
    <m/>
  </r>
  <r>
    <s v="MVU-0047"/>
    <s v="IS000082"/>
    <m/>
    <s v="NOTA NÃO ENCONTRADA"/>
    <s v="Classe para Moveis e Utensilios"/>
    <s v="SEM PLACA"/>
    <s v="SEM CHASSI"/>
    <x v="64"/>
    <s v="NOTA NÃO ENCONTRADA"/>
    <s v="NOTA NÃO ENCONTRADA"/>
    <d v="2014-11-22T00:00:00"/>
    <n v="2500"/>
    <m/>
    <m/>
  </r>
  <r>
    <s v="IMP-0003"/>
    <s v="IS000083"/>
    <m/>
    <s v="NOTA NÃO ENCONTRADA"/>
    <s v="Classe para Maq. Imp Agricola"/>
    <s v="SEM PLACA"/>
    <s v="SEM CHASSI"/>
    <x v="65"/>
    <s v="NOTA NÃO ENCONTRADA"/>
    <s v="NOTA NÃO ENCONTRADA"/>
    <d v="2014-11-23T00:00:00"/>
    <n v="5000"/>
    <s v="OK"/>
    <s v="GRANDE LESTE"/>
  </r>
  <r>
    <s v="EQU-0143"/>
    <s v="IS000084"/>
    <m/>
    <s v="NOTA NÃO ENCONTRADA"/>
    <s v="Classe para Equip. Diversos Fz Santa Lucia"/>
    <s v="SEM PLACA"/>
    <s v="SEM CHASSI"/>
    <x v="66"/>
    <s v="NOTA NÃO ENCONTRADA"/>
    <s v="NOTA NÃO ENCONTRADA"/>
    <d v="2014-12-15T00:00:00"/>
    <n v="4000"/>
    <s v="OK"/>
    <s v="GRANDE LESTE"/>
  </r>
  <r>
    <s v="EQU-0144"/>
    <s v="IS000085"/>
    <m/>
    <s v="NOTA NÃO ENCONTRADA"/>
    <s v="Classe para Equip. Diversos Fz Santa Lucia"/>
    <s v="SEM PLACA"/>
    <s v="SEM CHASSI"/>
    <x v="66"/>
    <s v="NOTA NÃO ENCONTRADA"/>
    <s v="NOTA NÃO ENCONTRADA"/>
    <d v="2014-12-15T00:00:00"/>
    <n v="4000"/>
    <s v="OK"/>
    <m/>
  </r>
  <r>
    <s v="MVU-0016"/>
    <s v="IS000086"/>
    <m/>
    <s v="NOTA NÃO ENCONTRADA"/>
    <s v="Classe para Moveis e Utensilios Fz Santo Expedito"/>
    <s v="SEM PLACA"/>
    <s v="SEM CHASSI"/>
    <x v="67"/>
    <s v="NOTA NÃO ENCONTRADA"/>
    <s v="NOTA NÃO ENCONTRADA"/>
    <d v="2015-01-22T00:00:00"/>
    <n v="2133"/>
    <s v="OK"/>
    <s v="SANTO EXPEDITO"/>
  </r>
  <r>
    <s v="IMP-0002"/>
    <s v="IS000087"/>
    <m/>
    <s v="NOTA NÃO ENCONTRADA"/>
    <s v="Classe para Maquinas Implementos  Agricola Fz St Expedito"/>
    <s v="SEM PLACA"/>
    <s v="SEM CHASSI"/>
    <x v="68"/>
    <s v="NOTA NÃO ENCONTRADA"/>
    <s v="NOTA NÃO ENCONTRADA"/>
    <d v="2015-04-01T00:00:00"/>
    <n v="30000"/>
    <s v="OK"/>
    <s v="SANTO EXPEDITO"/>
  </r>
  <r>
    <s v="IMO-049"/>
    <s v="IS000088"/>
    <m/>
    <s v="IMOVEIS"/>
    <s v="Classe para Imoveis St Expedito"/>
    <s v="SEM PLACA"/>
    <s v="SEM CHASSI"/>
    <x v="69"/>
    <m/>
    <m/>
    <d v="2024-09-30T00:00:00"/>
    <n v="2607721.91"/>
    <s v="IMOVEL RURAL E INSTALAÇÕES "/>
    <s v="SANTO EXPEDITO"/>
  </r>
  <r>
    <s v="EQU-0036"/>
    <s v="IS000089"/>
    <m/>
    <s v="NOTA NÃO ENCONTRADA"/>
    <s v="Classe para Equip. UBG - Secagem e Aramazenagem de Graos"/>
    <s v="SEM PLACA"/>
    <s v="SEM CHASSI"/>
    <x v="70"/>
    <s v="NOTA NÃO ENCONTRADA"/>
    <s v="NOTA NÃO ENCONTRADA"/>
    <d v="2015-05-22T00:00:00"/>
    <n v="300000"/>
    <s v="OK"/>
    <m/>
  </r>
  <r>
    <s v="IMP-0029"/>
    <s v="IS000090"/>
    <m/>
    <s v="NOTA NÃO ENCONTRADA"/>
    <s v="Classe para Maq. Imp Agricola"/>
    <s v="SEM PLACA"/>
    <s v="SEM CHASSI"/>
    <x v="71"/>
    <s v="NOTA NÃO ENCONTRADA"/>
    <s v="NOTA NÃO ENCONTRADA"/>
    <d v="2015-06-07T00:00:00"/>
    <n v="50000"/>
    <m/>
    <s v="SANTA LUCIA"/>
  </r>
  <r>
    <s v="TRA-0010"/>
    <s v="IS000091"/>
    <m/>
    <s v="NOTA NÃO ENCONTRADA"/>
    <s v="Classe para Maq. Imp Agricola"/>
    <s v="SEM PLACA"/>
    <s v="1BM5065EVE4001242"/>
    <x v="55"/>
    <s v="NOTA NÃO ENCONTRADA"/>
    <s v="NOTA NÃO ENCONTRADA"/>
    <d v="2015-06-09T00:00:00"/>
    <n v="78000"/>
    <s v="OK"/>
    <m/>
  </r>
  <r>
    <s v="TRA-0017"/>
    <s v="IS000092"/>
    <m/>
    <s v="NOTA NÃO ENCONTRADA"/>
    <s v="Classe para Maquinas Implementos  Agricola Fz Santa Lucia"/>
    <s v="SEM PLACA"/>
    <s v="1BM5065ECE4001121"/>
    <x v="55"/>
    <s v="NOTA NÃO ENCONTRADA"/>
    <s v="NOTA NÃO ENCONTRADA"/>
    <d v="2015-06-09T00:00:00"/>
    <n v="80000"/>
    <s v="OK"/>
    <s v="SANTA LUCIA"/>
  </r>
  <r>
    <s v="TRA-0019"/>
    <s v="IS000093"/>
    <m/>
    <s v="NOTA NÃO ENCONTRADA"/>
    <s v="Classe para Maq. Imp Agricola"/>
    <s v="SEM PLACA"/>
    <s v="1BM5065EEE4001411"/>
    <x v="55"/>
    <s v="NOTA NÃO ENCONTRADA"/>
    <s v="NOTA NÃO ENCONTRADA"/>
    <d v="2015-06-09T00:00:00"/>
    <n v="78000"/>
    <m/>
    <m/>
  </r>
  <r>
    <s v="IS000094"/>
    <s v="IS000094"/>
    <m/>
    <n v="2760"/>
    <s v="Classe para Informatica e Comunicaçao"/>
    <s v="SEM PLACA"/>
    <s v="SEM CHASSI"/>
    <x v="72"/>
    <s v="MELLO E MELLO TECNOLOGIA LTDA"/>
    <s v="24.923.049/0001-84"/>
    <d v="2025-08-26T00:00:00"/>
    <n v="1900"/>
    <m/>
    <s v="ESCRITORIO CENTRAL"/>
  </r>
  <r>
    <s v="PLA-0003"/>
    <s v="IS000095"/>
    <m/>
    <s v="NOTA NÃO ENCONTRADA"/>
    <s v="Classe para Maquinas Implementos  Agricola Fz Santa Lucia"/>
    <s v="SEM PLACA"/>
    <s v="SEM CHASSI"/>
    <x v="73"/>
    <s v="NOTA NÃO ENCONTRADA"/>
    <s v="NOTA NÃO ENCONTRADA"/>
    <d v="2015-06-10T00:00:00"/>
    <n v="200000"/>
    <m/>
    <m/>
  </r>
  <r>
    <s v="PLA-0007"/>
    <s v="IS000096"/>
    <m/>
    <s v="NOTA NÃO ENCONTRADA"/>
    <s v="Classe para Maquinas Implementos  Agricola Fz St Expedito"/>
    <s v="SEM PLACA"/>
    <s v="SEM CHASSI"/>
    <x v="73"/>
    <s v="NOTA NÃO ENCONTRADA"/>
    <s v="NOTA NÃO ENCONTRADA"/>
    <d v="2015-06-10T00:00:00"/>
    <n v="200000"/>
    <s v="OK"/>
    <s v="GRANDE LESTE"/>
  </r>
  <r>
    <s v="MVU-0029"/>
    <s v="IS000097"/>
    <m/>
    <s v="NOTA NÃO ENCONTRADA"/>
    <s v="Classe para Moveis e Utensilios Fz Santa Lucia"/>
    <s v="SEM PLACA"/>
    <s v="SEM CHASSI"/>
    <x v="74"/>
    <s v="NOTA NÃO ENCONTRADA"/>
    <s v="NOTA NÃO ENCONTRADA"/>
    <d v="2015-06-27T00:00:00"/>
    <s v="_"/>
    <s v="OK"/>
    <m/>
  </r>
  <r>
    <s v="IMP-0090"/>
    <s v="IS000098"/>
    <m/>
    <s v="NOTA NÃO ENCONTRADA"/>
    <s v="Classe para Maq. Imp Agricola"/>
    <s v="SEM PLACA"/>
    <s v="SEM CHASSI"/>
    <x v="75"/>
    <s v="NOTA NÃO ENCONTRADA"/>
    <s v="NOTA NÃO ENCONTRADA"/>
    <d v="2015-06-30T00:00:00"/>
    <n v="64360"/>
    <m/>
    <m/>
  </r>
  <r>
    <s v="EQU-0114"/>
    <s v="IS000099"/>
    <m/>
    <s v="NOTA NÃO ENCONTRADA"/>
    <s v="Classe para Equip. Diversos"/>
    <s v="SEM PLACA"/>
    <s v="SEM CHASSI"/>
    <x v="76"/>
    <s v="NOTA NÃO ENCONTRADA"/>
    <s v="NOTA NÃO ENCONTRADA"/>
    <d v="2015-07-08T00:00:00"/>
    <n v="710"/>
    <m/>
    <m/>
  </r>
  <r>
    <s v="IMP-0089"/>
    <s v="IS000100"/>
    <m/>
    <s v="NOTA NÃO ENCONTRADA"/>
    <s v="Classe para Maq. Imp Agricola"/>
    <s v="SEM PLACA"/>
    <s v="SEM CHASSI"/>
    <x v="75"/>
    <s v="NOTA NÃO ENCONTRADA"/>
    <s v="NOTA NÃO ENCONTRADA"/>
    <d v="2015-07-10T00:00:00"/>
    <n v="64360"/>
    <m/>
    <m/>
  </r>
  <r>
    <s v="EQU-0013"/>
    <s v="IS000101"/>
    <m/>
    <s v="NOTA NÃO ENCONTRADA"/>
    <s v="Classe para Equip. Oficina"/>
    <s v="SEM PLACA"/>
    <s v="SEM CHASSI"/>
    <x v="77"/>
    <s v="NOTA NÃO ENCONTRADA"/>
    <s v="NOTA NÃO ENCONTRADA"/>
    <d v="2015-07-15T00:00:00"/>
    <n v="10000"/>
    <s v="OK"/>
    <s v="JATOBA"/>
  </r>
  <r>
    <s v="IMP-0037"/>
    <s v="IS000102"/>
    <m/>
    <s v="NOTA NÃO ENCONTRADA"/>
    <s v="Classe para Maquinas Implementos  Agricola Fz St Expedito"/>
    <s v="SEM PLACA"/>
    <n v="1000465"/>
    <x v="78"/>
    <s v="NOTA NÃO ENCONTRADA"/>
    <s v="NOTA NÃO ENCONTRADA"/>
    <d v="2015-07-20T00:00:00"/>
    <n v="40000"/>
    <s v="OK"/>
    <s v="SANTO EXPEDITO"/>
  </r>
  <r>
    <s v="IMP-0052"/>
    <s v="IS000103"/>
    <m/>
    <s v="NOTA NÃO ENCONTRADA"/>
    <s v="Classe para Maq. Imp Agricola"/>
    <s v="SEM PLACA"/>
    <s v="SEM CHASSI"/>
    <x v="79"/>
    <s v="NOTA NÃO ENCONTRADA"/>
    <s v="NOTA NÃO ENCONTRADA"/>
    <d v="2015-07-31T00:00:00"/>
    <n v="173000"/>
    <s v="OK"/>
    <s v="JATOBA"/>
  </r>
  <r>
    <s v="IMP-0054"/>
    <s v="IS000104"/>
    <m/>
    <s v="NOTA NÃO ENCONTRADA"/>
    <s v="Classe para Maq. Imp Agricola"/>
    <s v="SEM PLACA"/>
    <s v="SEM CHASSI"/>
    <x v="79"/>
    <s v="NOTA NÃO ENCONTRADA"/>
    <s v="NOTA NÃO ENCONTRADA"/>
    <d v="2015-07-31T00:00:00"/>
    <n v="173000"/>
    <s v="OK"/>
    <s v="JATOBA"/>
  </r>
  <r>
    <s v="EQU-0028"/>
    <s v="IS000105"/>
    <m/>
    <s v="NOTA NÃO ENCONTRADA"/>
    <s v="Classe para Equip. Diversos Fz Santa Lucia"/>
    <s v="SEM PLACA"/>
    <s v="SEM CHASSI"/>
    <x v="80"/>
    <s v="NOTA NÃO ENCONTRADA"/>
    <s v="NOTA NÃO ENCONTRADA"/>
    <d v="2015-08-23T00:00:00"/>
    <n v="15000"/>
    <s v="OK"/>
    <m/>
  </r>
  <r>
    <s v="VEI-0016"/>
    <s v="IS000106"/>
    <m/>
    <s v="NOTA NÃO ENCONTRADA"/>
    <s v="Classe para Veiculos"/>
    <s v="IFW7284"/>
    <s v="SEM CHASSI"/>
    <x v="81"/>
    <s v="NOTA NÃO ENCONTRADA"/>
    <s v="NOTA NÃO ENCONTRADA"/>
    <d v="2015-09-13T00:00:00"/>
    <n v="25000"/>
    <s v="OK"/>
    <s v="JATOBA"/>
  </r>
  <r>
    <s v="IMP-0007"/>
    <s v="IS000107"/>
    <m/>
    <s v="NOTA NÃO ENCONTRADA"/>
    <s v="Classe para Equip. Diversos"/>
    <s v="SEM PLACA"/>
    <s v="SEM CHASSI"/>
    <x v="38"/>
    <s v="NOTA NÃO ENCONTRADA"/>
    <s v="NOTA NÃO ENCONTRADA"/>
    <d v="2015-09-14T00:00:00"/>
    <n v="6000"/>
    <m/>
    <m/>
  </r>
  <r>
    <s v="EQU-0069"/>
    <s v="IS000108"/>
    <m/>
    <s v="NOTA NÃO ENCONTRADA"/>
    <s v="Classe para Equip. Diversos"/>
    <s v="SEM PLACA"/>
    <s v="SEM CHASSI"/>
    <x v="82"/>
    <s v="NOTA NÃO ENCONTRADA"/>
    <s v="NOTA NÃO ENCONTRADA"/>
    <d v="2015-09-26T00:00:00"/>
    <n v="2799"/>
    <m/>
    <m/>
  </r>
  <r>
    <s v="MVU-0028"/>
    <s v="IS000109"/>
    <m/>
    <s v="NOTA NÃO ENCONTRADA"/>
    <s v="Classe para Moveis e Utensilios Fz Santa Lucia"/>
    <s v="SEM PLACA"/>
    <s v="SEM CHASSI"/>
    <x v="83"/>
    <s v="NOTA NÃO ENCONTRADA"/>
    <s v="NOTA NÃO ENCONTRADA"/>
    <d v="2015-09-30T00:00:00"/>
    <n v="3000"/>
    <s v="OK"/>
    <m/>
  </r>
  <r>
    <s v="EQU-0041"/>
    <s v="IS000110"/>
    <m/>
    <s v="NOTA NÃO ENCONTRADA"/>
    <s v="Classe para Equip. Oficina"/>
    <s v="SEM PLACA"/>
    <s v="SEM CHASSI"/>
    <x v="84"/>
    <s v="NOTA NÃO ENCONTRADA"/>
    <s v="NOTA NÃO ENCONTRADA"/>
    <d v="2015-10-08T00:00:00"/>
    <n v="20000"/>
    <m/>
    <m/>
  </r>
  <r>
    <s v="TRA-0016"/>
    <s v="IS000111"/>
    <m/>
    <s v="NOTA NÃO ENCONTRADA"/>
    <s v="Classe para Maquinas Implementos  Agricola Fz Santa Lucia"/>
    <s v="SEM PLACA"/>
    <s v="1BM5065EHE4001410"/>
    <x v="55"/>
    <s v="NOTA NÃO ENCONTRADA"/>
    <s v="NOTA NÃO ENCONTRADA"/>
    <d v="2015-10-09T00:00:00"/>
    <n v="78000"/>
    <s v="OK"/>
    <s v="SANTO EXPEDITO"/>
  </r>
  <r>
    <s v="EQU-0125"/>
    <s v="IS000112"/>
    <m/>
    <s v="NOTA NÃO ENCONTRADA"/>
    <s v="Classe para Equip. Oficina Fz Santa Lucia"/>
    <s v="SEM PLACA"/>
    <s v="SEM CHASSI"/>
    <x v="85"/>
    <s v="NOTA NÃO ENCONTRADA"/>
    <s v="NOTA NÃO ENCONTRADA"/>
    <d v="2015-10-15T00:00:00"/>
    <n v="700"/>
    <s v="OK"/>
    <s v="SANTA LUCIA"/>
  </r>
  <r>
    <s v="EQU-0153"/>
    <s v="IS000113"/>
    <m/>
    <s v="NOTA NÃO ENCONTRADA"/>
    <s v="Classe para Equip. UBA Usina Benef. Algodao"/>
    <s v="SEM PLACA"/>
    <s v="SEM CHASSI"/>
    <x v="86"/>
    <s v="NOTA NÃO ENCONTRADA"/>
    <s v="NOTA NÃO ENCONTRADA"/>
    <d v="2015-11-06T00:00:00"/>
    <n v="150000"/>
    <m/>
    <m/>
  </r>
  <r>
    <s v="EQU-0154"/>
    <s v="IS000114"/>
    <m/>
    <s v="NOTA NÃO ENCONTRADA"/>
    <s v="Classe para Equip. UBA Usina Benef. Algodao"/>
    <s v="SEM PLACA"/>
    <s v="SEM CHASSI"/>
    <x v="87"/>
    <s v="NOTA NÃO ENCONTRADA"/>
    <s v="NOTA NÃO ENCONTRADA"/>
    <d v="2015-11-06T00:00:00"/>
    <n v="100000"/>
    <m/>
    <m/>
  </r>
  <r>
    <s v="EQU-0155"/>
    <s v="IS000115"/>
    <m/>
    <s v="NOTA NÃO ENCONTRADA"/>
    <s v="Classe para Equip. UBA Usina Benef. Algodao"/>
    <s v="SEM PLACA"/>
    <s v="SEM CHASSI"/>
    <x v="88"/>
    <s v="NOTA NÃO ENCONTRADA"/>
    <s v="NOTA NÃO ENCONTRADA"/>
    <d v="2015-11-06T00:00:00"/>
    <n v="150000"/>
    <m/>
    <m/>
  </r>
  <r>
    <s v="EQU-0156"/>
    <s v="IS000116"/>
    <m/>
    <s v="NOTA NÃO ENCONTRADA"/>
    <s v="Classe para Equip. UBA Usina Benef. Algodao"/>
    <s v="SEM PLACA"/>
    <s v="SEM CHASSI"/>
    <x v="89"/>
    <s v="NOTA NÃO ENCONTRADA"/>
    <s v="NOTA NÃO ENCONTRADA"/>
    <d v="2015-11-06T00:00:00"/>
    <n v="50000"/>
    <m/>
    <m/>
  </r>
  <r>
    <s v="EQU-0157"/>
    <s v="IS000117"/>
    <m/>
    <s v="NOTA NÃO ENCONTRADA"/>
    <s v="Classe para Equip. UBA Usina Benef. Algodao"/>
    <s v="SEM PLACA"/>
    <s v="SEM CHASSI"/>
    <x v="90"/>
    <s v="NOTA NÃO ENCONTRADA"/>
    <s v="NOTA NÃO ENCONTRADA"/>
    <d v="2015-11-06T00:00:00"/>
    <n v="50000"/>
    <s v="OK"/>
    <m/>
  </r>
  <r>
    <s v="EQU-0158"/>
    <s v="IS000118"/>
    <m/>
    <s v="NOTA NÃO ENCONTRADA"/>
    <s v="Classe para Equip. UBA Usina Benef. Algodao"/>
    <s v="SEM PLACA"/>
    <s v="SEM CHASSI"/>
    <x v="91"/>
    <s v="NOTA NÃO ENCONTRADA"/>
    <s v="NOTA NÃO ENCONTRADA"/>
    <d v="2015-11-06T00:00:00"/>
    <n v="10000"/>
    <m/>
    <m/>
  </r>
  <r>
    <s v="EQU-0159"/>
    <s v="IS000119"/>
    <m/>
    <s v="NOTA NÃO ENCONTRADA"/>
    <s v="Classe para Equip. UBA Usina Benef. Algodao"/>
    <s v="SEM PLACA"/>
    <s v="SEM CHASSI"/>
    <x v="92"/>
    <s v="NOTA NÃO ENCONTRADA"/>
    <s v="NOTA NÃO ENCONTRADA"/>
    <d v="2015-11-06T00:00:00"/>
    <n v="30000"/>
    <m/>
    <m/>
  </r>
  <r>
    <s v="EQU-0160"/>
    <s v="IS000120"/>
    <m/>
    <s v="NOTA NÃO ENCONTRADA"/>
    <s v="Classe para Equip. UBA Usina Benef. Algodao"/>
    <s v="SEM PLACA"/>
    <s v="SEM CHASSI"/>
    <x v="93"/>
    <s v="NOTA NÃO ENCONTRADA"/>
    <s v="NOTA NÃO ENCONTRADA"/>
    <d v="2015-11-06T00:00:00"/>
    <n v="35000"/>
    <m/>
    <m/>
  </r>
  <r>
    <s v="EQU-0161"/>
    <s v="IS000121"/>
    <m/>
    <s v="NOTA NÃO ENCONTRADA"/>
    <s v="Classe para Equip. UBA Usina Benef. Algodao"/>
    <s v="SEM PLACA"/>
    <s v="SEM CHASSI"/>
    <x v="94"/>
    <s v="NOTA NÃO ENCONTRADA"/>
    <s v="NOTA NÃO ENCONTRADA"/>
    <d v="2015-11-06T00:00:00"/>
    <n v="35000"/>
    <m/>
    <m/>
  </r>
  <r>
    <s v="EQU-0162"/>
    <s v="IS000122"/>
    <m/>
    <s v="NOTA NÃO ENCONTRADA"/>
    <s v="Classe para Equip. UBA Usina Benef. Algodao"/>
    <s v="SEM PLACA"/>
    <s v="SEM CHASSI"/>
    <x v="95"/>
    <s v="NOTA NÃO ENCONTRADA"/>
    <s v="NOTA NÃO ENCONTRADA"/>
    <d v="2015-11-06T00:00:00"/>
    <n v="35000"/>
    <m/>
    <m/>
  </r>
  <r>
    <s v="EQU-0163"/>
    <s v="IS000123"/>
    <m/>
    <s v="NOTA NÃO ENCONTRADA"/>
    <s v="Classe para Equip. UBA Usina Benef. Algodao"/>
    <s v="SEM PLACA"/>
    <s v="SEM CHASSI"/>
    <x v="96"/>
    <s v="NOTA NÃO ENCONTRADA"/>
    <s v="NOTA NÃO ENCONTRADA"/>
    <d v="2015-11-06T00:00:00"/>
    <n v="90000"/>
    <m/>
    <m/>
  </r>
  <r>
    <s v="EQU-0164"/>
    <s v="IS000124"/>
    <m/>
    <s v="NOTA NÃO ENCONTRADA"/>
    <s v="Classe para Equip. UBA Usina Benef. Algodao"/>
    <s v="SEM PLACA"/>
    <s v="SEM CHASSI"/>
    <x v="97"/>
    <s v="NOTA NÃO ENCONTRADA"/>
    <s v="NOTA NÃO ENCONTRADA"/>
    <d v="2015-11-06T00:00:00"/>
    <n v="200000"/>
    <m/>
    <m/>
  </r>
  <r>
    <s v="EQU-0165"/>
    <s v="IS000125"/>
    <m/>
    <s v="NOTA NÃO ENCONTRADA"/>
    <s v="Classe para Equip. UBA Usina Benef. Algodao"/>
    <s v="SEM PLACA"/>
    <s v="SEM CHASSI"/>
    <x v="98"/>
    <s v="NOTA NÃO ENCONTRADA"/>
    <s v="NOTA NÃO ENCONTRADA"/>
    <d v="2015-11-06T00:00:00"/>
    <n v="50000"/>
    <m/>
    <m/>
  </r>
  <r>
    <s v="EQU-0166"/>
    <s v="IS000126"/>
    <m/>
    <s v="NOTA NÃO ENCONTRADA"/>
    <s v="Classe para Equip. UBA Usina Benef. Algodao"/>
    <s v="SEM PLACA"/>
    <s v="SEM CHASSI"/>
    <x v="99"/>
    <s v="NOTA NÃO ENCONTRADA"/>
    <s v="NOTA NÃO ENCONTRADA"/>
    <d v="2015-11-06T00:00:00"/>
    <n v="150000"/>
    <m/>
    <m/>
  </r>
  <r>
    <s v="EQU-0167"/>
    <s v="IS000127"/>
    <m/>
    <s v="NOTA NÃO ENCONTRADA"/>
    <s v="Classe para Equip. UBA Usina Benef. Algodao"/>
    <s v="SEM PLACA"/>
    <s v="SEM CHASSI"/>
    <x v="100"/>
    <s v="NOTA NÃO ENCONTRADA"/>
    <s v="NOTA NÃO ENCONTRADA"/>
    <d v="2015-11-06T00:00:00"/>
    <n v="150000"/>
    <m/>
    <m/>
  </r>
  <r>
    <s v="EQU-0168"/>
    <s v="IS000128"/>
    <m/>
    <s v="NOTA NÃO ENCONTRADA"/>
    <s v="Classe para Equip. UBA Usina Benef. Algodao"/>
    <s v="SEM PLACA"/>
    <s v="SEM CHASSI"/>
    <x v="101"/>
    <s v="NOTA NÃO ENCONTRADA"/>
    <s v="NOTA NÃO ENCONTRADA"/>
    <d v="2015-11-06T00:00:00"/>
    <n v="30000"/>
    <m/>
    <m/>
  </r>
  <r>
    <s v="EQU-0169"/>
    <s v="IS000129"/>
    <m/>
    <s v="NOTA NÃO ENCONTRADA"/>
    <s v="Classe para Equip. UBA Usina Benef. Algodao"/>
    <s v="SEM PLACA"/>
    <s v="SEM CHASSI"/>
    <x v="102"/>
    <s v="NOTA NÃO ENCONTRADA"/>
    <s v="NOTA NÃO ENCONTRADA"/>
    <d v="2015-11-06T00:00:00"/>
    <n v="30000"/>
    <m/>
    <m/>
  </r>
  <r>
    <s v="EQU-0170"/>
    <s v="IS000130"/>
    <m/>
    <s v="NOTA NÃO ENCONTRADA"/>
    <s v="Classe para Equip. UBA Usina Benef. Algodao"/>
    <s v="SEM PLACA"/>
    <s v="SEM CHASSI"/>
    <x v="103"/>
    <s v="NOTA NÃO ENCONTRADA"/>
    <s v="NOTA NÃO ENCONTRADA"/>
    <d v="2015-11-06T00:00:00"/>
    <n v="30000"/>
    <m/>
    <m/>
  </r>
  <r>
    <s v="EQU-0171"/>
    <s v="IS000131"/>
    <m/>
    <s v="NOTA NÃO ENCONTRADA"/>
    <s v="Classe para Equip. UBA Usina Benef. Algodao"/>
    <s v="SEM PLACA"/>
    <s v="SEM CHASSI"/>
    <x v="104"/>
    <s v="NOTA NÃO ENCONTRADA"/>
    <s v="NOTA NÃO ENCONTRADA"/>
    <d v="2015-11-06T00:00:00"/>
    <n v="30000"/>
    <m/>
    <m/>
  </r>
  <r>
    <s v="EQU-0172"/>
    <s v="IS000132"/>
    <m/>
    <s v="NOTA NÃO ENCONTRADA"/>
    <s v="Classe para Equip. UBA Usina Benef. Algodao"/>
    <s v="SEM PLACA"/>
    <s v="SEM CHASSI"/>
    <x v="105"/>
    <s v="NOTA NÃO ENCONTRADA"/>
    <s v="NOTA NÃO ENCONTRADA"/>
    <d v="2015-11-06T00:00:00"/>
    <n v="30000"/>
    <m/>
    <m/>
  </r>
  <r>
    <s v="EQU-0173"/>
    <s v="IS000133"/>
    <m/>
    <s v="NOTA NÃO ENCONTRADA"/>
    <s v="Classe para Equip. UBA Usina Benef. Algodao"/>
    <s v="SEM PLACA"/>
    <s v="SEM CHASSI"/>
    <x v="106"/>
    <s v="NOTA NÃO ENCONTRADA"/>
    <s v="NOTA NÃO ENCONTRADA"/>
    <d v="2015-11-06T00:00:00"/>
    <n v="55000"/>
    <m/>
    <m/>
  </r>
  <r>
    <s v="EQU-0174"/>
    <s v="IS000134"/>
    <m/>
    <s v="NOTA NÃO ENCONTRADA"/>
    <s v="Classe para Equip. UBA Usina Benef. Algodao"/>
    <s v="SEM PLACA"/>
    <s v="SEM CHASSI"/>
    <x v="107"/>
    <s v="NOTA NÃO ENCONTRADA"/>
    <s v="NOTA NÃO ENCONTRADA"/>
    <d v="2015-11-06T00:00:00"/>
    <n v="50000"/>
    <m/>
    <m/>
  </r>
  <r>
    <s v="EQU-0175"/>
    <s v="IS000135"/>
    <m/>
    <s v="NOTA NÃO ENCONTRADA"/>
    <s v="Classe para Equip. UBA Usina Benef. Algodao"/>
    <s v="SEM PLACA"/>
    <s v="SEM CHASSI"/>
    <x v="108"/>
    <s v="NOTA NÃO ENCONTRADA"/>
    <s v="NOTA NÃO ENCONTRADA"/>
    <d v="2015-11-06T00:00:00"/>
    <n v="90000"/>
    <m/>
    <m/>
  </r>
  <r>
    <s v="EQU-0176"/>
    <s v="IS000136"/>
    <m/>
    <s v="NOTA NÃO ENCONTRADA"/>
    <s v="Classe para Equip. UBA Usina Benef. Algodao"/>
    <s v="SEM PLACA"/>
    <s v="SEM CHASSI"/>
    <x v="109"/>
    <s v="NOTA NÃO ENCONTRADA"/>
    <s v="NOTA NÃO ENCONTRADA"/>
    <d v="2015-11-06T00:00:00"/>
    <n v="25000"/>
    <m/>
    <m/>
  </r>
  <r>
    <s v="EQU-0177"/>
    <s v="IS000137"/>
    <m/>
    <s v="NOTA NÃO ENCONTRADA"/>
    <s v="Classe para Equip. UBA Usina Benef. Algodao"/>
    <s v="SEM PLACA"/>
    <s v="SEM CHASSI"/>
    <x v="110"/>
    <s v="NOTA NÃO ENCONTRADA"/>
    <s v="NOTA NÃO ENCONTRADA"/>
    <d v="2015-11-06T00:00:00"/>
    <n v="145000"/>
    <m/>
    <m/>
  </r>
  <r>
    <s v="EQU-0066"/>
    <s v="IS000138"/>
    <m/>
    <s v="NOTA NÃO ENCONTRADA"/>
    <s v="Classe para Equip. Oficina Fz Santo Expedito"/>
    <s v="SEM PLACA"/>
    <s v="SEM CHASSI"/>
    <x v="111"/>
    <s v="NOTA NÃO ENCONTRADA"/>
    <s v="NOTA NÃO ENCONTRADA"/>
    <d v="2015-11-16T00:00:00"/>
    <n v="1849"/>
    <m/>
    <m/>
  </r>
  <r>
    <s v="EQU-0122"/>
    <s v="IS000139"/>
    <m/>
    <m/>
    <s v="Classe para Equip. Diversos"/>
    <s v="SEM PLACA"/>
    <s v="SEM CHASSI"/>
    <x v="112"/>
    <m/>
    <m/>
    <m/>
    <m/>
    <m/>
    <m/>
  </r>
  <r>
    <s v="EQU-0026"/>
    <s v="IS000140"/>
    <m/>
    <s v="NOTA NÃO ENCONTRADA"/>
    <s v="Classe para Equip. Oficina Fz Santo Expedito"/>
    <s v="SEM PLACA"/>
    <s v="SEM CHASSI"/>
    <x v="113"/>
    <s v="NOTA NÃO ENCONTRADA"/>
    <s v="NOTA NÃO ENCONTRADA"/>
    <d v="2015-11-19T00:00:00"/>
    <n v="30000"/>
    <s v="OK"/>
    <s v="JATOBA"/>
  </r>
  <r>
    <s v="MAQ-0002"/>
    <s v="IS000141"/>
    <m/>
    <s v="NOTA NÃO ENCONTRADA"/>
    <s v="Classe para Maquinas Implementos  Agricola Fz Jatoba"/>
    <s v="SEM PLACA"/>
    <s v="HBZNW20ECE06"/>
    <x v="114"/>
    <s v="NOTA NÃO ENCONTRADA"/>
    <s v="NOTA NÃO ENCONTRADA"/>
    <d v="2015-11-19T00:00:00"/>
    <n v="230000"/>
    <s v="OK"/>
    <m/>
  </r>
  <r>
    <s v="IS000142"/>
    <s v="IS000142"/>
    <m/>
    <s v="TERRAS "/>
    <s v="Classe para Terras"/>
    <s v="SEM PLACA"/>
    <s v="SEM CHASSI"/>
    <x v="115"/>
    <m/>
    <m/>
    <d v="2024-09-30T00:00:00"/>
    <n v="75298"/>
    <s v="IMOVEL RURAL E INSTALAÇÕES "/>
    <s v="GRANDE LESTE"/>
  </r>
  <r>
    <s v="PUL-0003"/>
    <s v="IS000143"/>
    <m/>
    <s v="NOTA NÃO ENCONTRADA"/>
    <s v="Classe para Maq. Imp Agricola"/>
    <s v="SEM PLACA"/>
    <s v="03208D4"/>
    <x v="116"/>
    <s v="NOTA NÃO ENCONTRADA"/>
    <s v="NOTA NÃO ENCONTRADA"/>
    <d v="2015-11-24T00:00:00"/>
    <n v="120000"/>
    <s v="OK"/>
    <s v="SANTO EXPEDITO"/>
  </r>
  <r>
    <s v="IMP-0088"/>
    <s v="IS000144"/>
    <m/>
    <s v="NOTA NÃO ENCONTRADA"/>
    <s v="Classe para Maquinas Implementos  Agricola Fz St Expedito"/>
    <s v="SEM PLACA"/>
    <s v="SEM CHASSI"/>
    <x v="117"/>
    <s v="NOTA NÃO ENCONTRADA"/>
    <s v="NOTA NÃO ENCONTRADA"/>
    <d v="2015-11-27T00:00:00"/>
    <n v="30000"/>
    <s v="OK"/>
    <s v="SANTO EXPEDITO"/>
  </r>
  <r>
    <s v="MVU-0022"/>
    <s v="IS000145"/>
    <m/>
    <s v="NOTA NÃO ENCONTRADA"/>
    <s v="Classe para Moveis e Utensilios"/>
    <s v="SEM PLACA"/>
    <s v="SEM CHASSI"/>
    <x v="74"/>
    <s v="NOTA NÃO ENCONTRADA"/>
    <s v="NOTA NÃO ENCONTRADA"/>
    <d v="2015-12-03T00:00:00"/>
    <s v="_"/>
    <m/>
    <s v="JATOBA"/>
  </r>
  <r>
    <s v="EQU-0109"/>
    <s v="IS000146"/>
    <m/>
    <s v="NOTA NÃO ENCONTRADA"/>
    <s v="Classe para Equip. Oficina Fz Grande Leste"/>
    <s v="SEM PLACA"/>
    <s v="SEM CHASSI"/>
    <x v="118"/>
    <s v="NOTA NÃO ENCONTRADA"/>
    <s v="NOTA NÃO ENCONTRADA"/>
    <d v="2015-12-07T00:00:00"/>
    <n v="2450"/>
    <s v="OK"/>
    <s v="GRANDE LESTE"/>
  </r>
  <r>
    <s v="MVU-0031"/>
    <s v="IS000147"/>
    <m/>
    <s v="NOTA NÃO ENCONTRADA"/>
    <s v="Classe para Moveis e Utensilios Fz Santa Lucia"/>
    <s v="SEM PLACA"/>
    <s v="SEM CHASSI"/>
    <x v="119"/>
    <s v="NOTA NÃO ENCONTRADA"/>
    <s v="NOTA NÃO ENCONTRADA"/>
    <d v="2015-12-09T00:00:00"/>
    <s v="_"/>
    <m/>
    <s v="GRANDE LESTE"/>
  </r>
  <r>
    <s v="IMP-0049"/>
    <s v="IS000148"/>
    <m/>
    <s v="NOTA NÃO ENCONTRADA"/>
    <s v="Classe para Maq. Imp Agricola"/>
    <s v="SEM PLACA"/>
    <s v="SEM CHASSI"/>
    <x v="120"/>
    <s v="NOTA NÃO ENCONTRADA"/>
    <s v="NOTA NÃO ENCONTRADA"/>
    <d v="2015-12-27T00:00:00"/>
    <n v="5000"/>
    <s v="OK"/>
    <s v="SANTO EXPEDITO"/>
  </r>
  <r>
    <s v="EQI-0078"/>
    <s v="IS000149"/>
    <m/>
    <s v="NOTA NÃO ENCONTRADA"/>
    <s v="Classe para Moveis e Utensilios"/>
    <s v="SEM PLACA"/>
    <s v="SEM CHASSI"/>
    <x v="121"/>
    <s v="NOTA NÃO ENCONTRADA"/>
    <s v="NOTA NÃO ENCONTRADA"/>
    <d v="2016-01-21T00:00:00"/>
    <n v="5000"/>
    <s v="OK"/>
    <s v="JATOBA"/>
  </r>
  <r>
    <s v="EQU-0035"/>
    <s v="IS000150"/>
    <m/>
    <s v="NOTA NÃO ENCONTRADA"/>
    <s v="Classe para Equip. Oficina Fz Santo Expedito"/>
    <s v="SEM PLACA"/>
    <s v="SEM CHASSI"/>
    <x v="122"/>
    <s v="NOTA NÃO ENCONTRADA"/>
    <s v="NOTA NÃO ENCONTRADA"/>
    <d v="2016-02-02T00:00:00"/>
    <n v="1000"/>
    <m/>
    <m/>
  </r>
  <r>
    <s v="MVU-0045"/>
    <s v="IS000151"/>
    <m/>
    <s v="NOTA NÃO ENCONTRADA"/>
    <s v="Classe para Moveis e Utensilios Fz Santa Lucia"/>
    <s v="SEM PLACA"/>
    <s v="SEM CHASSI"/>
    <x v="123"/>
    <s v="NOTA NÃO ENCONTRADA"/>
    <s v="NOTA NÃO ENCONTRADA"/>
    <d v="2016-02-11T00:00:00"/>
    <n v="1470"/>
    <m/>
    <m/>
  </r>
  <r>
    <s v="IMP-0066"/>
    <s v="IS000152"/>
    <m/>
    <s v="NOTA NÃO ENCONTRADA"/>
    <s v="Classe para Maquinas Implementos  Agricola Fz Jatoba"/>
    <s v="SEM PLACA"/>
    <s v="ALEI-160035 / ALEI-160034"/>
    <x v="124"/>
    <s v="NOTA NÃO ENCONTRADA"/>
    <s v="NOTA NÃO ENCONTRADA"/>
    <d v="2016-05-10T00:00:00"/>
    <n v="120000"/>
    <s v="OK"/>
    <s v="JATOBA"/>
  </r>
  <r>
    <s v="IMP-0056"/>
    <s v="IS000153"/>
    <m/>
    <s v="NOTA NÃO ENCONTRADA"/>
    <s v="Classe para Maq. Imp Agricola"/>
    <s v="SEM PLACA"/>
    <s v="SEM CHASSI"/>
    <x v="79"/>
    <s v="NOTA NÃO ENCONTRADA"/>
    <s v="NOTA NÃO ENCONTRADA"/>
    <d v="2016-05-14T00:00:00"/>
    <n v="182000"/>
    <s v="OK"/>
    <s v="JATOBA"/>
  </r>
  <r>
    <s v="IMP-0032"/>
    <s v="IS000154"/>
    <m/>
    <s v="NOTA NÃO ENCONTRADA"/>
    <s v="Classe para Maq. Imp Agricola"/>
    <s v="SEM PLACA"/>
    <s v="SEM CHASSI"/>
    <x v="125"/>
    <s v="NOTA NÃO ENCONTRADA"/>
    <s v="NOTA NÃO ENCONTRADA"/>
    <d v="2016-06-17T00:00:00"/>
    <n v="50000"/>
    <m/>
    <m/>
  </r>
  <r>
    <s v="MVU-0024"/>
    <s v="IS000155"/>
    <m/>
    <s v="NOTA NÃO ENCONTRADA"/>
    <s v="Classe para Moveis e Utensilios"/>
    <s v="SEM PLACA"/>
    <s v="SEM CHASSI"/>
    <x v="126"/>
    <s v="NOTA NÃO ENCONTRADA"/>
    <s v="NOTA NÃO ENCONTRADA"/>
    <d v="2016-06-18T00:00:00"/>
    <n v="2200"/>
    <s v="OK"/>
    <s v="JATOBA"/>
  </r>
  <r>
    <s v="EQU-0001"/>
    <s v="IS000156"/>
    <m/>
    <s v="NOTA NÃO ENCONTRADA"/>
    <s v="Classe para Equip. Oficina"/>
    <s v="SEM PLACA"/>
    <s v="SEM CHASSI"/>
    <x v="127"/>
    <s v="NOTA NÃO ENCONTRADA"/>
    <s v="NOTA NÃO ENCONTRADA"/>
    <d v="2016-06-21T00:00:00"/>
    <n v="1158.05"/>
    <s v="OK"/>
    <m/>
  </r>
  <r>
    <s v="IMP-0081"/>
    <s v="IS000157"/>
    <m/>
    <s v="NOTA NÃO ENCONTRADA"/>
    <s v="Classe para Maq. Imp Agricola"/>
    <s v="SEM PLACA"/>
    <s v="F01"/>
    <x v="128"/>
    <s v="NOTA NÃO ENCONTRADA"/>
    <s v="NOTA NÃO ENCONTRADA"/>
    <d v="2016-08-26T00:00:00"/>
    <n v="6000"/>
    <m/>
    <m/>
  </r>
  <r>
    <s v="IS000158"/>
    <s v="IS000158"/>
    <m/>
    <n v="391"/>
    <s v="Classe para Equip. Oficina Fz Grande Leste"/>
    <s v="SEM PLACA"/>
    <s v="SEM CHASSI"/>
    <x v="25"/>
    <s v="EBARA BOMBAS AMERICA DO SUL LTDA - LEM"/>
    <s v="46.138.319/0001-89"/>
    <d v="2025-05-26T00:00:00"/>
    <n v="120089.87"/>
    <m/>
    <s v="GRANDE LESTE"/>
  </r>
  <r>
    <s v="IMP-0176"/>
    <s v="IS000159"/>
    <m/>
    <s v="NOTA NÃO ENCONTRADA"/>
    <s v="Classe para Maquinas Implementos  Agricola Fz St Expedito"/>
    <s v="SEM PLACA"/>
    <s v="SEM CHASSI"/>
    <x v="129"/>
    <s v="NOTA NÃO ENCONTRADA"/>
    <s v="NOTA NÃO ENCONTRADA"/>
    <d v="2016-10-09T00:00:00"/>
    <n v="100000"/>
    <m/>
    <m/>
  </r>
  <r>
    <s v="EQI-0061"/>
    <s v="IS000160"/>
    <m/>
    <s v="NOTA NÃO ENCONTRADA"/>
    <s v="Classe para Informatica e Comunicaçao"/>
    <s v="SEM PLACA"/>
    <s v="SEM CHASSI"/>
    <x v="130"/>
    <s v="NOTA NÃO ENCONTRADA"/>
    <s v="NOTA NÃO ENCONTRADA"/>
    <d v="2016-10-14T00:00:00"/>
    <n v="789"/>
    <m/>
    <m/>
  </r>
  <r>
    <s v="EQU-0068"/>
    <s v="IS000161"/>
    <m/>
    <s v="NOTA NÃO ENCONTRADA"/>
    <s v="Classe para equip. Diversos Fz Santo Expedito"/>
    <s v="SEM PLACA"/>
    <s v="SEM CHASSI"/>
    <x v="131"/>
    <s v="NOTA NÃO ENCONTRADA"/>
    <s v="NOTA NÃO ENCONTRADA"/>
    <d v="2016-10-14T00:00:00"/>
    <n v="3454.25"/>
    <s v="OK"/>
    <s v="SANTO EXPEDITO"/>
  </r>
  <r>
    <s v="EQU-0120"/>
    <s v="IS000162"/>
    <m/>
    <s v="NOTA NÃO ENCONTRADA"/>
    <s v="Classe para Equip. Diversos Ubs Fz Santa lucia"/>
    <s v="SEM PLACA"/>
    <s v="SEM CHASSI"/>
    <x v="131"/>
    <s v="NOTA NÃO ENCONTRADA"/>
    <s v="NOTA NÃO ENCONTRADA"/>
    <d v="2016-10-14T00:00:00"/>
    <n v="3454.25"/>
    <s v="OK"/>
    <s v="SANTA LUCIA"/>
  </r>
  <r>
    <s v="EQU-0006"/>
    <s v="IS000163"/>
    <m/>
    <s v="NOTA NÃO ENCONTRADA"/>
    <s v="Classe para Equip. Oficina Fz Santo Expedito"/>
    <s v="SEM PLACA"/>
    <s v="SEM CHASSI"/>
    <x v="132"/>
    <s v="NOTA NÃO ENCONTRADA"/>
    <s v="NOTA NÃO ENCONTRADA"/>
    <d v="2016-10-15T00:00:00"/>
    <n v="15000"/>
    <m/>
    <m/>
  </r>
  <r>
    <s v="IMP-0065"/>
    <s v="IS000164"/>
    <m/>
    <s v="NOTA NÃO ENCONTRADA"/>
    <s v="Classe para Maquinas Implementos  Agricola Fz St Expedito"/>
    <s v="SEM PLACA"/>
    <s v="SEM CHASSI"/>
    <x v="133"/>
    <s v="NOTA NÃO ENCONTRADA"/>
    <s v="NOTA NÃO ENCONTRADA"/>
    <d v="2016-10-17T00:00:00"/>
    <n v="5000"/>
    <s v="OK"/>
    <s v="SANTO EXPEDITO"/>
  </r>
  <r>
    <s v="EQU-0044"/>
    <s v="IS000165"/>
    <m/>
    <s v="NOTA NÃO ENCONTRADA"/>
    <s v="Classe para Equip. Oficina"/>
    <s v="SEM PLACA"/>
    <s v="SEM CHASSI"/>
    <x v="134"/>
    <s v="NOTA NÃO ENCONTRADA"/>
    <s v="NOTA NÃO ENCONTRADA"/>
    <d v="2016-11-21T00:00:00"/>
    <n v="5000"/>
    <m/>
    <m/>
  </r>
  <r>
    <s v="MVU-0032"/>
    <s v="IS000166"/>
    <m/>
    <s v="NOTA NÃO ENCONTRADA"/>
    <s v="Classe para Moveis e Utensilios Fz Santo Expedito"/>
    <s v="SEM PLACA"/>
    <s v="SEM CHASSI"/>
    <x v="135"/>
    <s v="NOTA NÃO ENCONTRADA"/>
    <s v="NOTA NÃO ENCONTRADA"/>
    <d v="2016-12-03T00:00:00"/>
    <s v="_"/>
    <s v="OK"/>
    <s v="SANTO EXPEDITO"/>
  </r>
  <r>
    <s v="EQU-0136"/>
    <s v="IS000167"/>
    <m/>
    <s v="NOTA NÃO ENCONTRADA"/>
    <s v="Classe para Equip. Diversos"/>
    <s v="SEM PLACA"/>
    <s v="SEM CHASSI"/>
    <x v="136"/>
    <s v="NOTA NÃO ENCONTRADA"/>
    <s v="NOTA NÃO ENCONTRADA"/>
    <d v="2016-12-06T00:00:00"/>
    <n v="999"/>
    <s v="OK"/>
    <s v="SANTA LUCIA"/>
  </r>
  <r>
    <s v="MVU-0023"/>
    <s v="IS000168"/>
    <m/>
    <s v="NOTA NÃO ENCONTRADA"/>
    <s v="Classe para Moveis e Utensilios"/>
    <s v="SEM PLACA"/>
    <s v="SEM CHASSI"/>
    <x v="137"/>
    <s v="NOTA NÃO ENCONTRADA"/>
    <s v="NOTA NÃO ENCONTRADA"/>
    <d v="2016-12-18T00:00:00"/>
    <n v="2299.13"/>
    <s v="OK"/>
    <s v="JATOBA"/>
  </r>
  <r>
    <s v="IMP-0055"/>
    <s v="IS000169"/>
    <m/>
    <s v="NOTA NÃO ENCONTRADA"/>
    <s v="Classe para Maq. Imp Agricola"/>
    <s v="SEM PLACA"/>
    <s v="D2-816"/>
    <x v="79"/>
    <s v="NOTA NÃO ENCONTRADA"/>
    <s v="NOTA NÃO ENCONTRADA"/>
    <d v="2016-12-26T00:00:00"/>
    <n v="182000"/>
    <s v="OK"/>
    <s v="JATOBA"/>
  </r>
  <r>
    <s v="IMP-0058"/>
    <s v="IS000170"/>
    <m/>
    <s v="NOTA NÃO ENCONTRADA"/>
    <s v="Classe para Maq. Imp Agricola"/>
    <s v="SEM PLACA"/>
    <s v="D2-811"/>
    <x v="79"/>
    <s v="NOTA NÃO ENCONTRADA"/>
    <s v="NOTA NÃO ENCONTRADA"/>
    <d v="2016-12-26T00:00:00"/>
    <n v="173000"/>
    <s v="OK"/>
    <s v="JATOBA"/>
  </r>
  <r>
    <s v="IMP-0062"/>
    <s v="IS000171"/>
    <m/>
    <s v="NOTA NÃO ENCONTRADA"/>
    <s v="Classe para Maq. Imp Agricola"/>
    <s v="SEM PLACA"/>
    <s v="D2-824"/>
    <x v="79"/>
    <s v="NOTA NÃO ENCONTRADA"/>
    <s v="NOTA NÃO ENCONTRADA"/>
    <d v="2016-12-26T00:00:00"/>
    <n v="173000"/>
    <s v="OK"/>
    <s v="JATOBA"/>
  </r>
  <r>
    <s v="EQI-0064"/>
    <s v="IS000172"/>
    <m/>
    <s v="NOTA NÃO ENCONTRADA"/>
    <s v="Classe para Informatica e Comunicaçao"/>
    <s v="SEM PLACA"/>
    <s v="SEM CHASSI"/>
    <x v="138"/>
    <s v="NOTA NÃO ENCONTRADA"/>
    <s v="NOTA NÃO ENCONTRADA"/>
    <d v="2017-01-25T00:00:00"/>
    <n v="1923"/>
    <m/>
    <m/>
  </r>
  <r>
    <s v="EQU-0010"/>
    <s v="IS000173"/>
    <m/>
    <s v="NOTA NÃO ENCONTRADA"/>
    <s v="Classe para Equip. Oficina"/>
    <s v="SEM PLACA"/>
    <s v="SEM CHASSI"/>
    <x v="139"/>
    <s v="NOTA NÃO ENCONTRADA"/>
    <s v="NOTA NÃO ENCONTRADA"/>
    <d v="2017-01-29T00:00:00"/>
    <n v="2000"/>
    <s v="OK"/>
    <m/>
  </r>
  <r>
    <s v="IMP-0053"/>
    <s v="IS000174"/>
    <m/>
    <s v="NOTA NÃO ENCONTRADA"/>
    <s v="Classe para Maq. Imp Agricola"/>
    <s v="SEM PLACA"/>
    <s v="LB433R00113"/>
    <x v="140"/>
    <s v="MAXUM MAQUINAS E EQUIPAMENTOS LTDA"/>
    <s v="VIA CARGA"/>
    <d v="2017-02-10T00:00:00"/>
    <n v="280000"/>
    <s v="OK"/>
    <s v="GRANDE LESTE"/>
  </r>
  <r>
    <s v="IMO-039"/>
    <s v="IS000175"/>
    <m/>
    <n v="3997"/>
    <s v="Classe para Equip. Diversos Fz Santa Lucia"/>
    <s v="SEM PLACA"/>
    <s v="SEM CHASSI"/>
    <x v="141"/>
    <s v="JF COMERCIO DE PARAFUSOS FERRAMENTAS E MAQUINAS LTDA"/>
    <s v="42.215.694/0001-24"/>
    <d v="2025-06-17T00:00:00"/>
    <n v="2749.8"/>
    <m/>
    <s v="SANTA LUCIA"/>
  </r>
  <r>
    <s v="IS000176"/>
    <s v="IS000176"/>
    <m/>
    <n v="73700"/>
    <s v="Classe para Equip. Oficina Fz Santa Lucia"/>
    <s v="SEM PLACA"/>
    <s v="SEM CHASSI"/>
    <x v="142"/>
    <s v="PORTO BRASIL AGRICOLA EIRELI"/>
    <s v="34.054.429/0002-64"/>
    <d v="2025-06-17T00:00:00"/>
    <n v="9454"/>
    <s v="IMOVEL RURAL E INSTALAÇÕES "/>
    <m/>
  </r>
  <r>
    <s v="MVU-0015"/>
    <s v="IS000177"/>
    <s v="2920 0609 5590 1000 0136 5500 2000 0456 8117 6610 9040"/>
    <n v="45681"/>
    <s v="Classe para Moveis e Utensilios Fz Santo Expedito"/>
    <s v="SEM PLACA"/>
    <s v="SEM CHASSI"/>
    <x v="143"/>
    <s v="GERAS ELETROMOVEIS LTDA"/>
    <s v="09.559.010/0001-36"/>
    <d v="2017-03-28T00:00:00"/>
    <n v="2549"/>
    <s v="OK"/>
    <s v="SANTO EXPEDITO"/>
  </r>
  <r>
    <s v="IMP-0019"/>
    <s v="IS000178"/>
    <m/>
    <s v="NOTA NÃO ENCONTRADA"/>
    <s v="Classe para Maquinas Implementos  Agricola Fz Santa Lucia"/>
    <s v="SEM PLACA"/>
    <s v="0192/010"/>
    <x v="144"/>
    <s v="NOTA NÃO ENCONTRADA"/>
    <s v="NOTA NÃO ENCONTRADA"/>
    <d v="2017-04-01T00:00:00"/>
    <n v="35000"/>
    <s v="OK"/>
    <s v="SANTO EXPEDITO"/>
  </r>
  <r>
    <s v="EQU-0045"/>
    <s v="IS000179"/>
    <m/>
    <s v="NOTA NÃO ENCONTRADA"/>
    <s v="Classe para Equip. Oficina Fz Santo Expedito"/>
    <s v="SEM PLACA"/>
    <s v="SEM CHASSI"/>
    <x v="145"/>
    <s v="NOTA NÃO ENCONTRADA"/>
    <s v="NOTA NÃO ENCONTRADA"/>
    <d v="2017-04-28T00:00:00"/>
    <n v="20000"/>
    <s v="OK"/>
    <s v="SANTO EXPEDITO"/>
  </r>
  <r>
    <s v="IMO-035"/>
    <s v="IS000180"/>
    <m/>
    <s v="TERRAS "/>
    <s v="Classe para Terras"/>
    <s v="SEM PLACA"/>
    <s v="SEM CHASSI"/>
    <x v="146"/>
    <m/>
    <m/>
    <d v="2017-05-16T00:00:00"/>
    <n v="2153265.29"/>
    <s v="IMOVEL RURAL E INSTALAÇÕES "/>
    <m/>
  </r>
  <r>
    <s v="IMO-037"/>
    <s v="IS000181"/>
    <m/>
    <s v="TERRAS "/>
    <s v="Classe para Terras"/>
    <s v="SEM PLACA"/>
    <s v="SEM CHASSI"/>
    <x v="147"/>
    <m/>
    <m/>
    <d v="2017-05-16T00:00:00"/>
    <n v="4002880.92"/>
    <s v="IMOVEL RURAL E INSTALAÇÕES "/>
    <m/>
  </r>
  <r>
    <s v="IMP-0087"/>
    <s v="IS000182"/>
    <m/>
    <s v="NOTA NÃO ENCONTRADA"/>
    <s v="Classe para Maq. Imp Agricola"/>
    <s v="SEM PLACA"/>
    <s v="SEM CHASSI"/>
    <x v="148"/>
    <s v="NOTA NÃO ENCONTRADA"/>
    <s v="NOTA NÃO ENCONTRADA"/>
    <d v="2017-05-16T00:00:00"/>
    <n v="4000"/>
    <s v="OK"/>
    <s v="JATOBA"/>
  </r>
  <r>
    <s v="IMO-036"/>
    <s v="IS000183"/>
    <m/>
    <s v="TERRAS "/>
    <s v="Classe para Terras"/>
    <s v="SEM PLACA"/>
    <s v="SEM CHASSI"/>
    <x v="149"/>
    <m/>
    <m/>
    <d v="2017-05-17T00:00:00"/>
    <n v="1153506.5"/>
    <s v="IMOVEL RURAL E INSTALAÇÕES "/>
    <m/>
  </r>
  <r>
    <s v="IMP-0118"/>
    <s v="IS000184"/>
    <m/>
    <s v="NOTA NÃO ENCONTRADA"/>
    <s v="Classe para Maquinas Implementos  Agricola Fz St Expedito"/>
    <s v="SEM PLACA"/>
    <s v="SEM CHASSI"/>
    <x v="150"/>
    <s v="NOTA NÃO ENCONTRADA"/>
    <s v="NOTA NÃO ENCONTRADA"/>
    <d v="2017-05-25T00:00:00"/>
    <n v="7000"/>
    <s v="OK"/>
    <s v="SANTO EXPEDITO"/>
  </r>
  <r>
    <s v="IMO-034"/>
    <s v="IS000185"/>
    <m/>
    <s v="TERRAS "/>
    <s v="Classe para Terras"/>
    <s v="SEM PLACA"/>
    <s v="SEM CHASSI"/>
    <x v="151"/>
    <m/>
    <m/>
    <d v="2017-06-15T00:00:00"/>
    <n v="2491054.7200000002"/>
    <s v="IMOVEL RURAL E INSTALAÇÕES "/>
    <m/>
  </r>
  <r>
    <s v="IMP-0039"/>
    <s v="IS000186"/>
    <m/>
    <s v="NOTA NÃO ENCONTRADA"/>
    <s v="Classe para Equip. Diversos"/>
    <s v="SEM PLACA"/>
    <s v="SEM CHASSI"/>
    <x v="38"/>
    <s v="NOTA NÃO ENCONTRADA"/>
    <s v="NOTA NÃO ENCONTRADA"/>
    <d v="2017-06-19T00:00:00"/>
    <n v="10000"/>
    <m/>
    <m/>
  </r>
  <r>
    <s v="EQI-0013"/>
    <s v="IS000187"/>
    <m/>
    <n v="28836"/>
    <s v="Classe para Moveis e Utensilios Fz Santo Expedito"/>
    <s v="SEM PLACA"/>
    <s v="SEM CHASSI"/>
    <x v="152"/>
    <s v="RAPHAEL AUGUSTO PACHECO MODICA"/>
    <s v="04.127.630/0001-82"/>
    <d v="2017-06-26T00:00:00"/>
    <n v="2500"/>
    <s v="OK"/>
    <s v="SANTO EXPEDITO"/>
  </r>
  <r>
    <s v="IS000188"/>
    <s v="IS000188"/>
    <m/>
    <n v="73700"/>
    <s v="Classe para Equip. Diversos Fz Santa Lucia"/>
    <s v="SEM PLACA"/>
    <s v="SEM CHASSI"/>
    <x v="153"/>
    <s v="PORTO BRASIL AGRICOLA EIRELI"/>
    <s v="34.054.429/0002-64"/>
    <d v="2025-05-26T00:00:00"/>
    <n v="4050"/>
    <m/>
    <m/>
  </r>
  <r>
    <s v="IMP-0092"/>
    <s v="IS000189"/>
    <m/>
    <s v="NOTA NÃO ENCONTRADA"/>
    <s v="Classe para Maq. Imp Agricola"/>
    <s v="SEM PLACA"/>
    <s v="MB34C400779"/>
    <x v="154"/>
    <s v="NOTA NÃO ENCONTRADA"/>
    <s v="NOTA NÃO ENCONTRADA"/>
    <d v="2017-07-01T00:00:00"/>
    <n v="50000"/>
    <m/>
    <m/>
  </r>
  <r>
    <s v="IMP-0061"/>
    <s v="IS000190"/>
    <m/>
    <s v="NOTA NÃO ENCONTRADA"/>
    <s v="Classe para Maq. Imp Agricola"/>
    <s v="SEM PLACA"/>
    <s v="D2-886"/>
    <x v="79"/>
    <s v="NOTA NÃO ENCONTRADA"/>
    <s v="NOTA NÃO ENCONTRADA"/>
    <d v="2017-07-15T00:00:00"/>
    <n v="192600"/>
    <s v="OK"/>
    <s v="JATOBA"/>
  </r>
  <r>
    <s v="IMP-0074"/>
    <s v="IS000191"/>
    <m/>
    <s v="NOTA NÃO ENCONTRADA"/>
    <s v="Classe para Maq. Imp Agricola"/>
    <s v="SEM PLACA"/>
    <s v="CFFL170077"/>
    <x v="155"/>
    <s v="MORMAL SILVA E SOUZA"/>
    <s v="VIA CARGA"/>
    <d v="2017-08-24T00:00:00"/>
    <n v="151000"/>
    <s v="OK"/>
    <s v="GRANDE LESTE"/>
  </r>
  <r>
    <s v="IMP-0075"/>
    <s v="IS000192"/>
    <m/>
    <s v="NOTA NÃO ENCONTRADA"/>
    <s v="Classe para Maq. Imp Agricola"/>
    <s v="SEM PLACA"/>
    <s v="CFFL170126"/>
    <x v="155"/>
    <s v="MORMAL SILVA E SOUZA"/>
    <s v="VIA CARGA"/>
    <d v="2017-08-24T00:00:00"/>
    <n v="151000"/>
    <s v="OK"/>
    <s v="GRANDE LESTE"/>
  </r>
  <r>
    <s v="IMP-0057"/>
    <s v="IS000193"/>
    <m/>
    <s v="NOTA NÃO ENCONTRADA"/>
    <s v="Classe para Maq. Imp Agricola"/>
    <s v="SEM PLACA"/>
    <s v="SEM CHASSI"/>
    <x v="79"/>
    <s v="NOTA NÃO ENCONTRADA"/>
    <s v="NOTA NÃO ENCONTRADA"/>
    <d v="2017-09-06T00:00:00"/>
    <n v="192600"/>
    <s v="OK"/>
    <s v="JATOBA"/>
  </r>
  <r>
    <s v="IMP-0059"/>
    <s v="IS000194"/>
    <m/>
    <s v="NOTA NÃO ENCONTRADA"/>
    <s v="Classe para Maq. Imp Agricola"/>
    <s v="SEM PLACA"/>
    <s v="SEM CHASSI"/>
    <x v="79"/>
    <s v="NOTA NÃO ENCONTRADA"/>
    <s v="NOTA NÃO ENCONTRADA"/>
    <d v="2017-09-06T00:00:00"/>
    <n v="192600"/>
    <s v="OK"/>
    <s v="JATOBA"/>
  </r>
  <r>
    <s v="IMP-0060"/>
    <s v="IS000195"/>
    <m/>
    <s v="NOTA NÃO ENCONTRADA"/>
    <s v="Classe para Maq. Imp Agricola"/>
    <s v="SEM PLACA"/>
    <s v="D2-887"/>
    <x v="79"/>
    <s v="NOTA NÃO ENCONTRADA"/>
    <s v="NOTA NÃO ENCONTRADA"/>
    <d v="2017-09-06T00:00:00"/>
    <n v="192600"/>
    <s v="OK"/>
    <s v="JATOBA"/>
  </r>
  <r>
    <s v="VEI-0017"/>
    <s v="IS000196"/>
    <m/>
    <s v="NOTA NÃO ENCONTRADA"/>
    <s v="Classe para Veiculos Fz Santo Expedito"/>
    <s v="BQJ0290"/>
    <s v="9BM386389PB968204"/>
    <x v="156"/>
    <s v="NOTA NÃO ENCONTRADA"/>
    <s v="NOTA NÃO ENCONTRADA"/>
    <d v="2017-09-20T00:00:00"/>
    <n v="115000"/>
    <s v="OK"/>
    <s v="SANTO EXPEDITO"/>
  </r>
  <r>
    <s v="IMP-0024"/>
    <s v="IS000197"/>
    <m/>
    <s v="NOTA NÃO ENCONTRADA"/>
    <s v="Classe para Maq. Imp Agricola"/>
    <s v="SEM PLACA"/>
    <s v="SEM CHASSI"/>
    <x v="157"/>
    <s v="NOTA NÃO ENCONTRADA"/>
    <s v="NOTA NÃO ENCONTRADA"/>
    <d v="2017-10-01T00:00:00"/>
    <n v="10000"/>
    <m/>
    <m/>
  </r>
  <r>
    <s v="IMP-0040"/>
    <s v="IS000198"/>
    <m/>
    <s v="NOTA NÃO ENCONTRADA"/>
    <s v="Classe para Maquinas Implementos  Agricola Fz Jatoba"/>
    <s v="SEM PLACA"/>
    <n v="4001"/>
    <x v="158"/>
    <s v="NOTA NÃO ENCONTRADA"/>
    <s v="NOTA NÃO ENCONTRADA"/>
    <d v="2017-10-01T00:00:00"/>
    <n v="50000"/>
    <s v="OK"/>
    <s v="GRANDE LESTE"/>
  </r>
  <r>
    <s v="IMP-0051"/>
    <s v="IS000199"/>
    <m/>
    <s v="NOTA NÃO ENCONTRADA"/>
    <s v="Classe para Equip. Diversos"/>
    <s v="SEM PLACA"/>
    <s v="SEM CHASSI"/>
    <x v="38"/>
    <s v="NOTA NÃO ENCONTRADA"/>
    <s v="NOTA NÃO ENCONTRADA"/>
    <d v="2017-10-01T00:00:00"/>
    <n v="6000"/>
    <s v="OK"/>
    <s v="SANTA LUCIA"/>
  </r>
  <r>
    <s v="IMP-0068"/>
    <s v="IS000200"/>
    <m/>
    <s v="NOTA NÃO ENCONTRADA"/>
    <s v="Classe para Equip. Diversos"/>
    <s v="SEM PLACA"/>
    <s v="SEM CHASSI"/>
    <x v="159"/>
    <s v="NOTA NÃO ENCONTRADA"/>
    <s v="NOTA NÃO ENCONTRADA"/>
    <d v="2017-10-01T00:00:00"/>
    <n v="15000"/>
    <m/>
    <m/>
  </r>
  <r>
    <s v="IMP-0137"/>
    <s v="IS000201"/>
    <m/>
    <s v="NOTA NÃO ENCONTRADA"/>
    <s v="Classe para Equip. Diversos"/>
    <s v="SEM PLACA"/>
    <s v="SEM CHASSI"/>
    <x v="38"/>
    <s v="NOTA NÃO ENCONTRADA"/>
    <s v="NOTA NÃO ENCONTRADA"/>
    <d v="2017-10-01T00:00:00"/>
    <n v="10000"/>
    <m/>
    <m/>
  </r>
  <r>
    <s v="IMP-0110"/>
    <s v="IS000202"/>
    <m/>
    <s v="NOTA NÃO ENCONTRADA"/>
    <s v="Classe para Maq. Imp Agricola"/>
    <s v="SEM PLACA"/>
    <s v="SEM CHASSI"/>
    <x v="160"/>
    <s v="NOTA NÃO ENCONTRADA"/>
    <s v="NOTA NÃO ENCONTRADA"/>
    <d v="2017-10-10T00:00:00"/>
    <n v="10000"/>
    <m/>
    <m/>
  </r>
  <r>
    <s v="IMP-0131"/>
    <s v="IS000203"/>
    <m/>
    <s v="NOTA NÃO ENCONTRADA"/>
    <s v="Classe para Maq. Imp Agricola"/>
    <s v="SEM PLACA"/>
    <s v="SEM CHASSI"/>
    <x v="160"/>
    <s v="NOTA NÃO ENCONTRADA"/>
    <s v="NOTA NÃO ENCONTRADA"/>
    <d v="2017-10-10T00:00:00"/>
    <n v="10000"/>
    <m/>
    <m/>
  </r>
  <r>
    <s v="IMP-0132"/>
    <s v="IS000204"/>
    <m/>
    <s v="NOTA NÃO ENCONTRADA"/>
    <s v="Classe para Maq. Imp Agricola"/>
    <s v="SEM PLACA"/>
    <s v="SEM CHASSI"/>
    <x v="160"/>
    <s v="NOTA NÃO ENCONTRADA"/>
    <s v="NOTA NÃO ENCONTRADA"/>
    <d v="2017-10-10T00:00:00"/>
    <n v="10000"/>
    <m/>
    <m/>
  </r>
  <r>
    <s v="IMP-0133"/>
    <s v="IS000205"/>
    <m/>
    <s v="NOTA NÃO ENCONTRADA"/>
    <s v="Classe para Maq. Imp Agricola"/>
    <s v="SEM PLACA"/>
    <s v="SEM CHASSI"/>
    <x v="161"/>
    <s v="NOTA NÃO ENCONTRADA"/>
    <s v="NOTA NÃO ENCONTRADA"/>
    <d v="2017-10-10T00:00:00"/>
    <n v="10000"/>
    <m/>
    <m/>
  </r>
  <r>
    <s v="IMP-0134"/>
    <s v="IS000206"/>
    <m/>
    <s v="NOTA NÃO ENCONTRADA"/>
    <s v="Classe para Maq. Imp Agricola"/>
    <s v="SEM PLACA"/>
    <s v="SEM CHASSI"/>
    <x v="161"/>
    <s v="NOTA NÃO ENCONTRADA"/>
    <s v="NOTA NÃO ENCONTRADA"/>
    <d v="2017-10-10T00:00:00"/>
    <n v="10000"/>
    <m/>
    <m/>
  </r>
  <r>
    <s v="IMP-0135"/>
    <s v="IS000207"/>
    <m/>
    <s v="NOTA NÃO ENCONTRADA"/>
    <s v="Classe para Maq. Imp Agricola"/>
    <s v="SEM PLACA"/>
    <s v="SEM CHASSI"/>
    <x v="161"/>
    <s v="NOTA NÃO ENCONTRADA"/>
    <s v="NOTA NÃO ENCONTRADA"/>
    <d v="2017-10-10T00:00:00"/>
    <n v="10000"/>
    <m/>
    <m/>
  </r>
  <r>
    <s v="EQU-0015"/>
    <s v="IS000208"/>
    <m/>
    <s v="NOTA NÃO ENCONTRADA"/>
    <s v="Classe para Equip. Oficina Fz Santo Expedito"/>
    <s v="SEM PLACA"/>
    <s v="SEM CHASSI"/>
    <x v="162"/>
    <s v="NOTA NÃO ENCONTRADA"/>
    <s v="NOTA NÃO ENCONTRADA"/>
    <d v="2017-10-11T00:00:00"/>
    <n v="22000"/>
    <s v="OK"/>
    <s v="SANTO EXPEDITO"/>
  </r>
  <r>
    <s v="EQU-0016"/>
    <s v="IS000209"/>
    <m/>
    <s v="NOTA NÃO ENCONTRADA"/>
    <s v="Classe para Equip. Diversos Fz Santa Lucia"/>
    <s v="SEM PLACA"/>
    <s v="SEM CHASSI"/>
    <x v="162"/>
    <s v="NOTA NÃO ENCONTRADA"/>
    <s v="NOTA NÃO ENCONTRADA"/>
    <d v="2017-10-11T00:00:00"/>
    <n v="22000"/>
    <s v="OK"/>
    <s v="SANTA LUCIA"/>
  </r>
  <r>
    <s v="PLA-0008"/>
    <s v="IS000210"/>
    <s v="2917 1011 6735 6200 0112 5500 1000 0235 8116 2069 8799"/>
    <n v="23581"/>
    <s v="Classe para Maquinas Implementos  Agricola Fz St Expedito"/>
    <s v="SEM PLACA"/>
    <s v="ABS-BH 10184"/>
    <x v="163"/>
    <s v="CAMPOESTE-MAQUINAS BAHIA LTDA"/>
    <s v="11.673.562/0001-12"/>
    <d v="2017-10-26T00:00:00"/>
    <n v="810000"/>
    <s v="OK"/>
    <s v="SANTO EXPEDITO"/>
  </r>
  <r>
    <s v="IS000211"/>
    <s v="IS000211"/>
    <m/>
    <s v="IMOVEIS"/>
    <s v="Classe para Imoveis Santa Lucia"/>
    <s v="SEM PLACA"/>
    <s v="SEM CHASSI"/>
    <x v="164"/>
    <m/>
    <m/>
    <d v="2024-09-30T00:00:00"/>
    <n v="90473.48"/>
    <s v="IMOVEL RURAL E INSTALAÇÕES "/>
    <s v="SANTA LUCIA"/>
  </r>
  <r>
    <s v="AER-0001"/>
    <s v="IS000212"/>
    <m/>
    <n v="1512"/>
    <s v="Classe para aeronaves agricolas"/>
    <s v="SEM PLACA"/>
    <s v="SEM CHASSI"/>
    <x v="165"/>
    <s v="VIA CARGA"/>
    <s v="VIA CARGA"/>
    <d v="2017-11-24T00:00:00"/>
    <n v="2302725.16"/>
    <m/>
    <m/>
  </r>
  <r>
    <s v="VEI-0020"/>
    <s v="IS000213"/>
    <m/>
    <s v="NOTA NÃO ENCONTRADA"/>
    <s v="Classe para Veiculos Fz Santo Expedito"/>
    <s v="SEM PLACA"/>
    <s v="9C2KE0238JR300247"/>
    <x v="166"/>
    <s v="LUZ MOTOS, COMERCIO, SERVICOS E PECAS LTDA"/>
    <s v="VIA CARGA"/>
    <d v="2017-11-30T00:00:00"/>
    <n v="11800"/>
    <s v="OK"/>
    <s v="SANTO EXPEDITO"/>
  </r>
  <r>
    <s v="IS000214"/>
    <s v="IS000214"/>
    <m/>
    <s v="IMOVEIS"/>
    <s v="Classe para Imoveis St Expedito"/>
    <s v="SEM PLACA"/>
    <s v="SEM CHASSI"/>
    <x v="167"/>
    <m/>
    <m/>
    <d v="2024-09-30T00:00:00"/>
    <n v="253385.86"/>
    <s v="IMOVEL RURAL E INSTALAÇÕES "/>
    <s v="SANTO EXPEDITO"/>
  </r>
  <r>
    <s v="EQU-0113"/>
    <s v="IS000215"/>
    <m/>
    <s v="NOTA NÃO ENCONTRADA"/>
    <s v="Classe para Equip. Diversos"/>
    <s v="SEM PLACA"/>
    <s v="SEM CHASSI"/>
    <x v="168"/>
    <s v="NOTA NÃO ENCONTRADA"/>
    <s v="NOTA NÃO ENCONTRADA"/>
    <d v="2017-12-07T00:00:00"/>
    <n v="2250"/>
    <m/>
    <m/>
  </r>
  <r>
    <s v="IMP-0126"/>
    <s v="IS000216"/>
    <m/>
    <s v="NOTA NÃO ENCONTRADA"/>
    <s v="Classe para Maquinas Implementos  Agricola Fz St Expedito"/>
    <s v="SEM PLACA"/>
    <s v="SEM CHASSI"/>
    <x v="169"/>
    <s v="NOTA NÃO ENCONTRADA"/>
    <s v="NOTA NÃO ENCONTRADA"/>
    <d v="2018-01-01T00:00:00"/>
    <n v="10000"/>
    <s v="OK"/>
    <s v="SANTO EXPEDITO"/>
  </r>
  <r>
    <s v="MVU-0021"/>
    <s v="IS000217"/>
    <m/>
    <s v="NOTA NÃO ENCONTRADA"/>
    <s v="Classe para Moveis e Utensilios"/>
    <s v="SEM PLACA"/>
    <s v="SEM CHASSI"/>
    <x v="170"/>
    <s v="NOTA NÃO ENCONTRADA"/>
    <s v="NOTA NÃO ENCONTRADA"/>
    <d v="2018-01-17T00:00:00"/>
    <n v="3290"/>
    <s v="OK"/>
    <s v="JATOBA"/>
  </r>
  <r>
    <s v="EQU-0025"/>
    <s v="IS000218"/>
    <s v="2918 0173 3831 9200 0136 5500 2000 0307 3910 0030 7391"/>
    <n v="30739"/>
    <s v="Classe para Equip. Oficina"/>
    <s v="SEM PLACA"/>
    <s v="SEM CHASSI"/>
    <x v="171"/>
    <s v="AGROTOTAL COM DE PECAS E EQUIP AGRICOLA LTDA"/>
    <s v="73.383.192/0001-36"/>
    <d v="2018-01-26T00:00:00"/>
    <n v="2456.81"/>
    <s v="OK"/>
    <s v="JATOBA"/>
  </r>
  <r>
    <s v="EQU-0022"/>
    <s v="IS000219"/>
    <s v="2918 0201 9660 2600 0151 5500 3000 0472 4216 3020 0014"/>
    <n v="47242"/>
    <s v="Classe para Equip. Diversos Fz Santa Lucia"/>
    <s v="SEM PLACA"/>
    <s v="SEM CHASSI"/>
    <x v="172"/>
    <s v="DEUSDETE SOUSA SANTIAGO e CIA LTDA"/>
    <s v="01.966.026/0001-51"/>
    <d v="2018-02-02T00:00:00"/>
    <n v="3050"/>
    <s v="OK"/>
    <m/>
  </r>
  <r>
    <s v="EQU-0047"/>
    <s v="IS000220"/>
    <s v="2918 0201 9660 2600 0151 5500 3000 0472 4216 3020 0014"/>
    <n v="47242"/>
    <s v="Classe para Equip. Diversos"/>
    <s v="SEM PLACA"/>
    <s v="SEM CHASSI"/>
    <x v="173"/>
    <s v="DEUSDETE SOUSA SANTIAGO e CIA LTDA"/>
    <s v="01.966.026/0001-51"/>
    <d v="2018-02-02T00:00:00"/>
    <n v="3050"/>
    <s v="OK"/>
    <m/>
  </r>
  <r>
    <s v="EQU-0024"/>
    <s v="IS000221"/>
    <m/>
    <s v="NOTA NÃO ENCONTRADA"/>
    <s v="Classe para equip. Diversos Fz Santo Expedito"/>
    <s v="SEM PLACA"/>
    <s v="SEM CHASSI"/>
    <x v="174"/>
    <s v="NOTA NÃO ENCONTRADA"/>
    <s v="NOTA NÃO ENCONTRADA"/>
    <d v="2018-02-05T00:00:00"/>
    <n v="12000"/>
    <s v="OK"/>
    <m/>
  </r>
  <r>
    <s v="IMO-038"/>
    <s v="IS000222"/>
    <m/>
    <s v="TERRAS "/>
    <s v="Classe para Terras"/>
    <s v="SEM PLACA"/>
    <s v="SEM CHASSI"/>
    <x v="175"/>
    <m/>
    <m/>
    <d v="2018-02-19T00:00:00"/>
    <n v="1730625.39"/>
    <s v="IMOVEL RURAL E INSTALAÇÕES "/>
    <m/>
  </r>
  <r>
    <s v="MVU-0001"/>
    <s v="IS000223"/>
    <s v="2918 0209 5590 1000 0136 5500 2000 0255 8510 0025 5850"/>
    <n v="25585"/>
    <s v="Classe para Moveis e Utensilios"/>
    <s v="SEM PLACA"/>
    <s v="SEM CHASSI"/>
    <x v="176"/>
    <s v="GERAS ELETROMOVES LTDA"/>
    <s v="09.559.010/0001-36"/>
    <d v="2018-02-21T00:00:00"/>
    <n v="1749"/>
    <m/>
    <m/>
  </r>
  <r>
    <s v="MVU-0003"/>
    <s v="IS000224"/>
    <m/>
    <n v="44918"/>
    <s v="Classe para Moveis e Utensilios"/>
    <s v="SEM PLACA"/>
    <s v="SEM CHASSI"/>
    <x v="177"/>
    <s v="HOHL MAQUINAS AGRICOLAS LTDA"/>
    <s v="01.608.488/0008-73"/>
    <d v="2018-03-02T00:00:00"/>
    <n v="1635"/>
    <s v="OK"/>
    <m/>
  </r>
  <r>
    <s v="EQU-0031"/>
    <s v="IS000225"/>
    <m/>
    <s v="NOTA NÃO ENCONTRADA"/>
    <s v="Classe para Equip. Diversos"/>
    <s v="SEM PLACA"/>
    <s v="SEM CHASSI"/>
    <x v="178"/>
    <s v="NOTA NÃO ENCONTRADA"/>
    <s v="NOTA NÃO ENCONTRADA"/>
    <d v="2018-03-05T00:00:00"/>
    <n v="1398"/>
    <m/>
    <m/>
  </r>
  <r>
    <s v="MVU-0005"/>
    <s v="IS000226"/>
    <m/>
    <s v="NOTA NÃO ENCONTRADA"/>
    <s v="Classe para Moveis e Utensilios"/>
    <s v="SEM PLACA"/>
    <s v="SEM CHASSI"/>
    <x v="179"/>
    <s v="NOTA NÃO ENCONTRADA"/>
    <s v="NOTA NÃO ENCONTRADA"/>
    <d v="2018-03-08T00:00:00"/>
    <n v="2701.25"/>
    <s v="OK"/>
    <s v="SANTO EXPEDITO"/>
  </r>
  <r>
    <s v="EQI-0051"/>
    <s v="IS000227"/>
    <s v="3520 0661 0998 3402 1783 5502 7000 3048 5810 2545 6609"/>
    <n v="304858"/>
    <s v="Classe para Informatica e Comunicaçao"/>
    <s v="SEM PLACA"/>
    <s v="SEM CHASSI"/>
    <x v="180"/>
    <s v="ARTHUR LUNDGREN TECIDOS S A CASAS PERNAMBUCANAS"/>
    <s v="61.099.834/0217-83"/>
    <d v="2018-03-21T00:00:00"/>
    <n v="1520"/>
    <m/>
    <m/>
  </r>
  <r>
    <s v="IS000228"/>
    <s v="IS000228"/>
    <m/>
    <n v="29887"/>
    <s v="Classe para Informatica e Comunicaçao Fz Santa Lucia"/>
    <s v="SEM PLACA"/>
    <s v="SEM CHASSI"/>
    <x v="181"/>
    <s v="TECNOSUL COMPANY LTDA"/>
    <s v="26.037.394/0001-46"/>
    <d v="2025-04-16T00:00:00"/>
    <n v="3799"/>
    <m/>
    <s v="SANTA LUCIA"/>
  </r>
  <r>
    <s v="MVU-0004"/>
    <s v="IS000229"/>
    <s v="2918 0309 5590 1000 0136 5500 2000 0260 3510 0026 0356"/>
    <n v="26035"/>
    <s v="Classe para Moveis e Utensilios"/>
    <s v="SEM PLACA"/>
    <s v="SEM CHASSI"/>
    <x v="182"/>
    <s v="GERAS ELETROMOVES LTDA"/>
    <s v="09.559.010/0001-36"/>
    <d v="2018-03-28T00:00:00"/>
    <s v="_"/>
    <s v=" "/>
    <s v="GRANDE LESTE"/>
  </r>
  <r>
    <s v="IMP-0027"/>
    <s v="IS000230"/>
    <m/>
    <s v="NOTA NÃO ENCONTRADA"/>
    <s v="Classe para Maq. Imp Agricola"/>
    <s v="SEM PLACA"/>
    <s v="SEM CHASSI"/>
    <x v="183"/>
    <s v="NOTA NÃO ENCONTRADA"/>
    <s v="NOTA NÃO ENCONTRADA"/>
    <d v="2018-03-30T00:00:00"/>
    <n v="15000"/>
    <s v="OK"/>
    <s v="SANTA LUCIA"/>
  </r>
  <r>
    <s v="EQI-0057"/>
    <s v="IS000231"/>
    <m/>
    <s v="NOTA NÃO ENCONTRADA"/>
    <s v="Classe para Informatica e Comunicaçao Fz St Expedito"/>
    <s v="SEM PLACA"/>
    <s v="SEM CHASSI"/>
    <x v="138"/>
    <s v="NOTA NÃO ENCONTRADA"/>
    <s v="NOTA NÃO ENCONTRADA"/>
    <d v="2018-03-31T00:00:00"/>
    <n v="1362.93"/>
    <s v="OK"/>
    <s v="SANTO EXPEDITO"/>
  </r>
  <r>
    <s v="IS000232"/>
    <s v="IS000232"/>
    <m/>
    <n v="46974"/>
    <s v="Classe para Moveis e Utensilios Fz Grande Leste"/>
    <s v="SEM PLACA"/>
    <s v="SEM CHASSI"/>
    <x v="46"/>
    <s v="Nosso Lar Lojas de Departamentos Ltda-Lj111"/>
    <s v="00.607.587/0029-00"/>
    <d v="2025-11-04T00:00:00"/>
    <n v="1713"/>
    <m/>
    <m/>
  </r>
  <r>
    <s v="IS000233"/>
    <s v="IS000233"/>
    <m/>
    <n v="29859"/>
    <s v="Classe para Informatica e Comunicaçao Fz Santa Lucia"/>
    <s v="SEM PLACA"/>
    <s v="SEM CHASSI"/>
    <x v="181"/>
    <s v="TECNOSUL COMPANY LTDA"/>
    <s v="26.037.394/0001-46"/>
    <d v="2025-04-16T00:00:00"/>
    <n v="3790"/>
    <m/>
    <s v="SANTA LUCIA"/>
  </r>
  <r>
    <s v="MVU-0009"/>
    <s v="IS000234"/>
    <s v="5218 0401 6084 8800 0105 5500 1000 3539 1510 0818 0356"/>
    <n v="353915"/>
    <s v="Classe para Moveis e Utensilios Fz Santo Expedito"/>
    <s v="SEM PLACA"/>
    <s v="SEM CHASSI"/>
    <x v="184"/>
    <s v="HOHL MAQUINAS AGRICOLAS LTDA"/>
    <s v="01.608.488/0001-05"/>
    <d v="2018-04-06T00:00:00"/>
    <n v="2200"/>
    <s v="OK"/>
    <s v="SANTO EXPEDITO"/>
  </r>
  <r>
    <s v="EQI-0067"/>
    <s v="IS000235"/>
    <m/>
    <s v="NOTA NÃO ENCONTRADA"/>
    <s v="Classe para Informatica e Comunicaçao Fz Santa Lucia"/>
    <s v="SEM PLACA"/>
    <s v="SEM CHASSI"/>
    <x v="138"/>
    <s v="NOTA NÃO ENCONTRADA"/>
    <s v="NOTA NÃO ENCONTRADA"/>
    <d v="2018-04-08T00:00:00"/>
    <n v="1066.22"/>
    <s v="OK"/>
    <m/>
  </r>
  <r>
    <s v="IS000236"/>
    <s v="IS000236"/>
    <m/>
    <n v="2934"/>
    <s v="Classe para Informatica e Comunicaçao Fz Jatoba"/>
    <s v="SEM PLACA"/>
    <s v="SEM CHASSI"/>
    <x v="185"/>
    <s v="MELLO E MELLO TECNOLOGIA LTDA."/>
    <s v="24.923.049/0001-84"/>
    <d v="2025-10-02T00:00:00"/>
    <n v="1890"/>
    <m/>
    <m/>
  </r>
  <r>
    <s v="VEI-0025"/>
    <s v="IS000237"/>
    <s v="3118 0468 5280 1700 0150 5500 1000 0014 2910 6030 9079"/>
    <n v="1429"/>
    <s v="Classe para Veiculos"/>
    <s v="GWB6399"/>
    <n v="34502112553864"/>
    <x v="186"/>
    <s v="CONSTRUTORA COWAN SIA"/>
    <s v="68.528.017/0001-50"/>
    <d v="2018-04-16T00:00:00"/>
    <n v="38000"/>
    <s v="OK"/>
    <s v="JATOBA"/>
  </r>
  <r>
    <s v="EQI-0054"/>
    <s v="IS000238"/>
    <m/>
    <s v="NOTA NÃO ENCONTRADA"/>
    <s v="Classe para Informatica e Comunicaçao Fz St Expedito"/>
    <s v="SEM PLACA"/>
    <s v="SEM CHASSI"/>
    <x v="187"/>
    <s v="NOTA NÃO ENCONTRADA"/>
    <s v="NOTA NÃO ENCONTRADA"/>
    <d v="2018-04-25T00:00:00"/>
    <n v="899"/>
    <s v="OK"/>
    <s v="JATOBA"/>
  </r>
  <r>
    <s v="EQU-0079"/>
    <s v="IS000239"/>
    <m/>
    <n v="48975"/>
    <s v="Classe para equip. Diversos Fz Santo Expedito"/>
    <s v="SEM PLACA"/>
    <s v="SEM CHASSI"/>
    <x v="188"/>
    <s v="DEUSDETE SOUSA SANTIAGO e CIA LTDA"/>
    <s v="01.966.026/0001-51"/>
    <d v="2018-05-04T00:00:00"/>
    <n v="3074.43"/>
    <m/>
    <m/>
  </r>
  <r>
    <s v="EQU-0038"/>
    <s v="IS000240"/>
    <s v="4118 0520 4307 1400 0147 5500 1000 0001 4317 9480 0701"/>
    <n v="143"/>
    <s v="Classe para Equip. Oficina Fz Grande Leste"/>
    <s v="SEM PLACA"/>
    <s v="SEM CHASSI"/>
    <x v="189"/>
    <s v="MULTIEQUIPAMENTOS LTDA  "/>
    <s v="20.430.714/0001-47"/>
    <d v="2018-05-05T00:00:00"/>
    <n v="25800"/>
    <s v="OK"/>
    <m/>
  </r>
  <r>
    <s v="EQI-0007"/>
    <s v="IS000241"/>
    <s v="3318 0500 7765 7400 1390 5500 5016 1658 9111 4044 1392"/>
    <n v="16165891"/>
    <s v="Classe para Informatica e Comunicaçao"/>
    <s v="SEM PLACA"/>
    <s v="SEM CHASSI"/>
    <x v="190"/>
    <s v="B2W COMPANHIA DIGITAL"/>
    <s v="00.776.574/0013-90"/>
    <d v="2018-05-08T00:00:00"/>
    <n v="1919.98"/>
    <m/>
    <m/>
  </r>
  <r>
    <s v="EQI-0072"/>
    <s v="IS000242"/>
    <m/>
    <s v="NOTA NÃO ENCONTRADA"/>
    <s v="Classe para Informatica e Comunicaçao"/>
    <s v="SEM PLACA"/>
    <s v="SEM CHASSI"/>
    <x v="191"/>
    <s v="NOTA NÃO ENCONTRADA"/>
    <s v="NOTA NÃO ENCONTRADA"/>
    <d v="2018-05-08T00:00:00"/>
    <n v="500"/>
    <m/>
    <m/>
  </r>
  <r>
    <s v="EQU-0037"/>
    <s v="IS000243"/>
    <m/>
    <n v="143"/>
    <s v="Classe para Equip. Oficina"/>
    <s v="SEM PLACA"/>
    <s v="SEM CHASSI"/>
    <x v="192"/>
    <s v="MULTIEQUIPAMENTOS LTDA ME "/>
    <s v="20.430.714/0001-47"/>
    <d v="2018-05-09T00:00:00"/>
    <n v="30000"/>
    <m/>
    <m/>
  </r>
  <r>
    <s v="EQU-0117"/>
    <s v="IS000244"/>
    <m/>
    <s v="NOTA NÃO ENCONTRADA"/>
    <s v="Classe para Moveis e Utensilios"/>
    <s v="SEM PLACA"/>
    <s v="SEM CHASSI"/>
    <x v="193"/>
    <s v="NOTA NÃO ENCONTRADA"/>
    <s v="NOTA NÃO ENCONTRADA"/>
    <d v="2018-05-12T00:00:00"/>
    <n v="16500"/>
    <m/>
    <m/>
  </r>
  <r>
    <s v="EQU-0118"/>
    <s v="IS000245"/>
    <m/>
    <s v="NOTA NÃO ENCONTRADA"/>
    <s v="Classe para Moveis e Utensilios"/>
    <s v="SEM PLACA"/>
    <s v="SEM CHASSI"/>
    <x v="194"/>
    <s v="NOTA NÃO ENCONTRADA"/>
    <s v="NOTA NÃO ENCONTRADA"/>
    <d v="2018-05-12T00:00:00"/>
    <n v="16500"/>
    <m/>
    <m/>
  </r>
  <r>
    <s v="EQI-0005"/>
    <s v="IS000246"/>
    <m/>
    <s v="NOTA NÃO ENCONTRADA"/>
    <s v="Classe para Informatica e Comunicaçao"/>
    <s v="SEM PLACA"/>
    <s v="SEM CHASSI"/>
    <x v="195"/>
    <s v="NOTA NÃO ENCONTRADA"/>
    <s v="NOTA NÃO ENCONTRADA"/>
    <d v="2018-06-06T00:00:00"/>
    <n v="1335"/>
    <m/>
    <m/>
  </r>
  <r>
    <s v="EQU-0119"/>
    <s v="IS000247"/>
    <m/>
    <n v="84829"/>
    <s v="Classe para Equip. Oficina"/>
    <s v="SEM PLACA"/>
    <s v="SEM CHASSI"/>
    <x v="196"/>
    <s v="BC FERRAMENTARIA"/>
    <s v="31.539.004/0001-76"/>
    <d v="2018-06-06T00:00:00"/>
    <n v="2699.9"/>
    <s v="OK"/>
    <s v="JATOBA"/>
  </r>
  <r>
    <s v="MVU-0007"/>
    <s v="IS000248"/>
    <s v="2918 0609 5590 1000 0136 5500 2000 0269 8610 0026 9867"/>
    <n v="26986"/>
    <s v="Classe para Equip. Diversos"/>
    <s v="SEM PLACA"/>
    <s v="SEM CHASSI"/>
    <x v="197"/>
    <s v="GERAS ELETROMOVES LTDA"/>
    <s v="09.559.010/0001-36"/>
    <d v="2018-06-07T00:00:00"/>
    <s v="_"/>
    <s v="OK"/>
    <s v="JATOBA"/>
  </r>
  <r>
    <s v="EQU-0078"/>
    <s v="IS000249"/>
    <m/>
    <n v="33564"/>
    <s v="Classe para equip. Diversos Fz Santo Expedito"/>
    <s v="SEM PLACA"/>
    <s v="SEM CHASSI"/>
    <x v="198"/>
    <s v="AGROTOTAL COM DE PECAS E EQUIP AGRICOLA LTDA"/>
    <s v="73.383.192/0001-36"/>
    <d v="2018-06-15T00:00:00"/>
    <n v="3466"/>
    <m/>
    <m/>
  </r>
  <r>
    <s v="EQU-0046"/>
    <s v="IS000250"/>
    <s v="4318 0604 3412 0100 0103 5500 1000 0008 0910 0807 0402"/>
    <n v="809"/>
    <s v="Classe para Equip. Diversos Fz Grande Leste"/>
    <s v="SEM PLACA"/>
    <s v="SEM CHASSI"/>
    <x v="199"/>
    <s v="OZ INO DE EQUIP GERADORES DE OZONO LTDA"/>
    <s v="04.341.201/0001-03"/>
    <d v="2018-06-18T00:00:00"/>
    <n v="6800"/>
    <s v="OK"/>
    <m/>
  </r>
  <r>
    <s v="EQU-0057"/>
    <s v="IS000251"/>
    <m/>
    <n v="811"/>
    <s v="Classe para equip. Diversos Fz Santo Expedito"/>
    <s v="SEM PLACA"/>
    <s v="SEM CHASSI"/>
    <x v="199"/>
    <s v="OZ - Industria de Equipamentos Geradores de Ozonio Ltda"/>
    <s v="04.341.201/0001-03"/>
    <d v="2018-06-18T00:00:00"/>
    <n v="6800"/>
    <s v="OK"/>
    <s v="SANTO EXPEDITO"/>
  </r>
  <r>
    <s v="EQU-0051"/>
    <s v="IS000252"/>
    <m/>
    <n v="49918"/>
    <s v="Classe para Equip. Diversos"/>
    <s v="SEM PLACA"/>
    <s v="SEM CHASSI"/>
    <x v="188"/>
    <s v="DEUSDETE SOUSA SANTIAGO e CIA LTDA"/>
    <s v="01.966.026/0001-51"/>
    <d v="2018-06-19T00:00:00"/>
    <n v="3038"/>
    <m/>
    <m/>
  </r>
  <r>
    <s v="IS000253"/>
    <s v="IS000253"/>
    <m/>
    <n v="43597"/>
    <s v="Classe para Maq. Imp Agricola"/>
    <m/>
    <m/>
    <x v="200"/>
    <s v="BORRACHAS ANHANGUERA LTDA"/>
    <s v="07.421.103/0001-74"/>
    <d v="2025-06-16T00:00:00"/>
    <n v="7855"/>
    <s v="OK"/>
    <s v="JATOBA"/>
  </r>
  <r>
    <s v="IS000254"/>
    <s v="IS000254"/>
    <m/>
    <n v="30111"/>
    <s v="Classe para Informatica e Comunicaçao Fz Grande Leste"/>
    <s v="SEM PLACA"/>
    <s v="SEM CHASSI"/>
    <x v="201"/>
    <s v="TECNOSUL COMPANY LTDA"/>
    <s v="26.037.394/0001-46"/>
    <d v="2025-05-05T00:00:00"/>
    <n v="3998"/>
    <m/>
    <m/>
  </r>
  <r>
    <s v="MVU-0019"/>
    <s v="IS000255"/>
    <m/>
    <s v="NOTA NÃO ENCONTRADA"/>
    <s v="Classe para Moveis e Utensilios"/>
    <s v="SEM PLACA"/>
    <s v="SEM CHASSI"/>
    <x v="177"/>
    <s v="NOTA NÃO ENCONTRADA"/>
    <s v="NOTA NÃO ENCONTRADA"/>
    <d v="2018-07-02T00:00:00"/>
    <s v="_"/>
    <m/>
    <m/>
  </r>
  <r>
    <s v="IMP-0178"/>
    <s v="IS000256"/>
    <m/>
    <s v="NOTA NÃO ENCONTRADA"/>
    <s v="Classe para Maquinas Implementos  Agricola Fz St Expedito"/>
    <s v="SEM PLACA"/>
    <s v="SEM CHASSI"/>
    <x v="202"/>
    <s v="NOTA NÃO ENCONTRADA"/>
    <s v="NOTA NÃO ENCONTRADA"/>
    <d v="2018-07-05T00:00:00"/>
    <n v="28500"/>
    <s v="OK"/>
    <s v="SANTO EXPEDITO"/>
  </r>
  <r>
    <s v="IMP-0179"/>
    <s v="IS000257"/>
    <m/>
    <s v="NOTA NÃO ENCONTRADA"/>
    <s v="Classe para Equip. Diversos"/>
    <s v="SEM PLACA"/>
    <s v="SEM CHASSI"/>
    <x v="203"/>
    <s v="NOTA NÃO ENCONTRADA"/>
    <s v="NOTA NÃO ENCONTRADA"/>
    <d v="2018-07-05T00:00:00"/>
    <n v="24500"/>
    <s v="OK"/>
    <s v="SANTA LUCIA"/>
  </r>
  <r>
    <s v="TRA-0030"/>
    <s v="IS000258"/>
    <s v="2918 0740 5123 3700 0445 5500 1000 0851 6210 0341 1822"/>
    <n v="85162"/>
    <s v="Classe para Maq. Imp Agricola"/>
    <s v="SEM PLACA"/>
    <s v="1BM6100EAJA001132"/>
    <x v="204"/>
    <s v="AGROSUL MAQUINAS LTDA"/>
    <s v="40.512.337/0004-45"/>
    <d v="2018-07-11T00:00:00"/>
    <n v="135000"/>
    <s v="OK"/>
    <s v="SANTO EXPEDITO"/>
  </r>
  <r>
    <s v="TRA-0032"/>
    <s v="IS000259"/>
    <s v="2918 0740 5123 3700 0445 5500 1000 0851 6310 0566 3745"/>
    <n v="85163"/>
    <s v="Classe para Maq. Imp Agricola"/>
    <s v="SEM PLACA"/>
    <s v="1BM6100EKJA001187"/>
    <x v="204"/>
    <s v="AGROSUL MAQUINAS LTDA"/>
    <s v="40.512.337/0004-45"/>
    <d v="2018-07-11T00:00:00"/>
    <n v="135000"/>
    <s v="OK"/>
    <m/>
  </r>
  <r>
    <s v="TRA-0033"/>
    <s v="IS000260"/>
    <s v="2918 0740 5123 3700 0445 5500 1000 0851 5810 0169 9060"/>
    <n v="85158"/>
    <s v="Classe para Maquinas Implementos  Agricola Fz St Expedito"/>
    <s v="SEM PLACA"/>
    <s v="1BM6100ETJ001140"/>
    <x v="204"/>
    <s v="AGROSUL MAQUINAS LTDA"/>
    <s v="40.512.337/0004-45"/>
    <d v="2018-07-11T00:00:00"/>
    <n v="135000"/>
    <s v="OK"/>
    <s v="JATOBA"/>
  </r>
  <r>
    <s v="TRA-0034"/>
    <s v="IS000261"/>
    <m/>
    <n v="85155"/>
    <s v="Classe para Maquinas Implementos  Agricola Fz Jatoba"/>
    <s v="SEM PLACA"/>
    <s v="1BM6100EPJA001186"/>
    <x v="204"/>
    <s v="AGROSUL MAQUINAS LTDA"/>
    <s v="40.512.337/0004-45"/>
    <d v="2018-07-11T00:00:00"/>
    <n v="135000"/>
    <s v="OK"/>
    <m/>
  </r>
  <r>
    <s v="TRA-0031"/>
    <s v="IS000262"/>
    <s v="2918 0740 5123 3700 0445 5500 1000 0851 6010 0912 5339"/>
    <n v="85160"/>
    <s v="Classe para Maq. Imp Agricola"/>
    <s v="SEM PLACA"/>
    <s v="1BM6100EPJA001141"/>
    <x v="204"/>
    <s v="AGROSUL MAQUINAS LTDA"/>
    <s v="40.512.337/0004-45"/>
    <d v="2018-07-17T00:00:00"/>
    <n v="135000"/>
    <s v="OK"/>
    <s v="JATOBA"/>
  </r>
  <r>
    <s v="IMP-0091"/>
    <s v="IS000263"/>
    <m/>
    <s v="NOTA NÃO ENCONTRADA"/>
    <s v="Classe para Maq. Imp Agricola"/>
    <s v="SEM PLACA"/>
    <s v="ALEI180126"/>
    <x v="124"/>
    <s v="NOTA NÃO ENCONTRADA"/>
    <s v="NOTA NÃO ENCONTRADA"/>
    <d v="2018-07-23T00:00:00"/>
    <n v="120000"/>
    <s v="OK"/>
    <s v="JATOBA"/>
  </r>
  <r>
    <s v="IMP-0115"/>
    <s v="IS000264"/>
    <m/>
    <n v="2068"/>
    <s v="Classe para Maq. Imp Agricola"/>
    <s v="SEM PLACA"/>
    <s v="ALEI170055"/>
    <x v="124"/>
    <s v="MORI IND. E COM. IMPL .AGRIC. LTDA -EPP"/>
    <s v="04.799.096/0001-50"/>
    <d v="2018-07-23T00:00:00"/>
    <n v="73500"/>
    <m/>
    <m/>
  </r>
  <r>
    <s v="IMP-0116"/>
    <s v="IS000265"/>
    <m/>
    <n v="2068"/>
    <s v="Classe para Maq. Imp Agricola"/>
    <s v="SEM PLACA"/>
    <s v="ALEI170056"/>
    <x v="124"/>
    <s v="MORI IND. E COM. IMPL. AGRIC. LTDA- EPP"/>
    <s v="VIA CARGA"/>
    <d v="2018-07-23T00:00:00"/>
    <n v="66500"/>
    <m/>
    <m/>
  </r>
  <r>
    <s v="EQU-0049"/>
    <s v="IS000266"/>
    <m/>
    <n v="1993"/>
    <s v="Classe para Equip. Diversos"/>
    <s v="SEM PLACA"/>
    <s v="SEM CHASSI"/>
    <x v="205"/>
    <s v="CARROCERIAS IDEAL LTDA - EPP"/>
    <s v="01.037.506/0001-38"/>
    <d v="2018-07-25T00:00:00"/>
    <n v="14500"/>
    <m/>
    <m/>
  </r>
  <r>
    <s v="EQU-0050"/>
    <s v="IS000267"/>
    <m/>
    <n v="925"/>
    <s v="Classe para Equip. Oficina Fz Santo Expedito"/>
    <s v="SEM PLACA"/>
    <s v="SEM CHASSI"/>
    <x v="206"/>
    <s v="GILMAR A  KOLLN E CIA LTDA "/>
    <s v="79.205.530/0001-26"/>
    <d v="2018-08-14T00:00:00"/>
    <n v="16500"/>
    <s v="OK"/>
    <s v="SANTO EXPEDITO"/>
  </r>
  <r>
    <s v="EQU-0054"/>
    <s v="IS000268"/>
    <s v="2918 0879 2055 3000 0126 5500 1000 0009 2514 1198 5460"/>
    <n v="925"/>
    <s v="Classe para Equip. Oficina Fz Santo Expedito"/>
    <s v="SEM PLACA"/>
    <s v="SEM CHASSI"/>
    <x v="207"/>
    <s v="GILMAR A KOLLN E CIA LTDA"/>
    <s v="79.205.530/0001-26"/>
    <d v="2018-08-14T00:00:00"/>
    <n v="10300"/>
    <s v="OK"/>
    <s v="SANTO EXPEDITO"/>
  </r>
  <r>
    <s v="VEI-0029"/>
    <s v="IS000269"/>
    <m/>
    <n v="37168"/>
    <s v="Classe para Veiculos Fz Santa Lucia"/>
    <s v="PLE3903"/>
    <s v="9BFWEA7B4KBS45955"/>
    <x v="208"/>
    <s v="MAX COMERCIO E SERVICO DE CAMINHOES LTDA"/>
    <s v="07.659.172/0001-10"/>
    <d v="2018-08-22T00:00:00"/>
    <n v="155000"/>
    <m/>
    <m/>
  </r>
  <r>
    <s v="IMP-0112"/>
    <s v="IS000270"/>
    <m/>
    <s v="NOTA NÃO ENCONTRADA"/>
    <s v="Classe para Equip. Diversos"/>
    <s v="SEM PLACA"/>
    <s v="SEM CHASSI"/>
    <x v="209"/>
    <s v="NOTA NÃO ENCONTRADA"/>
    <s v="NOTA NÃO ENCONTRADA"/>
    <d v="2018-09-15T00:00:00"/>
    <n v="2700"/>
    <m/>
    <m/>
  </r>
  <r>
    <s v="EQU-0048"/>
    <s v="IS000271"/>
    <m/>
    <s v="NOTA NÃO ENCONTRADA"/>
    <s v="Classe para Equip. Diversos"/>
    <s v="SEM PLACA"/>
    <s v="SEM CHASSI"/>
    <x v="210"/>
    <s v="VILSON RODRIGUES DA SILVA"/>
    <s v="VIA CARGA"/>
    <d v="2018-09-17T00:00:00"/>
    <n v="8000"/>
    <s v="OK"/>
    <m/>
  </r>
  <r>
    <s v="EQI-0058"/>
    <s v="IS000272"/>
    <m/>
    <s v="NOTA NÃO ENCONTRADA"/>
    <s v="Classe para Informatica e Comunicaçao"/>
    <s v="SEM PLACA"/>
    <s v="SEM CHASSI"/>
    <x v="211"/>
    <s v="NOTA NÃO ENCONTRADA"/>
    <s v="NOTA NÃO ENCONTRADA"/>
    <d v="2018-09-19T00:00:00"/>
    <n v="1362.93"/>
    <m/>
    <m/>
  </r>
  <r>
    <s v="EQU-0139"/>
    <s v="IS000273"/>
    <m/>
    <s v="NOTA NÃO ENCONTRADA"/>
    <s v="Classe para Equip. Diversos Fz Grande Leste"/>
    <s v="SEM PLACA"/>
    <s v="SEM CHASSI"/>
    <x v="212"/>
    <s v="NOTA NÃO ENCONTRADA"/>
    <s v="NOTA NÃO ENCONTRADA"/>
    <d v="2018-09-19T00:00:00"/>
    <n v="5600"/>
    <m/>
    <m/>
  </r>
  <r>
    <s v="TRA-0035"/>
    <s v="IS000274"/>
    <s v="2918 0902 2272 6700 0222 5500 1000 0064 1210 0121 2902"/>
    <n v="6412"/>
    <s v="Classe para Maq. Imp Agricola"/>
    <s v="SEM PLACA"/>
    <s v="HCCZFA95VJCY77197"/>
    <x v="213"/>
    <s v="MAXUM MAQUINAS E EQUIPAMENTOS LTDA"/>
    <s v="02.227.267/0002-22"/>
    <d v="2018-09-24T00:00:00"/>
    <n v="135000"/>
    <s v="OK"/>
    <s v="JATOBA"/>
  </r>
  <r>
    <s v="EQU-0058"/>
    <s v="IS000275"/>
    <s v="2918 0921 5330 9800 0112 5500 1000 0057 6011 1102 6096"/>
    <n v="5760"/>
    <s v="Classe para Equip. Diversos"/>
    <s v="SEM PLACA"/>
    <s v="SEM CHASSI"/>
    <x v="214"/>
    <s v="K COMERCIAL DE MAQUINAS EREU"/>
    <s v="21.533.098/0001-12"/>
    <d v="2018-09-26T00:00:00"/>
    <n v="1799"/>
    <m/>
    <m/>
  </r>
  <r>
    <s v="EQI-0068"/>
    <s v="IS000276"/>
    <m/>
    <s v="NOTA NÃO ENCONTRADA"/>
    <s v="Classe para Informatica e Comunicaçao"/>
    <s v="SEM PLACA"/>
    <s v="SEM CHASSI"/>
    <x v="215"/>
    <s v="NOTA NÃO ENCONTRADA"/>
    <s v="NOTA NÃO ENCONTRADA"/>
    <d v="2018-10-08T00:00:00"/>
    <n v="978"/>
    <m/>
    <m/>
  </r>
  <r>
    <s v="MVU-0010"/>
    <s v="IS000277"/>
    <s v="5218 1001 6084 8800 0105 5500 1000 3732 8510 0848 9650"/>
    <n v="373285"/>
    <s v="Classe para Moveis e Utensilios Fz Santo Expedito"/>
    <s v="SEM PLACA"/>
    <s v="SEM CHASSI"/>
    <x v="216"/>
    <s v="HOHL MAQUINAS AGRICOLAS LTDA"/>
    <s v="01.608.488/0001-05"/>
    <d v="2018-10-19T00:00:00"/>
    <n v="1260"/>
    <s v="OK"/>
    <s v="SANTO EXPEDITO"/>
  </r>
  <r>
    <s v="EQU-0061"/>
    <s v="IS000278"/>
    <s v="5218 1001 7161 8600 0142 5500 2000 4682 6010 0146 5480"/>
    <n v="468260"/>
    <s v="Classe para equip. Diversos Fz Santo Expedito"/>
    <s v="SEM PLACA"/>
    <s v="SEM CHASSI"/>
    <x v="217"/>
    <s v="IMPERIAL COM. DE PARAFUSO FERR E MAQ LTDA"/>
    <s v="01.716.186/0001-42"/>
    <d v="2018-10-22T00:00:00"/>
    <n v="3667.4"/>
    <s v="OK"/>
    <s v="SANTO EXPEDITO"/>
  </r>
  <r>
    <s v="EQU-0059"/>
    <s v="IS000279"/>
    <s v="2918 1005 6979 7500 0134 5500 1000 0010 4617 5380 6449"/>
    <n v="1046"/>
    <s v="Classe para Equip. Oficina Fz Santo Expedito"/>
    <s v="SEM PLACA"/>
    <s v="SEM CHASSI"/>
    <x v="218"/>
    <s v="CANAA COMPRESSORES LTDA ME"/>
    <s v="05.697.975/0001-34"/>
    <d v="2018-10-26T00:00:00"/>
    <n v="6500"/>
    <s v="OK"/>
    <s v="SANTO EXPEDITO"/>
  </r>
  <r>
    <s v="EQI-0004"/>
    <s v="IS000280"/>
    <m/>
    <s v="NOTA NÃO ENCONTRADA"/>
    <s v="Classe para Informatica e Comunicaçao"/>
    <s v="SEM PLACA"/>
    <s v="SEM CHASSI"/>
    <x v="219"/>
    <s v="NOTA NÃO ENCONTRADA"/>
    <s v="NOTA NÃO ENCONTRADA"/>
    <d v="2018-10-31T00:00:00"/>
    <n v="1335"/>
    <s v="OK"/>
    <s v="JATOBA"/>
  </r>
  <r>
    <s v="EQU-0042"/>
    <s v="IS000281"/>
    <s v="3518 1106 3402 9900 0100 5500 1000 0045 2610 0040 2801"/>
    <n v="4526"/>
    <s v="Classe para equip. Diversos Fz Santo Expedito"/>
    <s v="SEM PLACA"/>
    <s v="SEM CHASSI"/>
    <x v="220"/>
    <s v="GINO PANOSSO"/>
    <s v="06.340.299/0001-00"/>
    <d v="2018-11-05T00:00:00"/>
    <n v="6220"/>
    <m/>
    <m/>
  </r>
  <r>
    <s v="IMP-0120"/>
    <s v="IS000282"/>
    <s v="2918 1111 6735 6200 0112 5500 1000 0284 8713 4281 3648"/>
    <n v="28487"/>
    <s v="Classe para Maq. Imp Agricola"/>
    <s v="SEM PLACA"/>
    <s v="S0223760"/>
    <x v="221"/>
    <s v="CAMPOESTE-MAQUNAS BAHIA LTDA"/>
    <s v="11.673.562/0001-12"/>
    <d v="2018-11-14T00:00:00"/>
    <n v="10476"/>
    <s v="OK"/>
    <s v="JATOBA"/>
  </r>
  <r>
    <s v="EQU-0076"/>
    <s v="IS000283"/>
    <s v="2918 1102 2272 6700 0141 5500 1000 0982 3310 0125 5476"/>
    <n v="98233"/>
    <s v="Classe para Equip. Diversos Fz Santa Lucia"/>
    <s v="SEM PLACA"/>
    <s v="SEM CHASSI"/>
    <x v="222"/>
    <s v="MAXUM MAQUINAS E EQUIPAMENTOS LTDA"/>
    <s v="VIA CARGA"/>
    <d v="2018-11-20T00:00:00"/>
    <n v="43500"/>
    <s v="OK"/>
    <m/>
  </r>
  <r>
    <s v="EQU-0149"/>
    <s v="IS000284"/>
    <m/>
    <s v="NOTA NÃO ENCONTRADA"/>
    <s v="Classe para Equip. Diversos Fz Santa Lucia"/>
    <s v="SEM PLACA"/>
    <s v="SEM CHASSI"/>
    <x v="223"/>
    <s v="NOTA NÃO ENCONTRADA"/>
    <s v="NOTA NÃO ENCONTRADA"/>
    <d v="2018-11-20T00:00:00"/>
    <n v="5000"/>
    <s v="OK"/>
    <s v="GRANDE LESTE"/>
  </r>
  <r>
    <s v="EQU-0062"/>
    <s v="IS000285"/>
    <s v="3518 1110 8181 7600 0109 5500 1000 0098 8110 0012 2988"/>
    <n v="9881"/>
    <s v="Classe para Equip. Diversos"/>
    <s v="SEM PLACA"/>
    <s v="SEM CHASSI"/>
    <x v="212"/>
    <s v="IBM COMERCIO DE BOMBAS E MOTORES LTDA"/>
    <s v="VIA CARGA"/>
    <d v="2018-11-22T00:00:00"/>
    <n v="5600"/>
    <m/>
    <m/>
  </r>
  <r>
    <s v="EQU-0055"/>
    <s v="IS000286"/>
    <m/>
    <n v="2271"/>
    <s v="Classe para Equip. Oficina Fz Santo Expedito"/>
    <s v="SEM PLACA"/>
    <s v="SEM CHASSI"/>
    <x v="224"/>
    <s v="SULFILTROS EQUIP. IND. E AMBIENTAIS - EIRELI - ME"/>
    <s v="22.187.515/0001-85"/>
    <d v="2018-11-23T00:00:00"/>
    <n v="12000"/>
    <s v="OK"/>
    <s v="SANTO EXPEDITO"/>
  </r>
  <r>
    <s v="EQI-0081"/>
    <s v="IS000287"/>
    <m/>
    <s v="NOTA NÃO ENCONTRADA"/>
    <s v="Classe para Moveis e Utensilios"/>
    <s v="SEM PLACA"/>
    <s v="SEM CHASSI"/>
    <x v="225"/>
    <s v="NOTA NÃO ENCONTRADA"/>
    <s v="NOTA NÃO ENCONTRADA"/>
    <d v="2018-12-03T00:00:00"/>
    <n v="1500"/>
    <s v="OK"/>
    <s v="ESCRITORIO CENTRAL"/>
  </r>
  <r>
    <s v="VEI-0033"/>
    <s v="IS000288"/>
    <s v="5218 1203 6193 1800 0224 5500 3000 0775 3915 6513 0771"/>
    <n v="77539"/>
    <s v="Classe para Veiculos"/>
    <s v="SEM PLACA"/>
    <s v="9C2KE0236JR300408"/>
    <x v="166"/>
    <s v="MOTO FORMOSA LTDA"/>
    <s v="VIA CARGA"/>
    <d v="2018-12-05T00:00:00"/>
    <n v="12867.2"/>
    <s v="OK"/>
    <s v="JATOBA"/>
  </r>
  <r>
    <s v="IS000289"/>
    <s v="IS000289"/>
    <m/>
    <n v="365"/>
    <s v="Classe para Informatica e Comunicaçao Fz Grande Leste"/>
    <s v="SEM PLACA"/>
    <s v="SEM CHASSI"/>
    <x v="226"/>
    <s v="E R COSTA EIRELI"/>
    <s v="12.215.644/0001-86"/>
    <d v="2025-12-08T00:00:00"/>
    <n v="4500"/>
    <m/>
    <m/>
  </r>
  <r>
    <s v="IS000290"/>
    <s v="IS000290"/>
    <m/>
    <n v="2336"/>
    <s v="Classe para Informatica e Comunicaçao Fz Evangelista"/>
    <s v="SEM PLACA"/>
    <s v="SEM CHASSI"/>
    <x v="227"/>
    <s v="MELLO E MELLO TECNOLOGIA LTDA"/>
    <s v="24.923.049/0001-84"/>
    <d v="2025-04-30T00:00:00"/>
    <n v="3050"/>
    <m/>
    <s v="EVANGELISTA"/>
  </r>
  <r>
    <s v="EQI-0001"/>
    <s v="IS000291"/>
    <m/>
    <s v="NOTA NÃO ENCONTRADA"/>
    <s v="Classe para Informatica e Comunicaçao"/>
    <s v="SEM PLACA"/>
    <s v="SEM CHASSI"/>
    <x v="228"/>
    <s v="NOTA NÃO ENCONTRADA"/>
    <s v="NOTA NÃO ENCONTRADA"/>
    <d v="2018-12-18T00:00:00"/>
    <n v="2449"/>
    <s v="OK"/>
    <s v="GRANDE LESTE"/>
  </r>
  <r>
    <s v="IMP-0128"/>
    <s v="IS000292"/>
    <s v="3518 1204 7990 9600 0150 5500 1000 0022 1010 0002 2102"/>
    <n v="2210"/>
    <s v="Classe para Maq. Imp Agricola"/>
    <s v="SEM PLACA"/>
    <s v="CFFL190167"/>
    <x v="155"/>
    <s v="MORI IND. E COM. IMPL. AGRC. LTDA- EPP"/>
    <s v="04.799.096/0001-50"/>
    <d v="2018-12-18T00:00:00"/>
    <n v="85500"/>
    <s v="OK"/>
    <s v="JATOBA"/>
  </r>
  <r>
    <s v="IMP-0130"/>
    <s v="IS000293"/>
    <s v="3518 1204 7990 9600 0150 5500 1000 0022 1110 0002 2118"/>
    <n v="2211"/>
    <s v="Classe para Maq. Imp Agricola"/>
    <s v="SEM PLACA"/>
    <s v="CFFL190168"/>
    <x v="155"/>
    <s v="MORI IND. E COM. IMPL. AGRC. LTDA- EPP"/>
    <s v="04.799.096/0001-50"/>
    <d v="2018-12-18T00:00:00"/>
    <n v="85500"/>
    <s v="OK"/>
    <s v="JATOBA"/>
  </r>
  <r>
    <s v="EQU-0056"/>
    <s v="IS000294"/>
    <m/>
    <n v="1972"/>
    <s v="Classe para Equip. Diversos"/>
    <s v="SEM PLACA"/>
    <s v="SEM CHASSI"/>
    <x v="229"/>
    <s v="ALVORADA CARROCERIAS METALICAS LTDA"/>
    <s v="25.139.189/0001-29"/>
    <d v="2018-12-19T00:00:00"/>
    <n v="15500"/>
    <m/>
    <m/>
  </r>
  <r>
    <s v="IMP-0125"/>
    <s v="IS000295"/>
    <s v="2918 1213 3732 6500 0187 5500 1000 0111 2416 0762 2387"/>
    <n v="11124"/>
    <s v="Classe para Maquinas Implementos  Agricola Fz St Expedito"/>
    <s v="SEM PLACA"/>
    <s v="SEM CHASSI"/>
    <x v="230"/>
    <s v="UNICAMPO MAQUINAS E EQUIPAMENTOS AGRICOLAS"/>
    <s v="13.373.265/0001-87"/>
    <d v="2018-12-19T00:00:00"/>
    <n v="7500"/>
    <s v="OK"/>
    <s v="SANTO EXPEDITO"/>
  </r>
  <r>
    <s v="EQI-0074"/>
    <s v="IS000296"/>
    <m/>
    <s v="NOTA NÃO ENCONTRADA"/>
    <s v="Classe para Informatica e Comunicaçao"/>
    <s v="SEM PLACA"/>
    <s v="SEM CHASSI"/>
    <x v="231"/>
    <s v="NOTA NÃO ENCONTRADA"/>
    <s v="NOTA NÃO ENCONTRADA"/>
    <d v="2018-12-20T00:00:00"/>
    <n v="1335"/>
    <m/>
    <m/>
  </r>
  <r>
    <s v="EQI-0070"/>
    <s v="IS000297"/>
    <m/>
    <s v="NOTA NÃO ENCONTRADA"/>
    <s v="Classe para Informatica e Comunicaçao Fz Santa Lucia"/>
    <s v="SEM PLACA"/>
    <s v="SEM CHASSI"/>
    <x v="232"/>
    <s v="NOTA NÃO ENCONTRADA"/>
    <s v="NOTA NÃO ENCONTRADA"/>
    <d v="2019-01-03T00:00:00"/>
    <n v="9000"/>
    <m/>
    <m/>
  </r>
  <r>
    <s v="EQI-0071"/>
    <s v="IS000298"/>
    <m/>
    <s v="NOTA NÃO ENCONTRADA"/>
    <s v="Classe para Informatica e Comunicaçao Fz Santa Lucia"/>
    <s v="SEM PLACA"/>
    <s v="SEM CHASSI"/>
    <x v="233"/>
    <s v="NOTA NÃO ENCONTRADA"/>
    <s v="NOTA NÃO ENCONTRADA"/>
    <d v="2019-01-03T00:00:00"/>
    <n v="7400"/>
    <m/>
    <m/>
  </r>
  <r>
    <s v="EQI-0053"/>
    <s v="IS000299"/>
    <s v="2920 0334 3747 0200 0408 5500 3000 0140 2711 6640 8427"/>
    <n v="14027"/>
    <s v="Classe para Informatica e Comunicaçao"/>
    <s v="SEM PLACA"/>
    <s v="SEM CHASSI"/>
    <x v="234"/>
    <s v="BARREIRAS INFORMATICA LTDA"/>
    <s v="34.374.702/0004-08"/>
    <d v="2019-01-08T00:00:00"/>
    <n v="1960"/>
    <m/>
    <m/>
  </r>
  <r>
    <s v="EQI-0056"/>
    <s v="IS000300"/>
    <m/>
    <s v="NOTA NÃO ENCONTRADA"/>
    <s v="Classe para Informatica e Comunicaçao"/>
    <s v="SEM PLACA"/>
    <s v="SEM CHASSI"/>
    <x v="235"/>
    <s v="NOTA NÃO ENCONTRADA"/>
    <s v="NOTA NÃO ENCONTRADA"/>
    <d v="2019-01-09T00:00:00"/>
    <n v="3000"/>
    <m/>
    <m/>
  </r>
  <r>
    <s v="EQI-0008"/>
    <s v="IS000301"/>
    <s v="2919 0179 2055 3000 0126 5500 1000 0010 1810 2289 8423"/>
    <n v="1018"/>
    <s v="Classe para Informatica e Comunicaçao Fz Santa Lucia"/>
    <s v="SEM PLACA"/>
    <s v="SEM CHASSI"/>
    <x v="236"/>
    <s v="GILMAR A KOLLN E CIA LTDA"/>
    <s v="79.205.530/0001-26"/>
    <d v="2019-01-10T00:00:00"/>
    <n v="5336.29"/>
    <m/>
    <m/>
  </r>
  <r>
    <s v="EQI-0009"/>
    <s v="IS000302"/>
    <s v="2919 0179 2055 3000 0126 5500 1000 0010 1810 2289 8423"/>
    <n v="1018"/>
    <s v="Classe para Informatica e Comunicaçao Fz Santa Lucia"/>
    <s v="SEM PLACA"/>
    <s v="SEM CHASSI"/>
    <x v="237"/>
    <s v="GILMAR A KOLLN E CIA LTDA"/>
    <s v="79.205.530/0001-26"/>
    <d v="2019-01-10T00:00:00"/>
    <n v="9663.7099999999991"/>
    <m/>
    <m/>
  </r>
  <r>
    <s v="EQU-0086"/>
    <s v="IS000303"/>
    <s v="5218 1201 7161 8600 0142 5500 2000 4775 4710 0156 1811"/>
    <n v="477547"/>
    <s v="Classe para Equip. Diversos"/>
    <s v="SEM PLACA"/>
    <s v="SEM CHASSI"/>
    <x v="238"/>
    <s v="IMPERIAL COM. DE PARAFUSO FERR. E MAQ LTDA"/>
    <s v="01.716.186/0001-42"/>
    <d v="2019-01-22T00:00:00"/>
    <n v="4788.34"/>
    <s v="OK"/>
    <s v="SANTA LUCIA"/>
  </r>
  <r>
    <s v="EQU-0077"/>
    <s v="IS000304"/>
    <s v="2919 0220 2101 6900 0183 5500 1000 0000 6410 0000 0649"/>
    <n v="64"/>
    <s v="Classe para Equip. Diversos"/>
    <s v="SEM PLACA"/>
    <s v="SEM CHASSI"/>
    <x v="239"/>
    <s v="MRSAGRO DO BRASIL NO. E COM. DE MAQ. AGRIC. LTDA"/>
    <s v="20.210.169/0001-83"/>
    <d v="2019-02-01T00:00:00"/>
    <n v="47500.32"/>
    <m/>
    <m/>
  </r>
  <r>
    <s v="EQI-0052"/>
    <s v="IS000305"/>
    <m/>
    <s v="NOTA NÃO ENCONTRADA"/>
    <s v="Classe para Informatica e Comunicaçao Fz St Expedito"/>
    <s v="SEM PLACA"/>
    <s v="SEM CHASSI"/>
    <x v="240"/>
    <s v="NOTA NÃO ENCONTRADA"/>
    <s v="NOTA NÃO ENCONTRADA"/>
    <d v="2019-02-05T00:00:00"/>
    <n v="930"/>
    <s v="OK"/>
    <s v="SANTO EXPEDITO"/>
  </r>
  <r>
    <s v="EQI-0075"/>
    <s v="IS000306"/>
    <m/>
    <s v="NOTA NÃO ENCONTRADA"/>
    <s v="Classe para Informatica e Comunicaçao"/>
    <s v="SEM PLACA"/>
    <s v="SEM CHASSI"/>
    <x v="138"/>
    <s v="NOTA NÃO ENCONTRADA"/>
    <s v="NOTA NÃO ENCONTRADA"/>
    <d v="2019-02-07T00:00:00"/>
    <n v="1115"/>
    <m/>
    <m/>
  </r>
  <r>
    <s v="EQU-0063"/>
    <s v="IS000307"/>
    <m/>
    <n v="41497"/>
    <s v="Classe para Equip. Diversos"/>
    <s v="SEM PLACA"/>
    <s v="SEM CHASSI"/>
    <x v="241"/>
    <s v="BAMAGRIL - BARCELLOS MAQUINAS AGRICOLAS BAHIA LTDA"/>
    <s v="04.428.098/0001-33"/>
    <d v="2019-02-14T00:00:00"/>
    <n v="4150"/>
    <m/>
    <m/>
  </r>
  <r>
    <s v="COL-0011"/>
    <s v="IS000308"/>
    <m/>
    <n v="20105"/>
    <s v="Classe para Maquinas Implementos  Agricola Fz St Expedito"/>
    <s v="SEM PLACA"/>
    <s v="N09996X026008"/>
    <x v="242"/>
    <s v="SLC AGRICOLA S A"/>
    <s v="89.096.457/0040-61"/>
    <d v="2019-02-19T00:00:00"/>
    <n v="250000"/>
    <s v="OK"/>
    <m/>
  </r>
  <r>
    <s v="IMP-0142"/>
    <s v="IS000309"/>
    <m/>
    <n v="20139"/>
    <s v="Classe para Maq. Imp Agricola"/>
    <s v="SEM PLACA"/>
    <n v="104979"/>
    <x v="243"/>
    <s v="SLC AGRICOLA S A"/>
    <s v="89.096.457/0040-61"/>
    <d v="2019-02-20T00:00:00"/>
    <n v="15000"/>
    <s v="OK"/>
    <m/>
  </r>
  <r>
    <s v="COL-0009"/>
    <s v="IS000310"/>
    <m/>
    <n v="55880"/>
    <s v="Classe para Maquinas Implementos  Agricola Fz Santa Lucia"/>
    <s v="SEM PLACA"/>
    <s v="N09996X024016"/>
    <x v="242"/>
    <s v="SLC AGRICOLA S A"/>
    <s v="89.096.457/0040-61"/>
    <d v="2019-03-06T00:00:00"/>
    <n v="250000"/>
    <s v="OK"/>
    <m/>
  </r>
  <r>
    <s v="EQU-0092"/>
    <s v="IS000311"/>
    <m/>
    <n v="96869"/>
    <s v="Classe para Equip. Diversos"/>
    <s v="SEM PLACA"/>
    <s v="SEM CHASSI"/>
    <x v="244"/>
    <s v="MAXUM MAQUINAS E EQUIPAMENTOS LTDA"/>
    <s v="02.227.267/0001-41"/>
    <d v="2018-10-01T00:00:00"/>
    <n v="26000"/>
    <m/>
    <m/>
  </r>
  <r>
    <s v="EQU-0093"/>
    <s v="IS000312"/>
    <s v="2918 1002 2272 6700 0141 5500 1000 0968 6910 0121 7682"/>
    <n v="96869"/>
    <s v="Classe para Equip. Diversos"/>
    <s v="SEM PLACA"/>
    <s v="SEM CHASSI"/>
    <x v="244"/>
    <s v="MAXUM MAQUINAS E EQUIPAMENTOS LTDA"/>
    <s v="02.227.267/0001-41"/>
    <d v="2019-03-06T00:00:00"/>
    <n v="32500"/>
    <m/>
    <m/>
  </r>
  <r>
    <s v="EQU-0080"/>
    <s v="IS000313"/>
    <s v="5219 0304 7509 5400 0172 5500 1000 0529 1710 0391 8081"/>
    <n v="52917"/>
    <s v="Classe para Equip. Diversos"/>
    <s v="SEM PLACA"/>
    <s v="SEM CHASSI"/>
    <x v="245"/>
    <s v="COMERCIAL JUSTI LTDA ME"/>
    <s v="04.750.954/0001-72"/>
    <d v="2019-03-18T00:00:00"/>
    <n v="1340"/>
    <m/>
    <m/>
  </r>
  <r>
    <s v="PUL-0007"/>
    <s v="IS000314"/>
    <s v="2919 0302 2272 6700 0303 5500 1000 0049 5410 0134 8058"/>
    <n v="4954"/>
    <s v="Classe para Maquinas Implementos  Agricola Fz Santa Lucia"/>
    <s v="SEM PLACA"/>
    <s v="PRCYP350TJPC03236"/>
    <x v="246"/>
    <s v="MAXIJM MAQUINAS E EQUIPAMENTOS LTDA"/>
    <s v="02.227.267/0003-03"/>
    <d v="2019-03-21T00:00:00"/>
    <n v="795000"/>
    <s v="OK"/>
    <s v="SANTO EXPEDITO"/>
  </r>
  <r>
    <s v="TRA-0036"/>
    <s v="IS000315"/>
    <s v="2919 0302 2272 6700 0303 5500 1000 0049 6410 0134 8208"/>
    <n v="4964"/>
    <s v="Classe para Maq. Imp Agricola"/>
    <s v="SEM PLACA"/>
    <s v="HCCZFA95TJCY76783"/>
    <x v="213"/>
    <s v="MAXUM MAQUINAS E EQUIPAMENTOS LTDA"/>
    <s v="02.227.267/0003-03"/>
    <d v="2019-03-21T00:00:00"/>
    <n v="150000"/>
    <s v="OK"/>
    <s v="JATOBA"/>
  </r>
  <r>
    <s v="TRA-0037"/>
    <s v="IS000316"/>
    <m/>
    <n v="4961"/>
    <s v="Classe para Maq. Imp Agricola"/>
    <s v="SEM PLACA"/>
    <s v="HCCZFA95CJCY72689"/>
    <x v="213"/>
    <s v="MAXUM MAQUINAS E EQUIPAMENTOS LTDA"/>
    <s v="02.227.267/0003-03"/>
    <d v="2019-03-21T00:00:00"/>
    <n v="170000"/>
    <s v="OK"/>
    <m/>
  </r>
  <r>
    <s v="TRA-0038"/>
    <s v="IS000317"/>
    <m/>
    <n v="4962"/>
    <s v="Classe para Maq. Imp Agricola"/>
    <s v="SEM PLACA"/>
    <s v="HCCZFA95HJCY72515"/>
    <x v="213"/>
    <s v="MAXUM MAQUINAS E EQUIPAMENTOS LTDA"/>
    <s v="02.227.267/0003-03"/>
    <d v="2019-03-21T00:00:00"/>
    <n v="170000"/>
    <s v="OK"/>
    <s v="SANTA LUCIA"/>
  </r>
  <r>
    <s v="TRA-0039"/>
    <s v="IS000318"/>
    <s v="2919 0302 2272 6700 0303 5500 1000 0049 6310 0134 8197"/>
    <n v="4963"/>
    <s v="Classe para Maq. Imp Agricola"/>
    <s v="SEM PLACA"/>
    <s v="HCCZFA95EJCY82471"/>
    <x v="213"/>
    <s v="MAXUM MAQUINAS E EQUIPAMENTOS LTDA"/>
    <s v="02.227.267/0003-03"/>
    <d v="2019-03-21T00:00:00"/>
    <n v="170000"/>
    <s v="OK"/>
    <m/>
  </r>
  <r>
    <s v="TRA-0040"/>
    <s v="IS000319"/>
    <s v="2919 0302 2272 6700 0303 5500 1000 0049 5510 0134 8080"/>
    <n v="4955"/>
    <s v="Classe para Maquinas Implementos  Agricola Fz Santa Lucia"/>
    <s v="SEM PLACA"/>
    <s v="HCCZFA80HJCY78368"/>
    <x v="247"/>
    <s v="MAXUM MAQUINAS E EQUIPAMENTOS LTDA"/>
    <s v="02.227.267/0003-03"/>
    <d v="2019-03-21T00:00:00"/>
    <n v="140000"/>
    <s v="OK"/>
    <s v="GRANDE LESTE"/>
  </r>
  <r>
    <s v="TRA-0041"/>
    <s v="IS000320"/>
    <s v="2919 0302 2272 6700 0303 5500 1000 0049 5610 0134 8095"/>
    <n v="4956"/>
    <s v="Classe para Maquinas Implementos  Agricola Fz Santa Lucia"/>
    <s v="SEM PLACA"/>
    <s v="HCCZFA80LJCY79107"/>
    <x v="247"/>
    <s v="MAXUM MAQUINAS E EQUIPAMENTOS LTDA"/>
    <s v="02.227.267/0003-03"/>
    <d v="2019-03-21T00:00:00"/>
    <n v="140000"/>
    <s v="OK"/>
    <m/>
  </r>
  <r>
    <s v="TRA-0042"/>
    <s v="IS000321"/>
    <m/>
    <n v="4958"/>
    <s v="Classe para Maq. Imp Agricola"/>
    <s v="SEM PLACA"/>
    <s v="HCCZFA80KJCY78518"/>
    <x v="247"/>
    <s v="MAXUM MAQUINAS E EQUIPAMENTOS LTDA"/>
    <s v="02.227.267/0003-03"/>
    <d v="2019-03-21T00:00:00"/>
    <n v="140000"/>
    <s v="OK"/>
    <s v="SANTO EXPEDITO"/>
  </r>
  <r>
    <s v="TRA-0043"/>
    <s v="IS000322"/>
    <m/>
    <n v="4960"/>
    <s v="Classe para Maq. Imp Agricola"/>
    <s v="SEM PLACA"/>
    <s v="HCCZFA80KJCY78283"/>
    <x v="247"/>
    <s v="MAXUM MAQUINAS E EQUIPAMENTOS LTDA"/>
    <s v="02.227.267/0003-03"/>
    <d v="2019-03-21T00:00:00"/>
    <n v="140000"/>
    <s v="OK"/>
    <s v="JATOBA"/>
  </r>
  <r>
    <s v="TRA-0044"/>
    <s v="IS000323"/>
    <s v="2919 0302 2272 6700 0303 5500 1000 0049 5910 0134 8135"/>
    <n v="4959"/>
    <s v="Classe para Maq. Imp Agricola"/>
    <s v="SEM PLACA"/>
    <s v="HCCZFA80LJCY78261"/>
    <x v="247"/>
    <s v="MAXUM MAQUINAS E EQUIPAMENTOS LTDA"/>
    <s v="02.227.267/0003-03"/>
    <d v="2019-03-21T00:00:00"/>
    <n v="140000"/>
    <s v="OK"/>
    <s v="SANTA LUCIA"/>
  </r>
  <r>
    <s v="TRA-0045"/>
    <s v="IS000324"/>
    <m/>
    <n v="4957"/>
    <s v="Classe para Maquinas Implementos  Agricola Fz Jatoba"/>
    <s v="SEM PLACA"/>
    <s v="HCCZFA80HJCY78487"/>
    <x v="247"/>
    <s v="MAXUM MAQUINAS E EQUIPAMENTOS LTDA"/>
    <s v="02.227.267/0003-03"/>
    <d v="2019-03-21T00:00:00"/>
    <n v="140000"/>
    <s v="OK"/>
    <s v="SANTO EXPEDITO"/>
  </r>
  <r>
    <s v="IMP-0147"/>
    <s v="IS000325"/>
    <m/>
    <n v="20107"/>
    <s v="Classe para Maq. Imp Agricola"/>
    <s v="SEM PLACA"/>
    <n v="104980"/>
    <x v="243"/>
    <s v="SLC AGRICOLA S A"/>
    <s v="89.096.457/0040-61"/>
    <d v="2019-03-25T00:00:00"/>
    <n v="15000"/>
    <s v="OK"/>
    <s v="GRANDE LESTE"/>
  </r>
  <r>
    <s v="IMP-0139"/>
    <s v="IS000326"/>
    <s v="5119 0389 0964 5700 4061 5500 1000 0203 0410 0020 3048"/>
    <n v="20304"/>
    <s v="Classe para Maq. Imp Agricola"/>
    <s v="SEM PLACA"/>
    <n v="108463"/>
    <x v="248"/>
    <s v="SLC AGRICOLA S A"/>
    <s v="89.096.457/0040-61"/>
    <d v="2019-03-26T00:00:00"/>
    <n v="10000"/>
    <s v="OK"/>
    <m/>
  </r>
  <r>
    <s v="IMP-0140"/>
    <s v="IS000327"/>
    <s v="5119 0389 0964 5700 4061 5500 1000 0203 0310 0020 3032"/>
    <n v="20303"/>
    <s v="Classe para Maquinas Implementos  Agricola Fz Santa Lucia"/>
    <s v="SEM PLACA"/>
    <n v="109032"/>
    <x v="248"/>
    <s v="SLC AGRICOLA S A"/>
    <s v="89.096.457/0040-61"/>
    <d v="2019-03-26T00:00:00"/>
    <n v="10000"/>
    <s v="OK"/>
    <m/>
  </r>
  <r>
    <s v="MVU-0011"/>
    <s v="IS000328"/>
    <s v="3219 0207 9417 5200 0872 5500 1000 1049 6912 1357 1910"/>
    <n v="104969"/>
    <s v="Classe para Moveis e Utensilios"/>
    <s v="SEM PLACA"/>
    <s v="SEM CHASSI"/>
    <x v="249"/>
    <s v="MIXTEL DISTRIBUIDORA LTDA."/>
    <s v="07.941.752/0008-72"/>
    <d v="2019-03-26T00:00:00"/>
    <s v="_"/>
    <s v="OK"/>
    <s v="SANTO EXPEDITO"/>
  </r>
  <r>
    <s v="EQU-0064"/>
    <s v="IS000329"/>
    <m/>
    <n v="55945"/>
    <s v="Classe para Equip. Oficina Fz Santo Expedito"/>
    <s v="SEM PLACA"/>
    <s v="SEM CHASSI"/>
    <x v="250"/>
    <s v="DEUSDETE SOUSA SANTIAGO e CIA LTDA"/>
    <s v="01.966.026/0001-51"/>
    <d v="2019-03-27T00:00:00"/>
    <n v="2870"/>
    <s v="OK"/>
    <s v="SANTO EXPEDITO"/>
  </r>
  <r>
    <s v="IMP-0141"/>
    <s v="IS000330"/>
    <s v="5119 0389 0964 5700 4061 5500 1000 0202 9670 0020 2969"/>
    <n v="20296"/>
    <s v="Classe para Maquinas Implementos  Agricola Fz Santa Lucia"/>
    <s v="SEM PLACA"/>
    <n v="104747"/>
    <x v="248"/>
    <s v="89.096.457/0040-61"/>
    <s v="VIA CARGA"/>
    <d v="2019-03-27T00:00:00"/>
    <n v="10000"/>
    <s v="OK"/>
    <m/>
  </r>
  <r>
    <s v="EQU-0145"/>
    <s v="IS000331"/>
    <m/>
    <s v="NOTA NÃO ENCONTRADA"/>
    <s v="Classe para Equip. Diversos Fz Santa Lucia"/>
    <s v="SEM PLACA"/>
    <s v="SEM CHASSI"/>
    <x v="251"/>
    <s v="NOTA NÃO ENCONTRADA"/>
    <s v="NOTA NÃO ENCONTRADA"/>
    <d v="2019-03-28T00:00:00"/>
    <n v="4275"/>
    <s v="OK"/>
    <m/>
  </r>
  <r>
    <s v="EQI-0059"/>
    <s v="IS000332"/>
    <m/>
    <s v="NOTA NÃO ENCONTRADA"/>
    <s v="Classe para Informatica e Comunicaçao"/>
    <s v="SEM PLACA"/>
    <s v="SEM CHASSI"/>
    <x v="138"/>
    <s v="NOTA NÃO ENCONTRADA"/>
    <s v="NOTA NÃO ENCONTRADA"/>
    <d v="2019-03-31T00:00:00"/>
    <n v="1700"/>
    <m/>
    <m/>
  </r>
  <r>
    <s v="EQU-0067"/>
    <s v="IS000333"/>
    <m/>
    <s v="NOTA NÃO ENCONTRADA"/>
    <s v="Classe para Equip. Oficina Fz Santo Expedito"/>
    <s v="SEM PLACA"/>
    <s v="SEM CHASSI"/>
    <x v="252"/>
    <s v="NOTA NÃO ENCONTRADA"/>
    <s v="NOTA NÃO ENCONTRADA"/>
    <d v="2019-04-02T00:00:00"/>
    <n v="368"/>
    <m/>
    <m/>
  </r>
  <r>
    <s v="IMP-0143"/>
    <s v="IS000334"/>
    <m/>
    <n v="20710"/>
    <s v="Classe para Maq. Imp Agricola"/>
    <s v="SEM PLACA"/>
    <n v="104857"/>
    <x v="248"/>
    <s v="SLC AGRICOLA S A"/>
    <s v="89.096.457/0040-61"/>
    <d v="2019-04-05T00:00:00"/>
    <n v="10000"/>
    <s v="OK"/>
    <m/>
  </r>
  <r>
    <s v="MVU-0013"/>
    <s v="IS000335"/>
    <m/>
    <n v="136917"/>
    <s v="Classe para Moveis e Utensilios Fz Evangelista"/>
    <s v="SEM PLACA"/>
    <s v="SEM CHASSI"/>
    <x v="177"/>
    <s v="CATRAL REFRIGERACAO E ELETRODOMESTICOS LTDA"/>
    <s v="02.375.921/0011-36"/>
    <d v="2019-04-05T00:00:00"/>
    <s v="_"/>
    <m/>
    <m/>
  </r>
  <r>
    <s v="EQI-0011"/>
    <s v="IS000336"/>
    <s v="3119 0471 0525 5900 0375 5500 2000 4397 9413 9955 3613"/>
    <n v="439794"/>
    <s v="Classe para Informatica e Comunicaçao Fz St Expedito"/>
    <s v="SEM PLACA"/>
    <s v="SEM CHASSI"/>
    <x v="253"/>
    <s v="BEL MICRO COMPUTADORES LTDA"/>
    <s v="71.052.559/0003-75"/>
    <d v="2019-04-08T00:00:00"/>
    <n v="1066.22"/>
    <m/>
    <m/>
  </r>
  <r>
    <s v="EQU-0098"/>
    <s v="IS000337"/>
    <s v="5219 0404 7509 5400 0172 5500 1000 0537 3310 0395 4984"/>
    <n v="53733"/>
    <s v="Classe para Equip. Oficina Fz Santo Expedito"/>
    <s v="SEM PLACA"/>
    <s v="SEM CHASSI"/>
    <x v="254"/>
    <s v="COMERCIAL JUSTI LTDA ME"/>
    <s v="04.750.954/0001-72"/>
    <d v="2019-04-11T00:00:00"/>
    <n v="3800"/>
    <s v="OK"/>
    <s v="SANTO EXPEDITO"/>
  </r>
  <r>
    <s v="EQU-0148"/>
    <s v="IS000338"/>
    <m/>
    <s v="NOTA NÃO ENCONTRADA"/>
    <s v="Classe para Equip. Oficina Fz Santa Lucia"/>
    <s v="SEM PLACA"/>
    <s v="SEM CHASSI"/>
    <x v="255"/>
    <s v="NOTA NÃO ENCONTRADA"/>
    <s v="NOTA NÃO ENCONTRADA"/>
    <d v="2019-04-23T00:00:00"/>
    <n v="21000"/>
    <s v="OK"/>
    <m/>
  </r>
  <r>
    <s v="IMP-0144"/>
    <s v="IS000339"/>
    <s v="2119 0489 0964 5700 4304 5500 1000 0190 9910 0019 0997"/>
    <n v="19099"/>
    <s v="Classe para Maquinas Implementos  Agricola Fz Santa Lucia"/>
    <s v="SEM PLACA"/>
    <s v="SEM CHASSI"/>
    <x v="248"/>
    <s v="89.096.457/0040-61"/>
    <s v="VIA CARGA"/>
    <d v="2019-04-24T00:00:00"/>
    <n v="10000"/>
    <s v="OK"/>
    <m/>
  </r>
  <r>
    <s v="IMP-0151"/>
    <s v="IS000340"/>
    <s v="2119 0489 0964 5700 4304 5500 1000 0191 0010 0019 1007"/>
    <n v="19100"/>
    <s v="Classe para Maq. Imp Agricola"/>
    <s v="SEM PLACA"/>
    <s v="SEM CHASSI"/>
    <x v="256"/>
    <s v="89.096.457/0040-61"/>
    <s v="VIA CARGA"/>
    <d v="2019-04-25T00:00:00"/>
    <n v="10000"/>
    <s v="OK"/>
    <m/>
  </r>
  <r>
    <s v="IMP-0180"/>
    <s v="IS000341"/>
    <m/>
    <s v="NOTA NÃO ENCONTRADA"/>
    <s v="Classe para Equip. Diversos"/>
    <s v="SEM PLACA"/>
    <s v="SEM CHASSI"/>
    <x v="257"/>
    <s v="NOTA NÃO ENCONTRADA"/>
    <s v="NOTA NÃO ENCONTRADA"/>
    <d v="2019-04-30T00:00:00"/>
    <n v="28000"/>
    <m/>
    <m/>
  </r>
  <r>
    <s v="IMP-0148"/>
    <s v="IS000342"/>
    <m/>
    <s v="NOTA NÃO ENCONTRADA"/>
    <s v="Classe para Equip. Oficina"/>
    <s v="SEM PLACA"/>
    <s v="SEM CHASSI"/>
    <x v="258"/>
    <s v="NOTA NÃO ENCONTRADA"/>
    <s v="NOTA NÃO ENCONTRADA"/>
    <d v="2019-05-01T00:00:00"/>
    <n v="18318.68"/>
    <s v="OK"/>
    <s v="JATOBA"/>
  </r>
  <r>
    <s v="EQU-0070"/>
    <s v="IS000343"/>
    <m/>
    <s v="NOTA NÃO ENCONTRADA"/>
    <s v="Classe para Equip. UBG - Secagem e Aramazenagem de Graos"/>
    <s v="SEM PLACA"/>
    <s v="SEM CHASSI"/>
    <x v="259"/>
    <s v="NOTA NÃO ENCONTRADA"/>
    <s v="NOTA NÃO ENCONTRADA"/>
    <d v="2019-05-06T00:00:00"/>
    <n v="3678"/>
    <m/>
    <m/>
  </r>
  <r>
    <s v="EQI-0014"/>
    <s v="IS000344"/>
    <s v="3519 0505 3740 4200 0106 5500 1000 0152 5110 1644 3427"/>
    <n v="15251"/>
    <s v="Classe para Informatica e Comunicaçao"/>
    <s v="SEM PLACA"/>
    <s v="SEM CHASSI"/>
    <x v="260"/>
    <s v="ITEMOBILE DO BRASIL LTDA"/>
    <s v="05.374.042/0001-06"/>
    <d v="2019-05-09T00:00:00"/>
    <n v="1209"/>
    <m/>
    <m/>
  </r>
  <r>
    <s v="IS000345"/>
    <s v="IS000345"/>
    <m/>
    <n v="30314"/>
    <s v="Classe para Informatica e Comunicaçao Fz Santa Lucia"/>
    <s v="SEM PLACA"/>
    <s v="SEM CHASSI"/>
    <x v="261"/>
    <s v="TECNOSUL COMPANY LTDA"/>
    <s v="26.037.394/0001-46"/>
    <d v="2019-05-09T00:00:00"/>
    <n v="4680"/>
    <m/>
    <s v="SANTA LUCIA"/>
  </r>
  <r>
    <s v="EQI-0006"/>
    <s v="IS000346"/>
    <m/>
    <s v="NOTA NÃO ENCONTRADA"/>
    <s v="Classe para Informatica e Comunicaçao"/>
    <s v="SEM PLACA"/>
    <s v="SEM CHASSI"/>
    <x v="262"/>
    <s v="NOTA NÃO ENCONTRADA"/>
    <s v="NOTA NÃO ENCONTRADA"/>
    <d v="2019-05-13T00:00:00"/>
    <n v="1355"/>
    <m/>
    <m/>
  </r>
  <r>
    <s v="IMP-0188"/>
    <s v="IS000347"/>
    <m/>
    <s v="NOTA NÃO ENCONTRADA"/>
    <s v="Classe para Informatica e Comunicaçao Fz Santa Lucia"/>
    <s v="SEM PLACA"/>
    <s v="SEM CHASSI"/>
    <x v="263"/>
    <s v="NOTA NÃO ENCONTRADA"/>
    <s v="NOTA NÃO ENCONTRADA"/>
    <d v="2019-05-15T00:00:00"/>
    <n v="20500"/>
    <s v="OK"/>
    <s v="SANTA LUCIA"/>
  </r>
  <r>
    <s v="IS000348"/>
    <s v="IS000348"/>
    <m/>
    <n v="5427"/>
    <s v="Classe para Equip. Oficina Santa Lucia"/>
    <s v="SEM PLACA"/>
    <s v="SEM CHASSI"/>
    <x v="264"/>
    <s v="JF COMERCIO DE PARAFUSOS FERRAMENTAS E MAQUINAS LTDA"/>
    <s v="42.215.694/0001-24"/>
    <d v="2025-12-12T00:00:00"/>
    <n v="4998.5"/>
    <m/>
    <m/>
  </r>
  <r>
    <s v="IMP-0153"/>
    <s v="IS000349"/>
    <m/>
    <s v="NOTA NÃO ENCONTRADA"/>
    <s v="Classe para Maq. Imp Agricola"/>
    <s v="SEM PLACA"/>
    <s v="SEM CHASSI"/>
    <x v="265"/>
    <s v="89.096.457/0040-61"/>
    <s v="VIA CARGA"/>
    <d v="2019-05-23T00:00:00"/>
    <n v="20500"/>
    <s v="OK"/>
    <s v="JATOBA"/>
  </r>
  <r>
    <s v="IMP-0152"/>
    <s v="IS000350"/>
    <m/>
    <n v="70507"/>
    <s v="Classe para Maq. Imp Agricola"/>
    <s v="SEM PLACA"/>
    <n v="10000009826"/>
    <x v="266"/>
    <s v="IROPEL COMERCIAL AGRICOLA LTDA"/>
    <s v="96.819.032/0001-92"/>
    <d v="2019-05-24T00:00:00"/>
    <n v="140000"/>
    <s v="OK"/>
    <s v="SANTA LUCIA"/>
  </r>
  <r>
    <s v="IS000351"/>
    <s v="IS000351"/>
    <m/>
    <m/>
    <s v="Classe para Maq. Imp Agricola"/>
    <s v="SEM PLACA"/>
    <n v="106503"/>
    <x v="267"/>
    <m/>
    <m/>
    <d v="2025-08-01T00:00:00"/>
    <s v="_"/>
    <s v="OK"/>
    <s v="SANTO EXPEDITO"/>
  </r>
  <r>
    <s v="IMP-0150"/>
    <s v="IS000352"/>
    <s v="2119 0589 0964 5700 1631 5500 1000 0567 0410 0056 7048"/>
    <n v="56704"/>
    <s v="Classe para Maq. Imp Agricola"/>
    <s v="SEM PLACA"/>
    <n v="103846"/>
    <x v="268"/>
    <s v="SLC AGRICOLA S A"/>
    <s v="89.096.457/0016-31"/>
    <d v="2019-05-29T00:00:00"/>
    <n v="15000"/>
    <m/>
    <m/>
  </r>
  <r>
    <s v="EQI-0012"/>
    <s v="IS000353"/>
    <s v="2919 0504 1276 3000 0182 5500 2000 0288 3610 0028 8364"/>
    <n v="28836"/>
    <s v="Classe para Informatica e Comunicaçao"/>
    <s v="SEM PLACA"/>
    <s v="SEM CHASSI"/>
    <x v="269"/>
    <s v="STANDBYTE INFORMATICA EIRELI"/>
    <s v="04.127.630/0001-82"/>
    <d v="2019-05-30T00:00:00"/>
    <n v="831.87"/>
    <m/>
    <m/>
  </r>
  <r>
    <s v="EQI-0073"/>
    <s v="IS000354"/>
    <m/>
    <s v="NOTA NÃO ENCONTRADA"/>
    <s v="Classe para Informatica e Comunicaçao"/>
    <s v="SEM PLACA"/>
    <s v="SEM CHASSI"/>
    <x v="190"/>
    <s v="NOTA NÃO ENCONTRADA"/>
    <s v="NOTA NÃO ENCONTRADA"/>
    <d v="2019-05-31T00:00:00"/>
    <n v="2000"/>
    <m/>
    <m/>
  </r>
  <r>
    <s v="EQU-0106"/>
    <s v="IS000355"/>
    <s v="3519 0654 2244 2300 0203 5500 1000 0203 1117 3320 8448"/>
    <n v="20311"/>
    <s v="Classe para Equip. Diversos Ubs Fz Santa lucia"/>
    <s v="SEM PLACA"/>
    <s v="SEM CHASSI"/>
    <x v="270"/>
    <s v="PINHALENSE S/A-MAQUNAS AGRICOLAS"/>
    <s v="54.224.423/0002-03"/>
    <d v="2019-06-10T00:00:00"/>
    <n v="43280"/>
    <s v="OK"/>
    <m/>
  </r>
  <r>
    <s v="MVU-0014"/>
    <s v="IS000356"/>
    <m/>
    <n v="76649"/>
    <s v="Classe para Moveis e Utensilios"/>
    <s v="SEM PLACA"/>
    <s v="SEM CHASSI"/>
    <x v="271"/>
    <s v="RODRIGO BRAVO"/>
    <s v="03.321.060/0006-09"/>
    <d v="2019-06-19T00:00:00"/>
    <s v="_"/>
    <m/>
    <m/>
  </r>
  <r>
    <s v="TRA-0046"/>
    <s v="IS000357"/>
    <s v="2919 0602 2272 6700 0303 5500 1000 0053 2410 0141 7657"/>
    <n v="5324"/>
    <s v="Classe para Maquinas Implementos  Agricola Fz Jatoba"/>
    <s v="SEM PLACA"/>
    <s v="JEEZC420CKF318639"/>
    <x v="272"/>
    <s v="MAXUM MAQUINAS E EQUIPAMENTOS LTDA"/>
    <s v="02.227.267/0003-03"/>
    <d v="2019-06-25T00:00:00"/>
    <n v="1100000"/>
    <s v="OK"/>
    <s v="SANTO EXPEDITO"/>
  </r>
  <r>
    <s v="MVU-0012"/>
    <s v="IS000358"/>
    <s v="5219 0601 6084 8800 0105 5500 1000 4020 5810 0969 7929"/>
    <n v="402058"/>
    <s v="Classe para Moveis e Utensilios Fz Santo Expedito"/>
    <s v="SEM PLACA"/>
    <s v="SEM CHASSI"/>
    <x v="273"/>
    <s v="HOHL MAQUNASAGRICOLAS LTDA"/>
    <s v="01.608.488/0001-05"/>
    <d v="2019-06-27T00:00:00"/>
    <n v="2295"/>
    <s v="OK"/>
    <s v="SANTO EXPEDITO"/>
  </r>
  <r>
    <s v="EQU-0087"/>
    <s v="IS000359"/>
    <s v="."/>
    <n v="58972"/>
    <s v="Classe para Equip. Oficina Fz Santo Expedito"/>
    <s v="SEM PLACA"/>
    <s v="SEM CHASSI"/>
    <x v="127"/>
    <s v="DEUSDETE SOUSA SANTIAGO e CIA LTDA"/>
    <s v="01.966.026/0001-51"/>
    <d v="2019-07-19T00:00:00"/>
    <n v="1215"/>
    <m/>
    <m/>
  </r>
  <r>
    <s v="EQU-0003"/>
    <s v="IS000360"/>
    <m/>
    <s v="NOTA NÃO ENCONTRADA"/>
    <s v="Classe para Equip. Oficina Fz Santo Expedito"/>
    <s v="SEM PLACA"/>
    <s v="SEM CHASSI"/>
    <x v="274"/>
    <s v="NOTA NÃO ENCONTRADA"/>
    <s v="NOTA NÃO ENCONTRADA"/>
    <d v="2019-08-12T00:00:00"/>
    <n v="702.9"/>
    <s v="OK"/>
    <s v="SANTO EXPEDITO"/>
  </r>
  <r>
    <s v="VEI-0038"/>
    <s v="IS000361"/>
    <m/>
    <s v="NOTA NÃO ENCONTRADA"/>
    <s v="Classe para Veiculos"/>
    <s v="SEM PLACA"/>
    <s v="9C2KC2500KR069066"/>
    <x v="275"/>
    <s v="NOTA NÃO ENCONTRADA"/>
    <s v="NOTA NÃO ENCONTRADA"/>
    <d v="2019-08-16T00:00:00"/>
    <n v="9346"/>
    <s v="OK"/>
    <m/>
  </r>
  <r>
    <s v="EQU-0081"/>
    <s v="IS000362"/>
    <s v="."/>
    <n v="25701"/>
    <s v="Classe para Equip. Diversos Fz Santa Lucia"/>
    <s v="SEM PLACA"/>
    <s v="SEM CHASSI"/>
    <x v="276"/>
    <s v="K COMERCIAL DE MAQUINAS EREU"/>
    <s v="VIA CARGA"/>
    <d v="2019-08-28T00:00:00"/>
    <n v="2900"/>
    <m/>
    <m/>
  </r>
  <r>
    <s v="IMP-0157"/>
    <s v="IS000363"/>
    <s v="2919 0811 6735 6200 0112 5500 1000 0326 5512 9488 3660"/>
    <n v="32655"/>
    <s v="Classe para Maquinas Implementos  Agricola Fz Santa Lucia"/>
    <s v="SEM PLACA"/>
    <s v="HEA-BJ12243"/>
    <x v="277"/>
    <s v="CAMPOESTE-MAQUNAS BAHIA LTDA"/>
    <s v="11.673.562/0001-12"/>
    <d v="2019-08-30T00:00:00"/>
    <n v="240000"/>
    <s v="OK"/>
    <s v="JATOBA"/>
  </r>
  <r>
    <s v="EQU-0102"/>
    <s v="IS000364"/>
    <m/>
    <n v="25952"/>
    <s v="Classe para Equip. Oficina Fz Santo Expedito"/>
    <s v="SEM PLACA"/>
    <s v="SEM CHASSI"/>
    <x v="278"/>
    <s v="PRENSSO MAQUINAS LTDA"/>
    <s v="04.290.957/0001-70"/>
    <d v="2019-09-02T00:00:00"/>
    <n v="15500"/>
    <s v="OK"/>
    <s v="SANTO EXPEDITO"/>
  </r>
  <r>
    <s v="IMP-0154"/>
    <s v="IS000365"/>
    <m/>
    <s v="NOTA NÃO ENCONTRADA"/>
    <s v="Classe para Maq. Imp Agricola"/>
    <s v="SEM PLACA"/>
    <s v="CFFL190181"/>
    <x v="279"/>
    <s v="NOTA NÃO ENCONTRADA"/>
    <s v="NOTA NÃO ENCONTRADA"/>
    <d v="2019-09-02T00:00:00"/>
    <n v="90000"/>
    <s v="OK"/>
    <s v="JATOBA"/>
  </r>
  <r>
    <s v="IMP-0155"/>
    <s v="IS000366"/>
    <m/>
    <s v="NOTA NÃO ENCONTRADA"/>
    <s v="Classe para Maq. Imp Agricola"/>
    <s v="SEM PLACA"/>
    <s v="CFFL190180"/>
    <x v="279"/>
    <s v="NOTA NÃO ENCONTRADA"/>
    <s v="NOTA NÃO ENCONTRADA"/>
    <d v="2019-09-02T00:00:00"/>
    <n v="90000"/>
    <s v="OK"/>
    <s v="JATOBA"/>
  </r>
  <r>
    <s v="IMP-0184"/>
    <s v="IS000367"/>
    <m/>
    <s v="NOTA NÃO ENCONTRADA"/>
    <s v="Classe para Equip. Diversos"/>
    <s v="SEM PLACA"/>
    <s v="SEM CHASSI"/>
    <x v="280"/>
    <s v="NOTA NÃO ENCONTRADA"/>
    <s v="NOTA NÃO ENCONTRADA"/>
    <d v="2019-09-02T00:00:00"/>
    <n v="21000"/>
    <m/>
    <s v="SANTA LUCIA"/>
  </r>
  <r>
    <s v="EQI-0076"/>
    <s v="IS000368"/>
    <m/>
    <s v="NOTA NÃO ENCONTRADA"/>
    <s v="Classe para Informatica e Comunicaçao"/>
    <s v="SEM PLACA"/>
    <s v="SEM CHASSI"/>
    <x v="138"/>
    <s v="NOTA NÃO ENCONTRADA"/>
    <s v="NOTA NÃO ENCONTRADA"/>
    <d v="2019-09-08T00:00:00"/>
    <n v="1115"/>
    <m/>
    <m/>
  </r>
  <r>
    <s v="IMP-0160"/>
    <s v="IS000369"/>
    <s v="."/>
    <n v="6461"/>
    <s v="Classe para Maq. Imp Agricola"/>
    <s v="SEM PLACA"/>
    <s v="FDC00531401"/>
    <x v="281"/>
    <s v="GTS DO BRASIL LTDA"/>
    <s v="VIA CARGA"/>
    <d v="2019-09-18T00:00:00"/>
    <n v="252500"/>
    <m/>
    <m/>
  </r>
  <r>
    <s v="EQI-0003"/>
    <s v="IS000370"/>
    <m/>
    <s v="NOTA NÃO ENCONTRADA"/>
    <s v="Classe para Informatica e Comunicaçao"/>
    <s v="SEM PLACA"/>
    <s v="SEM CHASSI"/>
    <x v="282"/>
    <s v="NOTA NÃO ENCONTRADA"/>
    <s v="NOTA NÃO ENCONTRADA"/>
    <d v="2019-09-27T00:00:00"/>
    <n v="500"/>
    <m/>
    <m/>
  </r>
  <r>
    <s v="EQU-0105"/>
    <s v="IS000371"/>
    <s v="29190979205530000126550010000011221849695487"/>
    <n v="1122"/>
    <s v="Classe para Equip. Oficina Fz Santo Expedito"/>
    <s v="SEM PLACA"/>
    <s v="SEM CHASSI"/>
    <x v="283"/>
    <s v="GILMAR A KOLLN E CIA LTDA"/>
    <s v="79.205.530/0001-26"/>
    <d v="2019-09-30T00:00:00"/>
    <n v="9800"/>
    <s v="OK"/>
    <s v="SANTO EXPEDITO"/>
  </r>
  <r>
    <s v="MVU-0040"/>
    <s v="IS000372"/>
    <m/>
    <s v="NOTA NÃO ENCONTRADA"/>
    <s v="Classe para Moveis e Utensilios Fz Santa Lucia"/>
    <s v="SEM PLACA"/>
    <s v="SEM CHASSI"/>
    <x v="123"/>
    <s v="NOTA NÃO ENCONTRADA"/>
    <s v="NOTA NÃO ENCONTRADA"/>
    <d v="2019-09-30T00:00:00"/>
    <n v="1225"/>
    <s v="OK"/>
    <m/>
  </r>
  <r>
    <s v="MVU-0041"/>
    <s v="IS000373"/>
    <m/>
    <s v="NOTA NÃO ENCONTRADA"/>
    <s v="Classe para Moveis e Utensilios Fz Santa Lucia"/>
    <s v="SEM PLACA"/>
    <s v="SEM CHASSI"/>
    <x v="123"/>
    <s v="NOTA NÃO ENCONTRADA"/>
    <s v="NOTA NÃO ENCONTRADA"/>
    <d v="2019-09-30T00:00:00"/>
    <n v="1225"/>
    <m/>
    <m/>
  </r>
  <r>
    <s v="MVU-0042"/>
    <s v="IS000374"/>
    <m/>
    <s v="NOTA NÃO ENCONTRADA"/>
    <s v="Classe para Moveis e Utensilios Fz Santa Lucia"/>
    <s v="SEM PLACA"/>
    <s v="SEM CHASSI"/>
    <x v="123"/>
    <s v="NOTA NÃO ENCONTRADA"/>
    <s v="NOTA NÃO ENCONTRADA"/>
    <d v="2019-09-30T00:00:00"/>
    <n v="1225"/>
    <m/>
    <m/>
  </r>
  <r>
    <s v="IMP-0127"/>
    <s v="IS000375"/>
    <s v="."/>
    <n v="2210"/>
    <s v="Classe para Maq. Imp Agricola"/>
    <s v="SEM PLACA"/>
    <s v="CFFL191066"/>
    <x v="155"/>
    <s v="MORI IND. E COM. IMPL. AGRC. LTDA- EPP"/>
    <s v="VIA CARGA"/>
    <d v="2019-10-01T00:00:00"/>
    <n v="94500"/>
    <s v="OK"/>
    <s v="JATOBA"/>
  </r>
  <r>
    <s v="EQU-0091"/>
    <s v="IS000376"/>
    <s v="."/>
    <n v="201900302"/>
    <s v="Classe para Equip. Diversos"/>
    <s v="SEM PLACA"/>
    <s v="SEM CHASSI"/>
    <x v="284"/>
    <s v="VIA CARGA"/>
    <s v="VIA CARGA"/>
    <d v="2019-10-04T00:00:00"/>
    <n v="4800"/>
    <s v="OK"/>
    <s v="SANTA LUCIA"/>
  </r>
  <r>
    <s v="PUL-0006"/>
    <s v="IS000377"/>
    <s v="."/>
    <n v="10459"/>
    <s v="Classe para Maq. Imp Agricola"/>
    <s v="SEM PLACA"/>
    <s v="02834M3"/>
    <x v="285"/>
    <s v="UNICAMPO MAQUINAS E EQUIPAMENTOS AGRICOLAS"/>
    <s v="VIA CARGA"/>
    <d v="2019-10-09T00:00:00"/>
    <n v="130000"/>
    <s v="OK"/>
    <s v="GRANDE LESTE"/>
  </r>
  <r>
    <s v="IMP-0158"/>
    <s v="IS000378"/>
    <s v="."/>
    <n v="52807"/>
    <s v="Classe para Maq. Imp Agricola"/>
    <s v="SEM PLACA"/>
    <s v="SEM CHASSI"/>
    <x v="286"/>
    <s v="TRITON MAQUINAS AGRICOLAS LTDA"/>
    <s v="VIA CARGA"/>
    <d v="2019-10-16T00:00:00"/>
    <n v="10800"/>
    <s v="OK"/>
    <s v="SANTA LUCIA"/>
  </r>
  <r>
    <s v="IMP-0161"/>
    <s v="IS000379"/>
    <s v="."/>
    <n v="52963"/>
    <s v="Classe para Maquinas Implementos  Agricola Fz St Expedito"/>
    <s v="SEM PLACA"/>
    <n v="86699"/>
    <x v="286"/>
    <s v="TRITON MAQUINAS AGRICOLAS LTDA"/>
    <s v="VIA CARGA"/>
    <d v="2019-10-25T00:00:00"/>
    <n v="10800"/>
    <s v="OK"/>
    <s v="SANTO EXPEDITO"/>
  </r>
  <r>
    <s v="IMP-0159"/>
    <s v="IS000380"/>
    <m/>
    <n v="440747"/>
    <s v="Classe para Maq. Imp Agricola"/>
    <s v="SEM PLACA"/>
    <s v="0121300010-0-8"/>
    <x v="287"/>
    <s v="MARCHESAN IMPL E MAQ AGRIC TATU SA"/>
    <s v="52.311.289/0001-63"/>
    <d v="2019-10-30T00:00:00"/>
    <n v="21000"/>
    <s v="OK"/>
    <m/>
  </r>
  <r>
    <s v="EQU-0101"/>
    <s v="IS000381"/>
    <m/>
    <n v="87991"/>
    <s v="Classe para equip. Diversos Fz Santo Expedito"/>
    <s v="SEM PLACA"/>
    <s v="SEM CHASSI"/>
    <x v="288"/>
    <s v="LUZ MOTOS, COMERCIO, SERVICOS E PECAS LTDA"/>
    <s v="08.074.058/0002-72"/>
    <d v="2019-11-01T00:00:00"/>
    <n v="2035"/>
    <m/>
    <m/>
  </r>
  <r>
    <s v="EQI-0069"/>
    <s v="IS000382"/>
    <m/>
    <s v="NOTA NÃO ENCONTRADA"/>
    <s v="Classe para Informatica e Comunicaçao Fz Santa Lucia"/>
    <s v="SEM PLACA"/>
    <s v="SEM CHASSI"/>
    <x v="289"/>
    <s v="NOTA NÃO ENCONTRADA"/>
    <s v="NOTA NÃO ENCONTRADA"/>
    <d v="2019-11-04T00:00:00"/>
    <n v="1313"/>
    <m/>
    <m/>
  </r>
  <r>
    <s v="EQU-0099"/>
    <s v="IS000383"/>
    <s v="."/>
    <n v="39280"/>
    <s v="Classe para Equip. Diversos"/>
    <s v="SEM PLACA"/>
    <s v="SEM CHASSI"/>
    <x v="290"/>
    <s v="PORTO BRASIL AGRICOLA EIRELI"/>
    <s v="VIA CARGA"/>
    <d v="2019-11-05T00:00:00"/>
    <n v="2020"/>
    <m/>
    <m/>
  </r>
  <r>
    <s v="EQU-0115"/>
    <s v="IS000384"/>
    <m/>
    <s v="NOTA NÃO ENCONTRADA"/>
    <s v="Classe para Moveis e Utensilios"/>
    <s v="SEM PLACA"/>
    <s v="SEM CHASSI"/>
    <x v="291"/>
    <s v="NOTA NÃO ENCONTRADA"/>
    <s v="NOTA NÃO ENCONTRADA"/>
    <d v="2019-11-20T00:00:00"/>
    <n v="15000"/>
    <m/>
    <m/>
  </r>
  <r>
    <s v="EQU-0116"/>
    <s v="IS000385"/>
    <m/>
    <s v="NOTA NÃO ENCONTRADA"/>
    <s v="Classe para Moveis e Utensilios"/>
    <s v="SEM PLACA"/>
    <s v="SEM CHASSI"/>
    <x v="292"/>
    <s v="NOTA NÃO ENCONTRADA"/>
    <s v="NOTA NÃO ENCONTRADA"/>
    <d v="2019-11-20T00:00:00"/>
    <n v="15000"/>
    <m/>
    <m/>
  </r>
  <r>
    <s v="VEI-0039"/>
    <s v="IS000386"/>
    <s v="."/>
    <n v="1409378"/>
    <s v="Classe para Veiculos Fz Santo Expedito"/>
    <s v="QTW3J43"/>
    <s v="9BM958134LB161587"/>
    <x v="293"/>
    <s v="MERCEDES-BENZ DO BRASIL LTDA."/>
    <s v="VIA CARGA"/>
    <d v="2019-11-21T00:00:00"/>
    <n v="177000"/>
    <s v="OK"/>
    <s v="SANTO EXPEDITO"/>
  </r>
  <r>
    <s v="MAQ-0003"/>
    <s v="IS000387"/>
    <s v="."/>
    <n v="38"/>
    <s v="Classe para Maquinas Implementos  Agricola Fz Santa Lucia"/>
    <s v="SEM PLACA"/>
    <s v="M5AI09440"/>
    <x v="294"/>
    <s v="MONIQUE PIZATTO GARCIA"/>
    <s v="VIA CARGA"/>
    <d v="2019-11-26T00:00:00"/>
    <n v="77000"/>
    <s v="OK"/>
    <s v="SANTO EXPEDITO"/>
  </r>
  <r>
    <s v="EQU-0097"/>
    <s v="IS000388"/>
    <s v="."/>
    <n v="88558"/>
    <s v="Classe para Equip. Diversos"/>
    <s v="SEM PLACA"/>
    <s v="SEM CHASSI"/>
    <x v="295"/>
    <s v="LUZ MOTOS, COMERCIO, SERVICOS E PECAS LTDA"/>
    <s v="VIA CARGA"/>
    <d v="2019-11-28T00:00:00"/>
    <n v="2035"/>
    <s v="OK"/>
    <s v="GRANDE LESTE"/>
  </r>
  <r>
    <s v="IMP-0164"/>
    <s v="IS000389"/>
    <s v="2919 1204 8151 6000 0140 5500 1000 0020 8914 3724 7795"/>
    <n v="2089"/>
    <s v="Classe para Maq. Imp Agricola"/>
    <s v="SEM PLACA"/>
    <s v="0101090072--8758"/>
    <x v="296"/>
    <s v="AGRICOLA SIMABA LTDA"/>
    <s v="VIA CARGA"/>
    <d v="2019-12-03T00:00:00"/>
    <n v="37000"/>
    <s v="OK"/>
    <s v="SANTA LUCIA"/>
  </r>
  <r>
    <s v="MVU-0017"/>
    <s v="IS000390"/>
    <m/>
    <s v="NOTA NÃO ENCONTRADA"/>
    <s v="Classe para Moveis e Utensilios Fz Santo Expedito"/>
    <s v="SEM PLACA"/>
    <s v="SEM CHASSI"/>
    <x v="297"/>
    <s v="NOTA NÃO ENCONTRADA"/>
    <s v="NOTA NÃO ENCONTRADA"/>
    <d v="2019-12-03T00:00:00"/>
    <s v="_"/>
    <m/>
    <m/>
  </r>
  <r>
    <s v="MVU-0038"/>
    <s v="IS000391"/>
    <m/>
    <s v="NOTA NÃO ENCONTRADA"/>
    <s v="Classe para Moveis e Utensilios Fz Santa Lucia"/>
    <s v="SEM PLACA"/>
    <s v="SEM CHASSI"/>
    <x v="298"/>
    <s v="NOTA NÃO ENCONTRADA"/>
    <s v="NOTA NÃO ENCONTRADA"/>
    <d v="2019-12-03T00:00:00"/>
    <s v="_"/>
    <s v="OK"/>
    <m/>
  </r>
  <r>
    <s v="EQU-0088"/>
    <s v="IS000392"/>
    <m/>
    <s v="NOTA NÃO ENCONTRADA"/>
    <s v="Classe para Equip. UBG - Secagem e Aramazenagem de Graos"/>
    <s v="SEM PLACA"/>
    <s v="SEM CHASSI"/>
    <x v="299"/>
    <s v="NOTA NÃO ENCONTRADA"/>
    <s v="NOTA NÃO ENCONTRADA"/>
    <d v="2019-12-04T00:00:00"/>
    <n v="38628.76"/>
    <m/>
    <m/>
  </r>
  <r>
    <s v="EQU-0089"/>
    <s v="IS000393"/>
    <s v="."/>
    <n v="42544"/>
    <s v="Classe para equip. Diversos Fz Santo Expedito"/>
    <s v="SEM PLACA"/>
    <s v="SEM CHASSI"/>
    <x v="300"/>
    <s v="VIA CARGA"/>
    <s v="VIA CARGA"/>
    <d v="2019-12-04T00:00:00"/>
    <n v="4800"/>
    <m/>
    <m/>
  </r>
  <r>
    <s v="EQU-0090"/>
    <s v="IS000394"/>
    <m/>
    <s v="NOTA NÃO ENCONTRADA"/>
    <s v="Classe para Equip. Diversos"/>
    <s v="SEM PLACA"/>
    <s v="SEM CHASSI"/>
    <x v="301"/>
    <s v="NOTA NÃO ENCONTRADA"/>
    <s v="NOTA NÃO ENCONTRADA"/>
    <d v="2019-12-04T00:00:00"/>
    <n v="19994.939999999999"/>
    <m/>
    <m/>
  </r>
  <r>
    <s v="EQU-0094"/>
    <s v="IS000395"/>
    <m/>
    <s v="NOTA NÃO ENCONTRADA"/>
    <s v="Classe para Equip. Oficina"/>
    <s v="SEM PLACA"/>
    <s v="SEM CHASSI"/>
    <x v="302"/>
    <s v="NOTA NÃO ENCONTRADA"/>
    <s v="NOTA NÃO ENCONTRADA"/>
    <d v="2019-12-04T00:00:00"/>
    <n v="18318.88"/>
    <m/>
    <m/>
  </r>
  <r>
    <s v="EQU-0095"/>
    <s v="IS000396"/>
    <s v="."/>
    <n v="20190005"/>
    <s v="Classe para Moveis e Utensilios"/>
    <s v="SEM PLACA"/>
    <s v="SEM CHASSI"/>
    <x v="303"/>
    <s v="VIA CARGA"/>
    <s v="VIA CARGA"/>
    <d v="2019-12-04T00:00:00"/>
    <n v="13500"/>
    <m/>
    <m/>
  </r>
  <r>
    <s v="EQI-0066"/>
    <s v="IS000397"/>
    <m/>
    <s v="NOTA NÃO ENCONTRADA"/>
    <s v="Classe para Informatica e Comunicaçao"/>
    <s v="SEM PLACA"/>
    <s v="SEM CHASSI"/>
    <x v="304"/>
    <s v="NOTA NÃO ENCONTRADA"/>
    <s v="NOTA NÃO ENCONTRADA"/>
    <d v="2019-12-05T00:00:00"/>
    <n v="289"/>
    <m/>
    <m/>
  </r>
  <r>
    <s v="MVU-0020"/>
    <s v="IS000398"/>
    <m/>
    <s v="NOTA NÃO ENCONTRADA"/>
    <s v="Classe para Moveis e Utensilios"/>
    <s v="SEM PLACA"/>
    <s v="SEM CHASSI"/>
    <x v="305"/>
    <s v="NOTA NÃO ENCONTRADA"/>
    <s v="NOTA NÃO ENCONTRADA"/>
    <d v="2019-12-13T00:00:00"/>
    <s v="_"/>
    <m/>
    <m/>
  </r>
  <r>
    <s v="IMP-0129"/>
    <s v="IS000399"/>
    <s v="."/>
    <n v="2211"/>
    <s v="Classe para Maq. Imp Agricola"/>
    <s v="SEM PLACA"/>
    <s v="CFFL190169"/>
    <x v="155"/>
    <s v="MORI IND. E COM. IMPL. AGRC. LTDA- EPP"/>
    <s v="VIA CARGA"/>
    <d v="2019-12-18T00:00:00"/>
    <n v="94500"/>
    <s v="OK"/>
    <s v="JATOBA"/>
  </r>
  <r>
    <s v="EQU-0103"/>
    <s v="IS000400"/>
    <s v="31191221990908000160550010000507181929914551"/>
    <n v="50718"/>
    <s v="Classe para equip. Diversos Fz Santo Expedito"/>
    <s v="SEM PLACA"/>
    <s v="SEM CHASSI"/>
    <x v="306"/>
    <s v="CARROCERIAS HERINGER LTDA"/>
    <s v="21.990.908/0001-60"/>
    <d v="2019-12-20T00:00:00"/>
    <n v="16500"/>
    <m/>
    <m/>
  </r>
  <r>
    <s v="EQU-0104"/>
    <s v="IS000401"/>
    <s v="31191221990908000160550010000507181929914551"/>
    <n v="50718"/>
    <s v="Classe para equip. Diversos Fz Santo Expedito"/>
    <s v="SEM PLACA"/>
    <s v="SEM CHASSI"/>
    <x v="307"/>
    <s v="CARROCERIAS HERINGER LTDA"/>
    <s v="21.990.908/0001-60"/>
    <d v="2019-12-20T00:00:00"/>
    <n v="12000"/>
    <s v="OK"/>
    <s v="SANTO EXPEDITO"/>
  </r>
  <r>
    <s v="IMP-0162"/>
    <s v="IS000402"/>
    <s v="."/>
    <n v="2577"/>
    <s v="Classe para Maq. Imp Agricola"/>
    <s v="SEM PLACA"/>
    <s v="CFFL2000001"/>
    <x v="155"/>
    <s v="MORI IND. E COM. IMPL. AGRIC. LTDA- Epp"/>
    <s v="VIA CARGA"/>
    <d v="2020-01-10T00:00:00"/>
    <n v="90000"/>
    <s v="OK"/>
    <s v="JATOBA"/>
  </r>
  <r>
    <s v="IMP-0163"/>
    <s v="IS000403"/>
    <s v="."/>
    <n v="2577"/>
    <s v="Classe para Maq. Imp Agricola"/>
    <s v="SEM PLACA"/>
    <s v="CFFL2000002"/>
    <x v="155"/>
    <s v="MORI IND. E COM. IMPL. AGRIC. LTDA- EPP"/>
    <s v="VIA CARGA"/>
    <d v="2020-01-10T00:00:00"/>
    <n v="90000"/>
    <s v="OK"/>
    <s v="JATOBA"/>
  </r>
  <r>
    <s v="IMP-0172"/>
    <s v="IS000404"/>
    <m/>
    <n v="95"/>
    <s v="Classe para Maq. Imp Agricola"/>
    <s v="SEM PLACA"/>
    <s v="2019CSC2400JM044F"/>
    <x v="308"/>
    <s v="CSC INDUSTRIA E COMERCIO DE MAQUINAS E EQUIPAMENTOS LTDA"/>
    <s v="03.637.657/0001-52"/>
    <d v="2020-01-10T00:00:00"/>
    <n v="336666.67"/>
    <s v="OK"/>
    <s v="JATOBA"/>
  </r>
  <r>
    <s v="IMP-0181"/>
    <s v="IS000405"/>
    <m/>
    <s v="NOTA NÃO ENCONTRADA"/>
    <s v="Classe para Maquinas Implementos  Agricola Fz Jatoba"/>
    <s v="SEM PLACA"/>
    <s v="CFFL170076"/>
    <x v="155"/>
    <s v="NOTA NÃO ENCONTRADA"/>
    <s v="NOTA NÃO ENCONTRADA"/>
    <d v="2020-01-15T00:00:00"/>
    <n v="90000"/>
    <s v="OK"/>
    <s v="JATOBA"/>
  </r>
  <r>
    <s v="IMP-0182"/>
    <s v="IS000406"/>
    <m/>
    <s v="NOTA NÃO ENCONTRADA"/>
    <s v="Classe para Maq. Imp Agricola"/>
    <s v="SEM PLACA"/>
    <s v="CFFL170077"/>
    <x v="155"/>
    <s v="NOTA NÃO ENCONTRADA"/>
    <s v="NOTA NÃO ENCONTRADA"/>
    <d v="2020-01-15T00:00:00"/>
    <n v="90000"/>
    <s v="OK"/>
    <s v="JATOBA"/>
  </r>
  <r>
    <s v="VEI-0040"/>
    <s v="IS000407"/>
    <s v="."/>
    <n v="140069"/>
    <s v="Classe para Veiculos Fz Santo Expedito"/>
    <s v="QTW4D59"/>
    <s v="8AJDA3CD3L1811562"/>
    <x v="309"/>
    <s v="TOYOTA DO BRASIL LTDA"/>
    <s v="VIA CARGA"/>
    <d v="2020-01-15T00:00:00"/>
    <n v="131991.20000000001"/>
    <m/>
    <m/>
  </r>
  <r>
    <s v="IS000408"/>
    <s v="IS000408"/>
    <m/>
    <n v="46974"/>
    <s v="Classe para Moveis e Utensilios Fz Grande Leste"/>
    <s v="SEM PLACA"/>
    <s v="SEM CHASSI"/>
    <x v="46"/>
    <s v="NOSSO LAR LOJAS DE DEPARTAMENTOS LTDA"/>
    <s v="00.607.587/0029-00"/>
    <m/>
    <m/>
    <m/>
    <m/>
  </r>
  <r>
    <s v="IMP-0156"/>
    <s v="IS000409"/>
    <m/>
    <n v="83"/>
    <s v="Classe para Maq. Imp Agricola"/>
    <s v="SEM PLACA"/>
    <s v="SEM CHASSI"/>
    <x v="310"/>
    <s v="VIA CARGA"/>
    <s v="VIA CARGA"/>
    <d v="2020-01-19T00:00:00"/>
    <n v="336666.67"/>
    <s v="OK"/>
    <s v="JATOBA"/>
  </r>
  <r>
    <s v="MVU-0036"/>
    <s v="IS000410"/>
    <m/>
    <s v="NOTA NÃO ENCONTRADA"/>
    <s v="Classe para Moveis e Utensilios Fz Santa Lucia"/>
    <s v="SEM PLACA"/>
    <s v="SEM CHASSI"/>
    <x v="305"/>
    <s v="NOTA NÃO ENCONTRADA"/>
    <s v="NOTA NÃO ENCONTRADA"/>
    <d v="2020-01-22T00:00:00"/>
    <s v="_"/>
    <s v="OK"/>
    <m/>
  </r>
  <r>
    <s v="IMP-0171"/>
    <s v="IS000411"/>
    <s v="3120 0103 6376 5700 0152 5500 1000 0000 9510 0250 0843"/>
    <n v="95"/>
    <s v="Classe para Maq. Imp Agricola"/>
    <s v="SEM PLACA"/>
    <s v="2019CSC2400JM043F"/>
    <x v="311"/>
    <s v="CSC INDUSTRIA E COMERCIO DE MAQ. E EQUIP LTDA"/>
    <s v="03.637.657/0001-52"/>
    <d v="2020-01-28T00:00:00"/>
    <n v="336666.67"/>
    <s v="OK"/>
    <s v="JATOBA"/>
  </r>
  <r>
    <s v="IS000412"/>
    <s v="IS000412"/>
    <m/>
    <n v="45493"/>
    <s v="Classe para Moveis e Utensilios Fz Jatoba"/>
    <s v="SEM PLACA"/>
    <s v="SEM CHASSI"/>
    <x v="312"/>
    <s v="Nosso Lar Lojas de Departamentos Ltda-Lj111"/>
    <s v="00.607.587/0029-00"/>
    <d v="2025-09-30T00:00:00"/>
    <n v="4560"/>
    <m/>
    <s v="JATOBA"/>
  </r>
  <r>
    <s v="IS000413"/>
    <s v="IS000413"/>
    <m/>
    <n v="202"/>
    <s v="Classe para Equip. Oficina Fz Santa Lucia"/>
    <s v="SEM PLACA"/>
    <s v="SEM CHASSI"/>
    <x v="313"/>
    <s v="ANDRADE ENGENHARIA INDUSTRIAL LTDA"/>
    <s v="46.174.234/0001-56"/>
    <d v="2025-08-08T00:00:00"/>
    <n v="29000"/>
    <m/>
    <s v="SANTA LUCIA"/>
  </r>
  <r>
    <s v="EQI-0060"/>
    <s v="IS000414"/>
    <m/>
    <s v="NOTA NÃO ENCONTRADA"/>
    <s v="Classe para Informatica e Comunicaçao"/>
    <s v="SEM PLACA"/>
    <s v="SEM CHASSI"/>
    <x v="138"/>
    <s v="NOTA NÃO ENCONTRADA"/>
    <s v="NOTA NÃO ENCONTRADA"/>
    <d v="2020-02-12T00:00:00"/>
    <n v="1556"/>
    <m/>
    <m/>
  </r>
  <r>
    <s v="EQU-0142"/>
    <s v="IS000415"/>
    <m/>
    <s v="NOTA NÃO ENCONTRADA"/>
    <s v="Classe para Equip. Oficina Fz Santa Lucia"/>
    <s v="SEM PLACA"/>
    <s v="SEM CHASSI"/>
    <x v="314"/>
    <s v="NOTA NÃO ENCONTRADA"/>
    <s v="NOTA NÃO ENCONTRADA"/>
    <d v="2020-02-14T00:00:00"/>
    <n v="9800"/>
    <s v="OK"/>
    <m/>
  </r>
  <r>
    <s v="EQI-0063"/>
    <s v="IS000416"/>
    <m/>
    <s v="NOTA NÃO ENCONTRADA"/>
    <s v="Classe para Informatica e Comunicaçao"/>
    <s v="SEM PLACA"/>
    <s v="SEM CHASSI"/>
    <x v="315"/>
    <s v="NOTA NÃO ENCONTRADA"/>
    <s v="NOTA NÃO ENCONTRADA"/>
    <d v="2020-02-26T00:00:00"/>
    <n v="834.51"/>
    <m/>
    <m/>
  </r>
  <r>
    <s v="MVU-0025"/>
    <s v="IS000417"/>
    <m/>
    <s v="NOTA NÃO ENCONTRADA"/>
    <s v="Classe para Moveis e Utensilios"/>
    <s v="SEM PLACA"/>
    <s v="SEM CHASSI"/>
    <x v="316"/>
    <s v="NOTA NÃO ENCONTRADA"/>
    <s v="NOTA NÃO ENCONTRADA"/>
    <d v="2020-03-05T00:00:00"/>
    <s v="_"/>
    <s v="OK"/>
    <s v="JATOBA"/>
  </r>
  <r>
    <s v="MVU-0026"/>
    <s v="IS000418"/>
    <m/>
    <s v="NOTA NÃO ENCONTRADA"/>
    <s v="Classe para Moveis e Utensilios Fz Santo Expedito"/>
    <s v="SEM PLACA"/>
    <s v="SEM CHASSI"/>
    <x v="316"/>
    <s v="NOTA NÃO ENCONTRADA"/>
    <s v="NOTA NÃO ENCONTRADA"/>
    <d v="2020-03-05T00:00:00"/>
    <s v="_"/>
    <m/>
    <m/>
  </r>
  <r>
    <s v="MVU-0030"/>
    <s v="IS000419"/>
    <m/>
    <s v="NOTA NÃO ENCONTRADA"/>
    <s v="Classe para Moveis e Utensilios"/>
    <s v="SEM PLACA"/>
    <s v="SEM CHASSI"/>
    <x v="316"/>
    <s v="NOTA NÃO ENCONTRADA"/>
    <s v="NOTA NÃO ENCONTRADA"/>
    <d v="2020-03-05T00:00:00"/>
    <s v="_"/>
    <s v="OK"/>
    <m/>
  </r>
  <r>
    <s v="EQU-0100"/>
    <s v="IS000420"/>
    <s v="."/>
    <n v="90740"/>
    <s v="Classe para Equip. Diversos"/>
    <s v="SEM PLACA"/>
    <s v="SEM CHASSI"/>
    <x v="288"/>
    <s v="LUZ MOTOS, COMERCIO, SERVICOS E PECAS LTDA"/>
    <s v="VIA CARGA"/>
    <d v="2020-03-09T00:00:00"/>
    <n v="2150"/>
    <m/>
    <m/>
  </r>
  <r>
    <s v="MAQ-0004"/>
    <s v="IS000421"/>
    <s v="."/>
    <n v="243"/>
    <s v="Classe para Maq. Imp Agricola"/>
    <s v="SEM PLACA"/>
    <s v="6200B417181"/>
    <x v="317"/>
    <s v="ROGERIO HERBERTO MULLER"/>
    <s v="VIA CARGA"/>
    <d v="2020-03-09T00:00:00"/>
    <n v="20000"/>
    <m/>
    <m/>
  </r>
  <r>
    <s v="EQU-0112"/>
    <s v="IS000422"/>
    <m/>
    <s v="NOTA NÃO ENCONTRADA"/>
    <s v="Classe para Equip. Diversos"/>
    <s v="SEM PLACA"/>
    <s v="SEM CHASSI"/>
    <x v="318"/>
    <s v="NOTA NÃO ENCONTRADA"/>
    <s v="NOTA NÃO ENCONTRADA"/>
    <d v="2020-03-10T00:00:00"/>
    <n v="7000"/>
    <m/>
    <m/>
  </r>
  <r>
    <s v="EQU-0108"/>
    <s v="IS000423"/>
    <m/>
    <s v="NOTA NÃO ENCONTRADA"/>
    <s v="Classe para Equip. Diversos"/>
    <s v="SEM PLACA"/>
    <s v="SEM CHASSI"/>
    <x v="319"/>
    <s v="NOTA NÃO ENCONTRADA"/>
    <s v="NOTA NÃO ENCONTRADA"/>
    <d v="2020-03-16T00:00:00"/>
    <n v="1300"/>
    <m/>
    <m/>
  </r>
  <r>
    <s v="IMP-0165"/>
    <s v="IS000424"/>
    <s v="."/>
    <n v="13760"/>
    <s v="Classe para Maq. Imp Agricola"/>
    <s v="SEM PLACA"/>
    <n v="219392181"/>
    <x v="320"/>
    <s v="UNICAMPO MAQUINAS E EQUIPAMENTOS AGRICOLAS"/>
    <s v="VIA CARGA"/>
    <d v="2020-04-07T00:00:00"/>
    <n v="37000"/>
    <s v="OK"/>
    <s v="SANTO EXPEDITO"/>
  </r>
  <r>
    <s v="IS000425"/>
    <s v="IS000425"/>
    <m/>
    <n v="5063"/>
    <s v="Classe para equip. Diversos Fz Santo Expedito"/>
    <s v="SEM PLACA"/>
    <s v="SEM CHASSI"/>
    <x v="321"/>
    <s v="JF COMERCIO DE PARAFUSOS FERRAMENTAS E MAQUINAS LTDA"/>
    <s v="42.215.694/0001-24"/>
    <d v="2025-10-27T00:00:00"/>
    <n v="10636"/>
    <m/>
    <m/>
  </r>
  <r>
    <s v="EQU-0123"/>
    <s v="IS000426"/>
    <m/>
    <s v="NOTA NÃO ENCONTRADA"/>
    <s v="Classe para Equip. Oficina Fz Santa Lucia"/>
    <s v="SEM PLACA"/>
    <s v="SEM CHASSI"/>
    <x v="322"/>
    <s v="NOTA NÃO ENCONTRADA"/>
    <s v="NOTA NÃO ENCONTRADA"/>
    <d v="2020-04-23T00:00:00"/>
    <n v="9846.76"/>
    <s v="OK"/>
    <m/>
  </r>
  <r>
    <s v="EQU-0135"/>
    <s v="IS000427"/>
    <m/>
    <s v="NOTA NÃO ENCONTRADA"/>
    <s v="Classe para Equip. Oficina Fz Santa Lucia"/>
    <s v="SEM PLACA"/>
    <s v="SEM CHASSI"/>
    <x v="323"/>
    <s v="NOTA NÃO ENCONTRADA"/>
    <s v="NOTA NÃO ENCONTRADA"/>
    <d v="2020-04-23T00:00:00"/>
    <n v="9846.76"/>
    <s v="OK"/>
    <m/>
  </r>
  <r>
    <s v="IS000428"/>
    <s v="IS000428"/>
    <m/>
    <n v="31928"/>
    <s v="Classe para Informatica e Comunicaçao Fz St Expedito"/>
    <s v="SEM PLACA"/>
    <s v="SEM CHASSI"/>
    <x v="48"/>
    <s v="TECNOSUL COMPANY LTDA"/>
    <s v="26.037.394/0001-46"/>
    <d v="2025-08-18T00:00:00"/>
    <n v="1899.9"/>
    <m/>
    <s v="SANTO EXPEDITO"/>
  </r>
  <r>
    <s v="IMP-190"/>
    <s v="IS000429"/>
    <m/>
    <m/>
    <s v="Classe para Equip. Diversos"/>
    <s v="SEM PLACA"/>
    <s v="SEM CHASSI"/>
    <x v="38"/>
    <m/>
    <m/>
    <d v="2020-05-05T00:00:00"/>
    <n v="20414.63"/>
    <s v="OK"/>
    <s v="SANTA LUCIA"/>
  </r>
  <r>
    <s v="IMP-195"/>
    <s v="IS000430"/>
    <m/>
    <m/>
    <s v="Classe para Maq. Imp Agricola"/>
    <s v="RCT7F80"/>
    <s v="9EP310720L1003568"/>
    <x v="324"/>
    <m/>
    <m/>
    <d v="2020-05-13T00:00:00"/>
    <n v="40008"/>
    <s v="OK"/>
    <s v="SANTA LUCIA"/>
  </r>
  <r>
    <s v="IMP-196"/>
    <s v="IS000431"/>
    <m/>
    <m/>
    <s v="Classe para Maq. Imp Agricola"/>
    <s v="RCT7F80"/>
    <s v="9EP021020L1003567"/>
    <x v="325"/>
    <m/>
    <m/>
    <d v="2020-05-13T00:00:00"/>
    <n v="134992"/>
    <s v="OK"/>
    <s v="SANTA LUCIA"/>
  </r>
  <r>
    <s v="VEI-0044"/>
    <s v="IS000432"/>
    <s v="3520 0510 6401 2100 0151 5500 1000 0019 8017 2821 6713"/>
    <n v="1980"/>
    <s v="Classe para Veiculos Fz Santo Expedito"/>
    <s v="ENY1H84"/>
    <s v="9BFXCCE5U5ABB44141"/>
    <x v="326"/>
    <s v="COMOVEL - COMERCIAL MONTEALTENSE DE VEICULOS LTDA"/>
    <s v="10.640.121/0001-51"/>
    <d v="2020-05-13T00:00:00"/>
    <n v="115500"/>
    <s v="OK"/>
    <s v="SANTO EXPEDITO"/>
  </r>
  <r>
    <s v="IMP-0186"/>
    <s v="IS000433"/>
    <m/>
    <s v="NOTA NÃO ENCONTRADA"/>
    <s v="Classe para Maq. Imp Agricola"/>
    <s v="SEM PLACA"/>
    <n v="89411"/>
    <x v="327"/>
    <s v="NOTA NÃO ENCONTRADA"/>
    <s v="NOTA NÃO ENCONTRADA"/>
    <d v="2020-05-14T00:00:00"/>
    <n v="15000"/>
    <s v="OK"/>
    <s v="SANTA LUCIA"/>
  </r>
  <r>
    <s v="MVU-0034"/>
    <s v="IS000434"/>
    <m/>
    <s v="NOTA NÃO ENCONTRADA"/>
    <s v="Classe para Moveis e Utensilios"/>
    <s v="SEM PLACA"/>
    <s v="SEM CHASSI"/>
    <x v="328"/>
    <s v="NOTA NÃO ENCONTRADA"/>
    <s v="NOTA NÃO ENCONTRADA"/>
    <d v="2020-05-14T00:00:00"/>
    <s v="_"/>
    <m/>
    <m/>
  </r>
  <r>
    <s v="VEI-0042"/>
    <s v="IS000435"/>
    <s v="."/>
    <n v="143314772"/>
    <s v="Classe para Veiculos Fz Santo Expedito"/>
    <s v="KUV4F26"/>
    <s v="9BWR882W78R806205"/>
    <x v="329"/>
    <s v="TRANSMONICI TRANSPORTE E TURISMO LTDA"/>
    <s v="VIA CARGA"/>
    <d v="2020-05-22T00:00:00"/>
    <n v="40000"/>
    <s v="OK"/>
    <s v="SANTO EXPEDITO"/>
  </r>
  <r>
    <s v="VEI-0043"/>
    <s v="IS000436"/>
    <m/>
    <s v="NOTA NÃO ENCONTRADA"/>
    <s v="Classe para Veiculos Fz Santo Expedito"/>
    <s v="HMW1J96"/>
    <s v="9BM695304BB805267"/>
    <x v="330"/>
    <s v="NOTA NÃO ENCONTRADA"/>
    <s v="NOTA NÃO ENCONTRADA"/>
    <d v="2020-05-22T00:00:00"/>
    <n v="161000"/>
    <s v="OK"/>
    <s v="JATOBA"/>
  </r>
  <r>
    <s v="IMP-0167"/>
    <s v="IS000437"/>
    <s v="."/>
    <n v="12582"/>
    <s v="Classe para Maq. Imp Agricola"/>
    <s v="SEM PLACA"/>
    <s v="C158"/>
    <x v="331"/>
    <s v="MATSUDA EQUIPAMENTOS LTDA"/>
    <s v="VIA CARGA"/>
    <d v="2020-05-27T00:00:00"/>
    <n v="64890"/>
    <s v="OK"/>
    <s v="JATOBA"/>
  </r>
  <r>
    <s v="IMP-0169"/>
    <s v="IS000438"/>
    <m/>
    <n v="12582"/>
    <s v="Classe para Maq. Imp Agricola"/>
    <s v="SEM PLACA"/>
    <s v="C159"/>
    <x v="331"/>
    <s v="MATSUDA EQUIPAMENTOS LTDA"/>
    <s v="67.758.532/0001-63"/>
    <d v="2020-05-27T00:00:00"/>
    <n v="64890"/>
    <s v="OK"/>
    <s v="JATOBA"/>
  </r>
  <r>
    <s v="IMP-0170"/>
    <s v="IS000439"/>
    <s v="."/>
    <n v="12582"/>
    <s v="Classe para Maquinas Implementos  Agricola Fz St Expedito"/>
    <s v="SEM PLACA"/>
    <s v="C160"/>
    <x v="331"/>
    <s v="MATSUDA EQUIPAMENTOS LTDA"/>
    <s v="VIA CARGA"/>
    <d v="2020-05-27T00:00:00"/>
    <n v="64890"/>
    <m/>
    <m/>
  </r>
  <r>
    <s v="EQU-0121"/>
    <s v="IS000440"/>
    <m/>
    <s v="NOTA NÃO ENCONTRADA"/>
    <s v="Classe para Equip. Oficina Fz Santo Expedito"/>
    <s v="SEM PLACA"/>
    <s v="SEM CHASSI"/>
    <x v="332"/>
    <s v="NOTA NÃO ENCONTRADA"/>
    <s v="NOTA NÃO ENCONTRADA"/>
    <d v="2020-06-01T00:00:00"/>
    <n v="1980"/>
    <m/>
    <m/>
  </r>
  <r>
    <s v="MAQ-0005"/>
    <s v="IS000441"/>
    <s v="3120 0501 8445 5500 2045 5501 5000 0655 0810 6238 3100"/>
    <n v="65508"/>
    <s v="Classe para Maquinas Implementos  Agricola Fz St Expedito"/>
    <s v="SEM PLACA"/>
    <s v="HBZNW20FALAE11354"/>
    <x v="333"/>
    <s v="CNH INDUSTRIAL BRASIL LTDA."/>
    <s v="01.844.555/0020-45"/>
    <d v="2020-06-01T00:00:00"/>
    <n v="330000"/>
    <s v="OK"/>
    <m/>
  </r>
  <r>
    <s v="IMP-0173"/>
    <s v="IS000442"/>
    <m/>
    <n v="49525"/>
    <s v="Classe para Maq. Imp Agricola"/>
    <s v="SEM PLACA"/>
    <s v="18/05453"/>
    <x v="334"/>
    <s v="BAMAGRIL - BARCELLOS MAQUINAS AGRICOLAS BAHIA LTDA"/>
    <s v="04.428.098/0001-33"/>
    <d v="2020-06-05T00:00:00"/>
    <n v="17000"/>
    <s v="OK"/>
    <s v="JATOBA"/>
  </r>
  <r>
    <s v="IMP-0168"/>
    <s v="IS000443"/>
    <s v="."/>
    <n v="130"/>
    <s v="Classe para Maq. Imp Agricola"/>
    <s v="SEM PLACA"/>
    <s v="SEM CHASSI"/>
    <x v="268"/>
    <s v="UBRATAN FRANCISCO FRANCOSI"/>
    <s v="VIA CARGA"/>
    <d v="2020-06-08T00:00:00"/>
    <n v="15000"/>
    <m/>
    <m/>
  </r>
  <r>
    <s v="IMP-0174"/>
    <s v="IS000444"/>
    <s v="."/>
    <n v="400"/>
    <s v="Classe para Maquinas Implementos  Agricola Fz Jatoba"/>
    <s v="SEM PLACA"/>
    <s v="SEM CHASSI"/>
    <x v="335"/>
    <s v="MARCIO BORTOLOTTO SERVICOS E AGRICOLA EREU"/>
    <s v="VIA CARGA"/>
    <d v="2020-06-10T00:00:00"/>
    <n v="70000"/>
    <s v="OK"/>
    <s v="GRANDE LESTE"/>
  </r>
  <r>
    <s v="IMP-191"/>
    <s v="IS000445"/>
    <m/>
    <m/>
    <s v="Classe para Equip. Diversos"/>
    <s v="SEM PLACA"/>
    <s v="SEM CHASSI"/>
    <x v="14"/>
    <m/>
    <m/>
    <d v="2020-06-15T00:00:00"/>
    <n v="37426.83"/>
    <s v="OK"/>
    <s v="SANTA LUCIA"/>
  </r>
  <r>
    <s v="EQI-0062"/>
    <s v="IS000446"/>
    <m/>
    <s v="NOTA NÃO ENCONTRADA"/>
    <s v="Classe para Informatica e Comunicaçao"/>
    <s v="SEM PLACA"/>
    <s v="SEM CHASSI"/>
    <x v="336"/>
    <s v="NOTA NÃO ENCONTRADA"/>
    <s v="NOTA NÃO ENCONTRADA"/>
    <d v="2020-06-16T00:00:00"/>
    <n v="16000"/>
    <m/>
    <m/>
  </r>
  <r>
    <s v="EQU-0065"/>
    <s v="IS000447"/>
    <m/>
    <s v="NOTA NÃO ENCONTRADA"/>
    <s v="Classe para Equip. Oficina Fz Santo Expedito"/>
    <s v="SEM PLACA"/>
    <s v="SEM CHASSI"/>
    <x v="337"/>
    <s v="NOTA NÃO ENCONTRADA"/>
    <s v="NOTA NÃO ENCONTRADA"/>
    <d v="2020-06-16T00:00:00"/>
    <n v="900.25"/>
    <s v="OK"/>
    <m/>
  </r>
  <r>
    <s v="IMP-0187"/>
    <s v="IS000448"/>
    <m/>
    <s v="NOTA NÃO ENCONTRADA"/>
    <s v="Classe para Maquinas Implementos  Agricola Fz St Expedito"/>
    <s v="SEM PLACA"/>
    <s v="0102330338-0-8"/>
    <x v="338"/>
    <s v="NOTA NÃO ENCONTRADA"/>
    <s v="NOTA NÃO ENCONTRADA"/>
    <d v="2020-06-21T00:00:00"/>
    <n v="90000"/>
    <s v="OK"/>
    <s v="SANTO EXPEDITO"/>
  </r>
  <r>
    <s v="EQU-0137"/>
    <s v="IS000449"/>
    <m/>
    <s v="NOTA NÃO ENCONTRADA"/>
    <s v="Classe para Maq. Imp Agricola"/>
    <s v="SEM PLACA"/>
    <s v="SEM CHASSI"/>
    <x v="339"/>
    <s v="NOTA NÃO ENCONTRADA"/>
    <s v="NOTA NÃO ENCONTRADA"/>
    <d v="2020-06-26T00:00:00"/>
    <n v="1985"/>
    <m/>
    <m/>
  </r>
  <r>
    <s v="IMP-0175"/>
    <s v="IS000450"/>
    <m/>
    <n v="139"/>
    <s v="Classe para Maquinas Implementos  Agricola Fz Jatoba"/>
    <s v="SEM PLACA"/>
    <s v="2020CSC2400JM056F"/>
    <x v="340"/>
    <s v="CSC INDUSTRIA E COMERCIO DE MAQUINAS E EQUIPAMENTOS"/>
    <s v="03.637.657/0001-52"/>
    <d v="2020-07-13T00:00:00"/>
    <n v="250000"/>
    <s v="OK"/>
    <s v="JATOBA"/>
  </r>
  <r>
    <s v="MAQ-0007"/>
    <s v="IS000451"/>
    <s v="."/>
    <n v="12020"/>
    <s v="Classe para Maq. Imp Agricola"/>
    <s v="SEM PLACA"/>
    <s v="CQ7300A033779"/>
    <x v="341"/>
    <s v="ELLY DE LIMA"/>
    <s v="VIA CARGA"/>
    <d v="2020-07-30T00:00:00"/>
    <n v="45000"/>
    <m/>
    <m/>
  </r>
  <r>
    <s v="EQU-0127"/>
    <s v="IS000452"/>
    <m/>
    <s v="NOTA NÃO ENCONTRADA"/>
    <s v="Classe para Equip. Diversos Ubs Fz Santa lucia"/>
    <s v="SEM PLACA"/>
    <s v="SEM CHASSI"/>
    <x v="342"/>
    <s v="NOTA NÃO ENCONTRADA"/>
    <s v="NOTA NÃO ENCONTRADA"/>
    <d v="2020-08-04T00:00:00"/>
    <n v="6000"/>
    <s v="OK"/>
    <s v="SANTA LUCIA"/>
  </r>
  <r>
    <s v="IMP-0177"/>
    <s v="IS000453"/>
    <m/>
    <n v="50368"/>
    <s v="Classe para Maquinas Implementos  Agricola Fz Jatoba"/>
    <s v="SEM PLACA"/>
    <s v="RF0211580420"/>
    <x v="343"/>
    <s v="BAMAGRIL - BARCELLOS MAQUINAS AGRICOLAS BAHIA LTDA"/>
    <s v="04.428.098/0001-33"/>
    <d v="2020-08-05T00:00:00"/>
    <n v="155000"/>
    <s v="OK"/>
    <s v="GRANDE LESTE"/>
  </r>
  <r>
    <s v="EQU-0129"/>
    <s v="IS000454"/>
    <m/>
    <s v="NOTA NÃO ENCONTRADA"/>
    <s v="Classe para equip. Diversos Fz Santo Expedito"/>
    <s v="SEM PLACA"/>
    <s v="SEM CHASSI"/>
    <x v="344"/>
    <s v="NOTA NÃO ENCONTRADA"/>
    <s v="NOTA NÃO ENCONTRADA"/>
    <d v="2020-08-07T00:00:00"/>
    <n v="63956.639999999999"/>
    <m/>
    <m/>
  </r>
  <r>
    <s v="EQU-0130"/>
    <s v="IS000455"/>
    <m/>
    <s v="NOTA NÃO ENCONTRADA"/>
    <s v="Classe para Equip. Diversos Ubs Fz Santa lucia"/>
    <s v="SEM PLACA"/>
    <s v="SEM CHASSI"/>
    <x v="270"/>
    <s v="NOTA NÃO ENCONTRADA"/>
    <s v="NOTA NÃO ENCONTRADA"/>
    <d v="2020-08-07T00:00:00"/>
    <n v="64272.74"/>
    <s v="OK"/>
    <m/>
  </r>
  <r>
    <s v="EQU-0131"/>
    <s v="IS000456"/>
    <m/>
    <s v="NOTA NÃO ENCONTRADA"/>
    <s v="Classe para Equip. Diversos Fz Evangelista"/>
    <s v="SEM PLACA"/>
    <s v="SEM CHASSI"/>
    <x v="345"/>
    <s v="NOTA NÃO ENCONTRADA"/>
    <s v="NOTA NÃO ENCONTRADA"/>
    <d v="2020-08-07T00:00:00"/>
    <n v="71116.2"/>
    <m/>
    <m/>
  </r>
  <r>
    <s v="EQU-0132"/>
    <s v="IS000457"/>
    <m/>
    <s v="NOTA NÃO ENCONTRADA"/>
    <s v="Classe para equip. Diversos Fz Santo Expedito"/>
    <s v="SEM PLACA"/>
    <s v="SEM CHASSI"/>
    <x v="344"/>
    <s v="NOTA NÃO ENCONTRADA"/>
    <s v="NOTA NÃO ENCONTRADA"/>
    <d v="2020-08-07T00:00:00"/>
    <n v="63956.639999999999"/>
    <s v="OK"/>
    <m/>
  </r>
  <r>
    <s v="EQU-0134"/>
    <s v="IS000458"/>
    <m/>
    <s v="NOTA NÃO ENCONTRADA"/>
    <s v="Classe para Equip. Diversos Ubs Fz Santa lucia"/>
    <s v="SEM PLACA"/>
    <s v="SEM CHASSI"/>
    <x v="346"/>
    <s v="NOTA NÃO ENCONTRADA"/>
    <s v="NOTA NÃO ENCONTRADA"/>
    <d v="2020-08-07T00:00:00"/>
    <n v="20019.37"/>
    <m/>
    <m/>
  </r>
  <r>
    <s v="IMP-0185"/>
    <s v="IS000459"/>
    <m/>
    <s v="NOTA NÃO ENCONTRADA"/>
    <s v="Classe para Maq. Imp Agricola"/>
    <s v="SEM PLACA"/>
    <s v="SEM CHASSI"/>
    <x v="347"/>
    <s v="NOTA NÃO ENCONTRADA"/>
    <s v="NOTA NÃO ENCONTRADA"/>
    <d v="2020-08-17T00:00:00"/>
    <n v="8000"/>
    <s v="OK"/>
    <s v="SANTA LUCIA"/>
  </r>
  <r>
    <s v="PUL-011"/>
    <s v="IS000460"/>
    <m/>
    <n v="7380"/>
    <s v="Classe para Maq. Imp Agricola"/>
    <s v="SEM PLACA"/>
    <s v="PRCYP350TPLPC04137"/>
    <x v="246"/>
    <s v="MAXUM MAQUINAS E EQUIPAMENTOS LTDA"/>
    <s v="02.227.267/0003-03"/>
    <d v="2020-12-04T00:00:00"/>
    <n v="825000"/>
    <s v="OK"/>
    <s v="SANTO EXPEDITO"/>
  </r>
  <r>
    <s v="MAQ-0008"/>
    <s v="IS000461"/>
    <m/>
    <s v="NOTA NÃO ENCONTRADA"/>
    <s v="Classe para Maq. Imp Agricola"/>
    <s v="SEM PLACA"/>
    <s v="P232L-4931-9663"/>
    <x v="348"/>
    <s v="NOTA NÃO ENCONTRADA"/>
    <s v="NOTA NÃO ENCONTRADA"/>
    <d v="2020-09-01T00:00:00"/>
    <n v="80000"/>
    <s v="OK"/>
    <m/>
  </r>
  <r>
    <s v="EQU-0152"/>
    <s v="IS000462"/>
    <m/>
    <s v="NOTA NÃO ENCONTRADA"/>
    <s v="Classe para equip. Diversos Fz Santo Expedito"/>
    <s v="SEM PLACA"/>
    <s v="SEM CHASSI"/>
    <x v="349"/>
    <s v="NOTA NÃO ENCONTRADA"/>
    <s v="NOTA NÃO ENCONTRADA"/>
    <d v="2020-09-09T00:00:00"/>
    <n v="2400"/>
    <m/>
    <m/>
  </r>
  <r>
    <s v="IMP-0183"/>
    <s v="IS000463"/>
    <m/>
    <n v="2425"/>
    <s v="Classe para Maquinas Implementos  Agricola Fz St Expedito"/>
    <s v="SEM PLACA"/>
    <s v="0102090066--979"/>
    <x v="350"/>
    <s v="AGRICOLA SIMABA LTD"/>
    <s v="04.815.160/0001-40"/>
    <d v="2020-09-09T00:00:00"/>
    <n v="70000"/>
    <s v="OK"/>
    <s v="SANTO EXPEDITO"/>
  </r>
  <r>
    <s v="EQU-0151"/>
    <s v="IS000464"/>
    <m/>
    <s v="NOTA NÃO ENCONTRADA"/>
    <s v="Classe para Equip. Diversos"/>
    <s v="SEM PLACA"/>
    <n v="2008801"/>
    <x v="351"/>
    <s v="NOTA NÃO ENCONTRADA"/>
    <s v="NOTA NÃO ENCONTRADA"/>
    <d v="2020-09-11T00:00:00"/>
    <n v="8400"/>
    <s v="OK"/>
    <s v="SANTA LUCIA"/>
  </r>
  <r>
    <s v="EQU-193"/>
    <s v="IS000465"/>
    <m/>
    <m/>
    <s v="Classe para Equip. Diversos"/>
    <s v="SEM PLACA"/>
    <s v="SEM CHASSI"/>
    <x v="162"/>
    <m/>
    <m/>
    <d v="2020-09-21T00:00:00"/>
    <n v="1940.46"/>
    <s v="OK"/>
    <s v="JATOBA"/>
  </r>
  <r>
    <s v="EQU-154"/>
    <s v="IS000466"/>
    <m/>
    <m/>
    <s v="Classe para Equip. UBG - Secagem e Aramazenagem de Graos"/>
    <s v="SEM PLACA"/>
    <s v="SEM CHASSI"/>
    <x v="352"/>
    <m/>
    <m/>
    <d v="2020-09-28T00:00:00"/>
    <s v="_"/>
    <s v="OK"/>
    <s v="GRANDE LESTE"/>
  </r>
  <r>
    <s v="IMP-248"/>
    <s v="IS000467"/>
    <m/>
    <n v="146577"/>
    <s v="Classe para Maq. Imp Agricola"/>
    <s v="SEM PLACA"/>
    <s v="HCCB40FCHNCK21047"/>
    <x v="353"/>
    <s v="MAXUM MAQUINAS E EQUIPAMENTOS LTDA"/>
    <s v="02.227.267/0003-03"/>
    <d v="2023-04-24T00:00:00"/>
    <n v="650000"/>
    <s v="OK"/>
    <s v="JATOBA"/>
  </r>
  <r>
    <s v="IMP-249"/>
    <s v="IS000468"/>
    <m/>
    <n v="146578"/>
    <s v="Classe para Maquinas Implementos  Agricola Fz Jatoba"/>
    <s v="SEM PLACA"/>
    <s v="HCCB40FCANCK21052"/>
    <x v="353"/>
    <s v="MAXUM MAQUINAS E EQUIPAMENTOS LTDA"/>
    <s v="02.227.267/0003-03"/>
    <d v="2023-04-24T00:00:00"/>
    <n v="650000"/>
    <s v="OK"/>
    <s v="JATOBA"/>
  </r>
  <r>
    <s v="IMP-217"/>
    <s v="IS000469"/>
    <m/>
    <m/>
    <s v="Classe para Maq. Imp Agricola"/>
    <s v="SEM PLACA"/>
    <s v="SEM CHASSI"/>
    <x v="354"/>
    <m/>
    <m/>
    <d v="2020-10-02T00:00:00"/>
    <n v="58000.01"/>
    <m/>
    <m/>
  </r>
  <r>
    <s v="MVU-052"/>
    <s v="IS000470"/>
    <m/>
    <n v="51684"/>
    <s v="Classe para Moveis e Utensilios"/>
    <s v="SEM PLACA"/>
    <s v="SEM CHASSI"/>
    <x v="355"/>
    <s v="GERAIS ELETROMOVEIS LTDA"/>
    <s v="09.559.010/0001-36"/>
    <d v="2020-10-14T00:00:00"/>
    <n v="1099.99"/>
    <m/>
    <m/>
  </r>
  <r>
    <s v="IMP-192"/>
    <s v="IS000471"/>
    <m/>
    <m/>
    <s v="Classe para Maquinas Implementos  Agricola Fz Santa Lucia"/>
    <s v="SEM PLACA"/>
    <s v="REI-CA10893"/>
    <x v="356"/>
    <m/>
    <m/>
    <d v="2020-11-23T00:00:00"/>
    <n v="213000"/>
    <s v="OK"/>
    <s v="SANTO EXPEDITO"/>
  </r>
  <r>
    <s v="EQU-157"/>
    <s v="IS000472"/>
    <m/>
    <m/>
    <s v="Classe para Equip. Oficina"/>
    <s v="SEM PLACA"/>
    <s v="SEM CHASSI"/>
    <x v="127"/>
    <m/>
    <m/>
    <d v="2020-11-25T00:00:00"/>
    <n v="1611.03"/>
    <s v="OK"/>
    <m/>
  </r>
  <r>
    <s v="EQU-188"/>
    <s v="IS000473"/>
    <m/>
    <m/>
    <s v="Classe para Equip. Diversos"/>
    <s v="SEM PLACA"/>
    <s v="SEM CHASSI"/>
    <x v="357"/>
    <m/>
    <m/>
    <d v="2020-12-01T00:00:00"/>
    <n v="8026.69"/>
    <s v="OK"/>
    <s v="SANTO EXPEDITO"/>
  </r>
  <r>
    <s v="COL-012"/>
    <s v="IS000474"/>
    <m/>
    <m/>
    <s v="Classe para Maquinas Implementos  Agricola Fz St Expedito"/>
    <s v="SEM PLACA"/>
    <s v="JHFY9230JLJB14926"/>
    <x v="358"/>
    <m/>
    <m/>
    <d v="2020-12-04T00:00:00"/>
    <n v="1400000"/>
    <s v="OK"/>
    <s v="SANTO EXPEDITO"/>
  </r>
  <r>
    <s v="IMP-194"/>
    <s v="IS000475"/>
    <m/>
    <m/>
    <s v="Classe para Maq. Imp Agricola"/>
    <s v="SEM PLACA"/>
    <s v="HCCBDF45AHCC01176"/>
    <x v="353"/>
    <m/>
    <m/>
    <d v="2020-12-04T00:00:00"/>
    <n v="400000"/>
    <s v="OK"/>
    <s v="JATOBA"/>
  </r>
  <r>
    <s v="PUL-008"/>
    <s v="IS000476"/>
    <m/>
    <n v="38128"/>
    <s v="Classe para Maquinas Implementos  Agricola Fz St Expedito"/>
    <s v="SEM PLACA"/>
    <s v="HEM-CA11101"/>
    <x v="359"/>
    <s v="CAMPOESTE-MAQUINAS BAHIA LTDA"/>
    <s v="11.673.562/0001-12"/>
    <d v="2020-08-18T00:00:00"/>
    <n v="860000"/>
    <s v="OK"/>
    <s v="SANTA LUCIA"/>
  </r>
  <r>
    <s v="IS000477"/>
    <s v="IS000477"/>
    <m/>
    <m/>
    <s v="Classe para Veiculos Fz Santa Lucia"/>
    <s v="RVZ8B89"/>
    <s v="8AJBA3CD3P1755331"/>
    <x v="360"/>
    <m/>
    <m/>
    <m/>
    <m/>
    <m/>
    <s v="SANTA LUCIA"/>
  </r>
  <r>
    <s v="IMP-193"/>
    <s v="IS000478"/>
    <m/>
    <m/>
    <s v="Classe para Maquinas Implementos  Agricola Fz St Expedito"/>
    <s v="SEM PLACA"/>
    <s v="SEM CHASSI"/>
    <x v="320"/>
    <m/>
    <m/>
    <d v="2020-12-07T00:00:00"/>
    <n v="49000"/>
    <s v="OK"/>
    <s v="JATOBA"/>
  </r>
  <r>
    <s v="EQU-155"/>
    <s v="IS000479"/>
    <m/>
    <m/>
    <s v="Classe para equip. Diversos Fz Santo Expedito"/>
    <s v="SEM PLACA"/>
    <s v="SEM CHASSI"/>
    <x v="361"/>
    <m/>
    <m/>
    <d v="2020-12-31T00:00:00"/>
    <n v="73719.509999999995"/>
    <m/>
    <m/>
  </r>
  <r>
    <s v="EQU-187"/>
    <s v="IS000480"/>
    <m/>
    <m/>
    <s v="Classe para Equip. Diversos Fz Santa Lucia"/>
    <s v="SEM PLACA"/>
    <s v="SEM CHASSI"/>
    <x v="362"/>
    <m/>
    <m/>
    <d v="2021-01-08T00:00:00"/>
    <n v="1242.05"/>
    <s v="OK"/>
    <m/>
  </r>
  <r>
    <s v="EQU-189"/>
    <s v="IS000481"/>
    <m/>
    <m/>
    <s v="Classe para Equip. Diversos"/>
    <s v="SEM PLACA"/>
    <s v="SEM CHASSI"/>
    <x v="362"/>
    <m/>
    <m/>
    <d v="2021-01-08T00:00:00"/>
    <n v="1242.05"/>
    <m/>
    <m/>
  </r>
  <r>
    <s v="MVU-051"/>
    <s v="IS000482"/>
    <m/>
    <n v="5314593"/>
    <s v="Classe para Moveis e Utensilios Fz Santo Expedito"/>
    <s v="SEM PLACA"/>
    <s v="SEM CHASSI"/>
    <x v="363"/>
    <s v="B2W Companhia Digital"/>
    <s v="00.776.574/0015-51"/>
    <d v="2021-01-25T00:00:00"/>
    <n v="2808.77"/>
    <m/>
    <m/>
  </r>
  <r>
    <s v="IMP-197"/>
    <s v="IS000483"/>
    <m/>
    <m/>
    <s v="Classe para Maq. Imp Agricola"/>
    <s v="SEM PLACA"/>
    <s v="FPL0091200203"/>
    <x v="364"/>
    <m/>
    <m/>
    <d v="2021-01-26T00:00:00"/>
    <n v="42000"/>
    <s v="OK"/>
    <s v="JATOBA"/>
  </r>
  <r>
    <s v="EQU-192"/>
    <s v="IS000484"/>
    <m/>
    <m/>
    <s v="Classe para Equip. Diversos"/>
    <s v="SEM PLACA"/>
    <s v="SEM CHASSI"/>
    <x v="365"/>
    <m/>
    <m/>
    <d v="2021-01-30T00:00:00"/>
    <n v="1940.46"/>
    <s v="OK"/>
    <s v="JATOBA"/>
  </r>
  <r>
    <s v="EQU-190"/>
    <s v="IS000485"/>
    <m/>
    <m/>
    <s v="Classe para Equip. Oficina Fz Santo Expedito"/>
    <s v="SEM PLACA"/>
    <s v="SEM CHASSI"/>
    <x v="366"/>
    <m/>
    <m/>
    <d v="2021-02-01T00:00:00"/>
    <n v="1830.37"/>
    <s v="OK"/>
    <s v="SANTO EXPEDITO"/>
  </r>
  <r>
    <s v="EQU-191"/>
    <s v="IS000486"/>
    <m/>
    <m/>
    <s v="Classe para Equip. Oficina Fz Santo Expedito"/>
    <s v="SEM PLACA"/>
    <s v="SEM CHASSI"/>
    <x v="367"/>
    <m/>
    <m/>
    <d v="2021-02-01T00:00:00"/>
    <n v="7805.72"/>
    <s v="OK"/>
    <s v="SANTO EXPEDITO"/>
  </r>
  <r>
    <s v="MVU-050"/>
    <s v="IS000487"/>
    <m/>
    <n v="55686"/>
    <s v="Classe para Moveis e Utensilios"/>
    <s v="SEM PLACA"/>
    <s v="SEM CHASSI"/>
    <x v="368"/>
    <s v="GERAIS ELETROMOVEIS LTDA"/>
    <s v="09.559.010/0001-36"/>
    <d v="2021-02-01T00:00:00"/>
    <n v="2339"/>
    <m/>
    <m/>
  </r>
  <r>
    <s v="EQI-080"/>
    <s v="IS000488"/>
    <m/>
    <m/>
    <s v="Classe para Informatica e Comunicaçao Fz St Expedito"/>
    <s v="SEM PLACA"/>
    <s v="SEM CHASSI"/>
    <x v="369"/>
    <m/>
    <m/>
    <d v="2021-02-09T00:00:00"/>
    <n v="1350.85"/>
    <s v="OK"/>
    <s v="SANTO EXPEDITO"/>
  </r>
  <r>
    <s v="MAQ-010"/>
    <s v="IS000489"/>
    <m/>
    <m/>
    <s v="Classe para Maq. Imp Agricola"/>
    <s v="SEM PLACA"/>
    <s v="6200D825000"/>
    <x v="317"/>
    <m/>
    <m/>
    <d v="2021-02-13T00:00:00"/>
    <s v="_"/>
    <s v="OK"/>
    <s v="JATOBA"/>
  </r>
  <r>
    <s v="EQU-194"/>
    <s v="IS000490"/>
    <m/>
    <m/>
    <s v="Classe para Equip. Oficina Fz Santa Lucia"/>
    <s v="SEM PLACA"/>
    <s v="SEM CHASSI"/>
    <x v="370"/>
    <m/>
    <m/>
    <d v="2021-02-19T00:00:00"/>
    <n v="1144"/>
    <s v="OK"/>
    <m/>
  </r>
  <r>
    <s v="EQU-195"/>
    <s v="IS000491"/>
    <m/>
    <m/>
    <s v="Classe para Equip. Diversos"/>
    <s v="SEM PLACA"/>
    <s v="SEM CHASSI"/>
    <x v="371"/>
    <m/>
    <m/>
    <d v="2021-02-26T00:00:00"/>
    <n v="2090.9899999999998"/>
    <m/>
    <m/>
  </r>
  <r>
    <s v="EQU-196"/>
    <s v="IS000492"/>
    <m/>
    <m/>
    <s v="Classe para Equip. Oficina Fz Santo Expedito"/>
    <s v="SEM PLACA"/>
    <s v="SEM CHASSI"/>
    <x v="371"/>
    <m/>
    <m/>
    <d v="2021-02-26T00:00:00"/>
    <n v="2090.9899999999998"/>
    <m/>
    <m/>
  </r>
  <r>
    <s v="EQU-197"/>
    <s v="IS000493"/>
    <m/>
    <m/>
    <s v="Classe para Equip. Diversos"/>
    <s v="SEM PLACA"/>
    <s v="SEM CHASSI"/>
    <x v="372"/>
    <m/>
    <m/>
    <d v="2021-02-26T00:00:00"/>
    <n v="2090.9899999999998"/>
    <m/>
    <m/>
  </r>
  <r>
    <s v="VEI-047"/>
    <s v="IS000494"/>
    <m/>
    <m/>
    <s v="Classe para Veiculos Fz Jatoba"/>
    <s v="RDE6B84"/>
    <s v="JB01E0M018836"/>
    <x v="373"/>
    <m/>
    <m/>
    <d v="2021-03-02T00:00:00"/>
    <n v="8550"/>
    <s v="OK"/>
    <s v="JATOBA"/>
  </r>
  <r>
    <s v="EQU-205"/>
    <s v="IS000495"/>
    <m/>
    <m/>
    <s v="Classe para Equip. Diversos Ubs Fz Santa lucia"/>
    <s v="SEM PLACA"/>
    <s v="SEM CHASSI"/>
    <x v="374"/>
    <m/>
    <m/>
    <d v="2021-03-25T00:00:00"/>
    <n v="55467.6"/>
    <m/>
    <m/>
  </r>
  <r>
    <s v="IMP-204"/>
    <s v="IS000496"/>
    <m/>
    <m/>
    <s v="Classe para Maq. Imp Agricola"/>
    <s v="SEM PLACA"/>
    <n v="1041065"/>
    <x v="375"/>
    <m/>
    <m/>
    <d v="2021-03-26T00:00:00"/>
    <n v="118000"/>
    <s v="OK"/>
    <s v="JATOBA"/>
  </r>
  <r>
    <s v="IMP-206"/>
    <s v="IS000497"/>
    <m/>
    <m/>
    <s v="Classe para Maquinas Implementos  Agricola Fz St Expedito"/>
    <s v="SEM PLACA"/>
    <s v="DHCX4500099"/>
    <x v="353"/>
    <m/>
    <m/>
    <d v="2021-03-31T00:00:00"/>
    <n v="400000"/>
    <s v="OK"/>
    <s v="SANTO EXPEDITO"/>
  </r>
  <r>
    <s v="IMP-207"/>
    <s v="IS000498"/>
    <m/>
    <m/>
    <s v="Classe para Maq. Imp Agricola"/>
    <s v="SEM PLACA"/>
    <s v="DHCX4500098"/>
    <x v="353"/>
    <m/>
    <m/>
    <d v="2021-03-31T00:00:00"/>
    <n v="400000"/>
    <s v="OK"/>
    <s v="JATOBA"/>
  </r>
  <r>
    <s v="TRA-050"/>
    <s v="IS000499"/>
    <m/>
    <m/>
    <s v="Classe para Maquinas Implementos  Agricola Fz St Expedito"/>
    <s v="SEM PLACA"/>
    <s v="HCCZ3C30VLCF13828"/>
    <x v="376"/>
    <m/>
    <m/>
    <d v="2021-03-31T00:00:00"/>
    <n v="500000"/>
    <m/>
    <m/>
  </r>
  <r>
    <s v="IS000500"/>
    <s v="IS000500"/>
    <m/>
    <s v="IMOVEIS"/>
    <s v="Classe para Imoveis Santa Lucia"/>
    <s v="SEM PLACA"/>
    <s v="SEM CHASSI"/>
    <x v="377"/>
    <m/>
    <m/>
    <d v="2024-09-30T00:00:00"/>
    <n v="8994013.5500000007"/>
    <s v="IMOVEL RURAL E INSTALAÇÕES "/>
    <s v="SANTA LUCIA"/>
  </r>
  <r>
    <s v="IMP-205"/>
    <s v="IS000501"/>
    <m/>
    <n v="16341"/>
    <s v="Classe para Maquinas Implementos  Agricola Fz Santa Lucia"/>
    <s v="SEM PLACA"/>
    <n v="21104456"/>
    <x v="378"/>
    <s v="UNICAMPO MAQUINAS E EQUIPAMENTOS AGRICOLAS LTDA"/>
    <s v="13.373.265/0001-87"/>
    <d v="2021-04-06T00:00:00"/>
    <n v="140000"/>
    <s v="OK"/>
    <s v="SANTO EXPEDITO"/>
  </r>
  <r>
    <s v="IMP-209"/>
    <s v="IS000502"/>
    <m/>
    <m/>
    <s v="Classe para Maq. Imp Agricola"/>
    <s v="SEM PLACA"/>
    <s v="20/01241"/>
    <x v="379"/>
    <m/>
    <m/>
    <d v="2021-04-08T00:00:00"/>
    <n v="22000"/>
    <s v="OK"/>
    <s v="JATOBA"/>
  </r>
  <r>
    <s v="IMP-200"/>
    <s v="IS000503"/>
    <m/>
    <m/>
    <s v="Classe para Maq. Imp Agricola"/>
    <s v="SEM PLACA"/>
    <s v="ALEI210180"/>
    <x v="124"/>
    <m/>
    <m/>
    <d v="2021-04-09T00:00:00"/>
    <n v="76191.759999999995"/>
    <s v="OK"/>
    <s v="JATOBA"/>
  </r>
  <r>
    <s v="IMP-201"/>
    <s v="IS000504"/>
    <m/>
    <m/>
    <s v="Classe para Maq. Imp Agricola"/>
    <s v="SEM PLACA"/>
    <s v="ALEI210181"/>
    <x v="124"/>
    <m/>
    <m/>
    <d v="2021-04-09T00:00:00"/>
    <n v="76191.759999999995"/>
    <s v="OK"/>
    <s v="JATOBA"/>
  </r>
  <r>
    <s v="IMP-202"/>
    <s v="IS000505"/>
    <m/>
    <m/>
    <s v="Classe para Maq. Imp Agricola"/>
    <s v="SEM PLACA"/>
    <s v="ALEI210184"/>
    <x v="124"/>
    <m/>
    <m/>
    <d v="2021-04-09T00:00:00"/>
    <n v="76191.759999999995"/>
    <s v="OK"/>
    <s v="JATOBA"/>
  </r>
  <r>
    <s v="IMP-203"/>
    <s v="IS000506"/>
    <m/>
    <m/>
    <s v="Classe para Maq. Imp Agricola"/>
    <s v="SEM PLACA"/>
    <s v="ALEI210185"/>
    <x v="124"/>
    <m/>
    <m/>
    <d v="2021-04-09T00:00:00"/>
    <n v="76191.759999999995"/>
    <s v="OK"/>
    <s v="JATOBA"/>
  </r>
  <r>
    <s v="IMP-208"/>
    <s v="IS000507"/>
    <m/>
    <m/>
    <s v="Classe para Maquinas Implementos  Agricola Fz Santa Lucia"/>
    <s v="SEM PLACA"/>
    <s v="0121510066-0-19"/>
    <x v="380"/>
    <m/>
    <m/>
    <d v="2021-04-16T00:00:00"/>
    <n v="235000"/>
    <s v="OK"/>
    <s v="GRANDE LESTE"/>
  </r>
  <r>
    <s v="COL-013"/>
    <s v="IS000508"/>
    <m/>
    <m/>
    <s v="Classe para Maquinas Implementos  Agricola Fz St Expedito"/>
    <s v="SEM PLACA"/>
    <s v="JHFY9230HLJB15292"/>
    <x v="358"/>
    <m/>
    <m/>
    <d v="2021-04-28T00:00:00"/>
    <n v="1450000"/>
    <s v="OK"/>
    <s v="JATOBA"/>
  </r>
  <r>
    <s v="EQI-081"/>
    <s v="IS000509"/>
    <m/>
    <m/>
    <s v="Classe para Informatica e Comunicaçao"/>
    <s v="SEM PLACA"/>
    <s v="SEM CHASSI"/>
    <x v="381"/>
    <m/>
    <m/>
    <d v="2021-05-04T00:00:00"/>
    <n v="4422.05"/>
    <s v="OK"/>
    <s v="ESCRITORIO CENTRAL"/>
  </r>
  <r>
    <s v="IMP-210"/>
    <s v="IS000510"/>
    <m/>
    <m/>
    <s v="Classe para Maq. Imp Agricola"/>
    <s v="SEM PLACA"/>
    <s v="EAGLE01-0198"/>
    <x v="382"/>
    <m/>
    <m/>
    <d v="2021-05-13T00:00:00"/>
    <n v="260000"/>
    <s v="OK"/>
    <s v="SANTA LUCIA"/>
  </r>
  <r>
    <s v="IMP-211"/>
    <s v="IS000511"/>
    <m/>
    <m/>
    <s v="Classe para Maquinas Implementos  Agricola Fz Jatoba"/>
    <s v="SEM PLACA"/>
    <s v="2021CSC2400JM086D"/>
    <x v="383"/>
    <m/>
    <m/>
    <d v="2021-05-31T00:00:00"/>
    <n v="304766.24"/>
    <s v="OK"/>
    <s v="JATOBA"/>
  </r>
  <r>
    <s v="IMP-216"/>
    <s v="IS000512"/>
    <m/>
    <n v="457"/>
    <s v="Classe para Maq. Imp Agricola"/>
    <s v="SEM PLACA"/>
    <s v="SEM CHASSI"/>
    <x v="384"/>
    <s v="CAMPOESTE MAQUINAS BAHIA ROSARIO LTDA"/>
    <s v="40.355.474/0001-70"/>
    <d v="2021-06-21T00:00:00"/>
    <n v="7000"/>
    <s v="OK"/>
    <m/>
  </r>
  <r>
    <s v="PLA-009"/>
    <s v="IS000513"/>
    <m/>
    <n v="189"/>
    <s v="Classe para Maq. Imp Agricola"/>
    <s v="SEM PLACA"/>
    <n v="12"/>
    <x v="385"/>
    <s v="MRS AGRO DO BRASIL INDUSTRIA E COM. DE MAQ. AGRICOLAS LTDA"/>
    <s v="20.210.169/0001-83"/>
    <d v="2021-06-29T00:00:00"/>
    <n v="75000"/>
    <s v="OK"/>
    <s v="SANTA LUCIA"/>
  </r>
  <r>
    <s v="MVU-055"/>
    <s v="IS000514"/>
    <m/>
    <n v="2822"/>
    <s v="Classe para Moveis e Utensilios"/>
    <s v="SEM PLACA"/>
    <s v="SEM CHASSI"/>
    <x v="386"/>
    <s v="CLAUDINO S A LOJAS DE DEPARTAMENTOS"/>
    <s v="06.862.627/0152-40"/>
    <d v="2021-07-09T00:00:00"/>
    <n v="1819"/>
    <m/>
    <m/>
  </r>
  <r>
    <s v="IMP-218"/>
    <s v="IS000515"/>
    <m/>
    <m/>
    <s v="Classe para Maq. Imp Agricola"/>
    <s v="SEM PLACA"/>
    <s v="SEM CHASSI"/>
    <x v="387"/>
    <m/>
    <m/>
    <d v="2021-07-12T00:00:00"/>
    <s v="_"/>
    <m/>
    <m/>
  </r>
  <r>
    <s v="IMP-215"/>
    <s v="IS000516"/>
    <m/>
    <n v="103"/>
    <s v="Classe para Maquinas Implementos  Agricola Fz Santa Lucia"/>
    <s v="SEM PLACA"/>
    <n v="1041864"/>
    <x v="388"/>
    <s v="IMPLEMAQ MAQ. E PECAS AGRICOLAS LTDA"/>
    <s v="38.301.427/0001-00"/>
    <d v="2021-07-14T00:00:00"/>
    <n v="120000"/>
    <s v="OK"/>
    <s v="SANTO EXPEDITO"/>
  </r>
  <r>
    <s v="MVU-056"/>
    <s v="IS000517"/>
    <m/>
    <n v="493675"/>
    <s v="Classe para Moveis e Utensilios Fz Santo Expedito"/>
    <s v="SEM PLACA"/>
    <s v="SEM CHASSI"/>
    <x v="389"/>
    <s v="HOHL MAQUINAS AGRICOLAS LTDA"/>
    <s v="01.608.488/0001-05"/>
    <d v="2021-07-14T00:00:00"/>
    <n v="3200"/>
    <s v="OK"/>
    <s v="SANTO EXPEDITO"/>
  </r>
  <r>
    <s v="MVU-057"/>
    <s v="IS000518"/>
    <m/>
    <n v="493905"/>
    <s v="Classe para Moveis e Utensilios Fz Santa Lucia"/>
    <s v="SEM PLACA"/>
    <s v="SEM CHASSI"/>
    <x v="390"/>
    <s v="HOHL MAQUINAS AGRICOLAS LTDA"/>
    <s v="01.608.488/0001-05"/>
    <d v="2021-07-14T00:00:00"/>
    <n v="3200"/>
    <s v="OK"/>
    <m/>
  </r>
  <r>
    <s v="IMP-214"/>
    <s v="IS000519"/>
    <m/>
    <n v="32"/>
    <s v="Classe para Maquinas Implementos  Agricola Fz St Expedito"/>
    <s v="SEM PLACA"/>
    <s v="SEM CHASSI"/>
    <x v="391"/>
    <s v="FF IND COM E PREST DE SERVIOS DE IMPLEMENTOS AGRICOLAS LTDA"/>
    <s v="40.730.937/0001-37"/>
    <d v="2021-07-20T00:00:00"/>
    <n v="254763.16"/>
    <s v="OK"/>
    <s v="GRANDE LESTE"/>
  </r>
  <r>
    <s v="MVU-053"/>
    <s v="IS000520"/>
    <m/>
    <n v="492659"/>
    <s v="Classe para Moveis e Utensilios"/>
    <s v="SEM PLACA"/>
    <s v="SEM CHASSI"/>
    <x v="392"/>
    <s v="HOHL MAQUINAS AGRICOLAS LTDA"/>
    <s v="01.608.488/0001-05"/>
    <d v="2021-07-20T00:00:00"/>
    <n v="3178.73"/>
    <s v="OK"/>
    <m/>
  </r>
  <r>
    <s v="IMP-212"/>
    <s v="IS000521"/>
    <m/>
    <n v="57563"/>
    <s v="Classe para Maq. Imp Agricola"/>
    <s v="SEM PLACA"/>
    <s v="TAN2128827AB"/>
    <x v="393"/>
    <s v="BAMAGRIL - BARCELLOS MAQUINAS AGRICOLAS BAHIA LTDA"/>
    <s v="04.428.098/0001-33"/>
    <d v="2021-07-22T00:00:00"/>
    <n v="85320"/>
    <s v="OK"/>
    <m/>
  </r>
  <r>
    <s v="IS000522"/>
    <s v="IS000522"/>
    <m/>
    <s v="IMOVEIS"/>
    <s v="Classe para Imoveis St Expedito"/>
    <s v="SEM PLACA"/>
    <s v="SEM CHASSI"/>
    <x v="394"/>
    <m/>
    <m/>
    <d v="2024-09-30T00:00:00"/>
    <n v="96.02"/>
    <s v="IMOVEL RURAL E INSTALAÇÕES "/>
    <s v="SANTO EXPEDITO"/>
  </r>
  <r>
    <s v="MVU-058"/>
    <s v="IS000523"/>
    <m/>
    <n v="495270"/>
    <s v="Classe para Moveis e Utensilios"/>
    <s v="SEM PLACA"/>
    <s v="SEM CHASSI"/>
    <x v="395"/>
    <s v="HOHL MAQUINAS AGRICOLAS LTDA"/>
    <s v="01.608.488/0001-05"/>
    <d v="2021-08-12T00:00:00"/>
    <n v="5982.93"/>
    <s v="OK"/>
    <s v="JATOBA"/>
  </r>
  <r>
    <s v="IMP-224"/>
    <s v="IS000524"/>
    <m/>
    <m/>
    <s v="Classe para Maq. Imp Agricola"/>
    <s v="SEM PLACA"/>
    <s v="TAN2128826AB"/>
    <x v="396"/>
    <m/>
    <m/>
    <d v="2021-08-24T00:00:00"/>
    <n v="95000"/>
    <s v="OK"/>
    <m/>
  </r>
  <r>
    <s v="EQU-209"/>
    <s v="IS000525"/>
    <m/>
    <m/>
    <s v="Classe para Equip. Oficina"/>
    <s v="SEM PLACA"/>
    <s v="SEM CHASSI"/>
    <x v="254"/>
    <m/>
    <m/>
    <d v="2021-08-25T00:00:00"/>
    <n v="2870"/>
    <m/>
    <m/>
  </r>
  <r>
    <s v="EQU-211"/>
    <s v="IS000526"/>
    <m/>
    <n v="17159"/>
    <s v="Classe para Maquinas Implementos  Agricola Fz Jatoba"/>
    <s v="SEM PLACA"/>
    <s v="SEM CHASSI"/>
    <x v="162"/>
    <s v="UNICAMPO MAQUINAS E EQUIPAMENTOS AGRICOLAS LTDA"/>
    <s v="13.373.265/0001-87"/>
    <d v="2021-08-25T00:00:00"/>
    <n v="34500"/>
    <s v="OK"/>
    <s v="GRANDE LESTE"/>
  </r>
  <r>
    <s v="MAQ-011"/>
    <s v="IS000527"/>
    <m/>
    <n v="159513"/>
    <s v="Classe para Maquinas Implementos  Agricola Fz Santa Lucia"/>
    <s v="SEM PLACA"/>
    <s v="HBZN0865JMAF08574"/>
    <x v="397"/>
    <s v="TECHNICO COMERCIAL DE EQUIPAMENTOS SA"/>
    <s v="13.330.634/0001-54"/>
    <d v="2021-09-02T00:00:00"/>
    <n v="854000"/>
    <s v="OK"/>
    <m/>
  </r>
  <r>
    <s v="MAQ-012"/>
    <s v="IS000528"/>
    <m/>
    <n v="159512"/>
    <s v="Classe para Maq. Imp Agricola"/>
    <s v="SEM PLACA"/>
    <s v="HBZNW20FKMAE12965"/>
    <x v="398"/>
    <s v="TECHNICO COMERCIAL DE EQUIPAMENTOS SA"/>
    <s v="13.330.634/0001-54"/>
    <d v="2021-09-02T00:00:00"/>
    <n v="508000"/>
    <s v="OK"/>
    <s v="JATOBA"/>
  </r>
  <r>
    <s v="VEI-050"/>
    <s v="IS000529"/>
    <m/>
    <n v="21902"/>
    <s v="Classe para Veiculos"/>
    <s v="RDK4F62"/>
    <s v="8AJDA3CD0M1821595"/>
    <x v="399"/>
    <s v="Toyota do Brasil Ltda"/>
    <s v="59.104.760/0011-63"/>
    <d v="2021-09-03T00:00:00"/>
    <n v="201865.52"/>
    <s v="OK"/>
    <m/>
  </r>
  <r>
    <s v="IMP-219"/>
    <s v="IS000530"/>
    <m/>
    <n v="29523"/>
    <s v="Classe para Maq. Imp Agricola"/>
    <s v="SEM PLACA"/>
    <s v="SEM CHASSI"/>
    <x v="400"/>
    <s v="IMAVI INDUSTRIA E COMERCIO EIRELI"/>
    <s v="55.568.919/0001-78"/>
    <d v="2021-09-11T00:00:00"/>
    <n v="100000"/>
    <m/>
    <m/>
  </r>
  <r>
    <s v="IMP-220"/>
    <s v="IS000531"/>
    <m/>
    <n v="29875"/>
    <s v="Classe para Equip. Diversos"/>
    <s v="SEM PLACA"/>
    <s v="SEM CHASSI"/>
    <x v="38"/>
    <s v="IMAVI INDUSTRIA E COMERCIO EIRELI"/>
    <s v="55.568.919/0001-78"/>
    <d v="2021-09-11T00:00:00"/>
    <n v="35000"/>
    <s v="OK"/>
    <s v="JATOBA"/>
  </r>
  <r>
    <s v="IMP-221"/>
    <s v="IS000532"/>
    <m/>
    <n v="29875"/>
    <s v="Classe para Maquinas Implementos  Agricola Fz Santa Lucia"/>
    <s v="SEM PLACA"/>
    <s v="SEM CHASSI"/>
    <x v="38"/>
    <s v="IMAVI INDUSTRIA E COMERCIO EIRELI"/>
    <s v="55.568.919/0001-78"/>
    <d v="2021-09-11T00:00:00"/>
    <n v="35000"/>
    <s v="OK"/>
    <m/>
  </r>
  <r>
    <s v="IMP-222"/>
    <s v="IS000533"/>
    <m/>
    <n v="29875"/>
    <s v="Classe para Maquinas Implementos  Agricola Fz St Expedito"/>
    <s v="SEM PLACA"/>
    <s v="SEM CHASSI"/>
    <x v="38"/>
    <s v="IMAVI INDUSTRIA E COMERCIO EIRELI"/>
    <s v="55.568.919/0001-78"/>
    <d v="2021-09-11T00:00:00"/>
    <n v="35000"/>
    <s v="OK"/>
    <s v="JATOBA"/>
  </r>
  <r>
    <s v="IMP-223"/>
    <s v="IS000534"/>
    <m/>
    <n v="29524"/>
    <s v="Classe para Equip. Diversos"/>
    <s v="SEM PLACA"/>
    <s v="SEM CHASSI"/>
    <x v="38"/>
    <s v="IMAVI INDUSTRIA E COMERCIO EIRELI"/>
    <s v="55.568.919/0001-78"/>
    <d v="2021-09-11T00:00:00"/>
    <n v="35000"/>
    <m/>
    <m/>
  </r>
  <r>
    <s v="EQU-213"/>
    <s v="IS000535"/>
    <m/>
    <n v="86866"/>
    <s v="Classe para Equip. Oficina"/>
    <s v="SEM PLACA"/>
    <s v="SEM CHASSI"/>
    <x v="401"/>
    <s v="DEUSDETE SOUSA SANTIAGO e CIA LTDA"/>
    <s v="01.966.026/0001-51"/>
    <d v="2021-09-21T00:00:00"/>
    <n v="1653.14"/>
    <s v="OK"/>
    <m/>
  </r>
  <r>
    <s v="EQU-214"/>
    <s v="IS000536"/>
    <m/>
    <n v="72007"/>
    <s v="Classe para Equip. Diversos"/>
    <s v="SEM PLACA"/>
    <s v="SEM CHASSI"/>
    <x v="402"/>
    <s v="LEM COMERCIO DE EPIS LTDA"/>
    <s v="13.168.084/0001-19"/>
    <d v="2021-09-22T00:00:00"/>
    <n v="2718"/>
    <m/>
    <m/>
  </r>
  <r>
    <s v="EQU-212"/>
    <s v="IS000537"/>
    <m/>
    <m/>
    <s v="Classe para Equip. Diversos"/>
    <s v="SEM PLACA"/>
    <s v="SEM CHASSI"/>
    <x v="250"/>
    <m/>
    <m/>
    <d v="2021-10-01T00:00:00"/>
    <s v="_"/>
    <s v="OK"/>
    <s v="SANTA LUCIA"/>
  </r>
  <r>
    <s v="EQU-215"/>
    <s v="IS000538"/>
    <m/>
    <n v="1595"/>
    <s v="Classe para equip. Diversos Fz Santo Expedito"/>
    <s v="SEM PLACA"/>
    <s v="SEM CHASSI"/>
    <x v="403"/>
    <s v="GILMAR A KOLLN EIREI"/>
    <s v="79.205.530/0001-26"/>
    <d v="2021-10-27T00:00:00"/>
    <n v="70000"/>
    <m/>
    <m/>
  </r>
  <r>
    <s v="MVU-068"/>
    <s v="IS000539"/>
    <m/>
    <n v="2867"/>
    <s v="Classe para Moveis e Utensilios"/>
    <s v="SEM PLACA"/>
    <s v="SEM CHASSI"/>
    <x v="404"/>
    <s v="CLAUDINO S A LOJAS DE DEPARTAMENTOS"/>
    <s v="06.862.627/0152-40"/>
    <d v="2021-10-28T00:00:00"/>
    <n v="2290"/>
    <m/>
    <m/>
  </r>
  <r>
    <s v="EQU-223"/>
    <s v="IS000540"/>
    <m/>
    <m/>
    <s v="Classe para Equip. Diversos"/>
    <s v="SEM PLACA"/>
    <s v="SEM CHASSI"/>
    <x v="405"/>
    <m/>
    <m/>
    <d v="2021-11-01T00:00:00"/>
    <s v="_"/>
    <m/>
    <m/>
  </r>
  <r>
    <s v="IMP-225"/>
    <s v="IS000541"/>
    <m/>
    <n v="17551"/>
    <s v="Classe para Maquinas Implementos  Agricola Fz Jatoba"/>
    <s v="SEM PLACA"/>
    <n v="97291"/>
    <x v="406"/>
    <s v="UNICAMPO MAQUINAS E EQUIPAMENTOS AGRICOLAS LTDA"/>
    <s v="13.373.265/0001-87"/>
    <d v="2021-11-04T00:00:00"/>
    <n v="29000"/>
    <s v="OK"/>
    <s v="GRANDE LESTE"/>
  </r>
  <r>
    <s v="EQU-236"/>
    <s v="IS000542"/>
    <m/>
    <m/>
    <s v="Classe para Equip. Diversos"/>
    <s v="SEM PLACA"/>
    <s v="SEM CHASSI"/>
    <x v="407"/>
    <m/>
    <m/>
    <d v="2021-11-05T00:00:00"/>
    <s v="_"/>
    <m/>
    <m/>
  </r>
  <r>
    <s v="EQU-219"/>
    <s v="IS000543"/>
    <m/>
    <n v="88901"/>
    <s v="Classe para Equip. Diversos"/>
    <s v="SEM PLACA"/>
    <s v="SEM CHASSI"/>
    <x v="408"/>
    <s v="DEUSDETE SOUSA SANTIAGO e CIA LTDA"/>
    <s v="01.966.026/0001-51"/>
    <d v="2021-11-08T00:00:00"/>
    <n v="1880.39"/>
    <m/>
    <m/>
  </r>
  <r>
    <s v="MVU-059"/>
    <s v="IS000544"/>
    <m/>
    <n v="503674"/>
    <s v="Classe para Moveis e Utensilios Fz Santa Lucia"/>
    <s v="SEM PLACA"/>
    <s v="SEM CHASSI"/>
    <x v="409"/>
    <s v="HOHL MAQUINAS AGRICOLAS LTDA"/>
    <s v="01.608.488/0001-05"/>
    <d v="2021-11-09T00:00:00"/>
    <n v="7189.04"/>
    <s v="OK"/>
    <m/>
  </r>
  <r>
    <s v="MVU-060"/>
    <s v="IS000545"/>
    <m/>
    <n v="503674"/>
    <s v="Classe para Moveis e Utensilios"/>
    <s v="SEM PLACA"/>
    <s v="SEM CHASSI"/>
    <x v="410"/>
    <s v="HOHL MAQUINAS AGRICOLAS LTDA"/>
    <s v="01.608.488/0001-05"/>
    <d v="2021-11-09T00:00:00"/>
    <n v="1339.105"/>
    <s v="OK"/>
    <m/>
  </r>
  <r>
    <s v="EQU-241"/>
    <s v="IS000546"/>
    <m/>
    <m/>
    <s v="Classe para Equip. Diversos"/>
    <s v="SEM PLACA"/>
    <s v="SEM CHASSI"/>
    <x v="411"/>
    <m/>
    <m/>
    <d v="2021-11-10T00:00:00"/>
    <s v="_"/>
    <s v="OK"/>
    <s v="JATOBA"/>
  </r>
  <r>
    <s v="MVU-061"/>
    <s v="IS000547"/>
    <m/>
    <n v="86"/>
    <s v="Classe para Moveis e Utensilios"/>
    <s v="SEM PLACA"/>
    <s v="SEM CHASSI"/>
    <x v="412"/>
    <s v="BRASIMAQ COMERCIO DE MAQUINAS E EQUIPAMENTOS LTDA"/>
    <s v="23.864.165/0001-07"/>
    <d v="2021-11-10T00:00:00"/>
    <n v="1890"/>
    <s v="OK"/>
    <s v="GRANDE LESTE"/>
  </r>
  <r>
    <s v="MVU-062"/>
    <s v="IS000548"/>
    <m/>
    <n v="86"/>
    <s v="Classe para Moveis e Utensilios Fz Santo Expedito"/>
    <s v="SEM PLACA"/>
    <s v="SEM CHASSI"/>
    <x v="413"/>
    <s v="BRASIMAQ COMERCIO DE MAQUINAS E EQUIPAMENTOS LTDA"/>
    <s v="23.864.165/0001-07"/>
    <d v="2021-11-10T00:00:00"/>
    <n v="5500"/>
    <s v="OK"/>
    <m/>
  </r>
  <r>
    <s v="MVU-063"/>
    <s v="IS000549"/>
    <m/>
    <n v="196846"/>
    <s v="Classe para Moveis e Utensilios"/>
    <s v="SEM PLACA"/>
    <s v="SEM CHASSI"/>
    <x v="414"/>
    <s v="CATRAL REFRIGERACAO E ELETRODOMESTICOS LTDA"/>
    <s v="02.375.921/0011-36"/>
    <d v="2021-11-11T00:00:00"/>
    <n v="10650"/>
    <s v="OK"/>
    <s v="GRANDE LESTE"/>
  </r>
  <r>
    <s v="MVU-064"/>
    <s v="IS000550"/>
    <m/>
    <n v="196846"/>
    <s v="Classe para Moveis e Utensilios Fz Santa Lucia"/>
    <s v="SEM PLACA"/>
    <s v="SEM CHASSI"/>
    <x v="415"/>
    <s v="CATRAL REFRIGERACAO E ELETRODOMESTICOS LTDA"/>
    <s v="02.375.921/0011-36"/>
    <d v="2021-11-11T00:00:00"/>
    <n v="1468.1"/>
    <s v="OK"/>
    <s v="GRANDE LESTE"/>
  </r>
  <r>
    <s v="MVU-065"/>
    <s v="IS000551"/>
    <m/>
    <n v="196846"/>
    <s v="Classe para Moveis e Utensilios"/>
    <s v="SEM PLACA"/>
    <s v="SEM CHASSI"/>
    <x v="416"/>
    <s v="CATRAL REFRIGERACAO E ELETRODOMESTICOS LTDA"/>
    <s v="02.375.921/0011-36"/>
    <d v="2021-11-11T00:00:00"/>
    <n v="2430"/>
    <s v="OK"/>
    <s v="GRANDE LESTE"/>
  </r>
  <r>
    <s v="MVU-066"/>
    <s v="IS000552"/>
    <m/>
    <n v="196846"/>
    <s v="Classe para Moveis e Utensilios"/>
    <s v="SEM PLACA"/>
    <s v="SEM CHASSI"/>
    <x v="417"/>
    <s v="CATRAL REFRIGERACAO E ELETRODOMESTICOS LTDA"/>
    <s v="02.375.921/0011-36"/>
    <d v="2021-11-11T00:00:00"/>
    <n v="4475.12"/>
    <s v="OK"/>
    <s v="GRANDE LESTE"/>
  </r>
  <r>
    <s v="MVU-067"/>
    <s v="IS000553"/>
    <m/>
    <n v="9587"/>
    <s v="Classe para Moveis e Utensilios Fz Grande Leste"/>
    <s v="SEM PLACA"/>
    <s v="SEM CHASSI"/>
    <x v="418"/>
    <s v="CATRAL REFRIGERACAO E ELETRODOMESTICOS LTDA"/>
    <s v="02.375.921/0011-36"/>
    <d v="2021-11-11T00:00:00"/>
    <n v="3834.87"/>
    <m/>
    <s v="GRANDE LESTE"/>
  </r>
  <r>
    <s v="VEI-052"/>
    <s v="IS000554"/>
    <m/>
    <n v="20"/>
    <s v="Classe para Veiculos Fz Santa Lucia"/>
    <s v="IUH1J17"/>
    <s v="9BSR6X400D3829755"/>
    <x v="419"/>
    <s v="MARCOS A. BENVEGNU &amp; CIA LTDA"/>
    <s v="05.132.948/0001-14"/>
    <d v="2021-11-16T00:00:00"/>
    <n v="352272.73"/>
    <s v="OK"/>
    <m/>
  </r>
  <r>
    <s v="EQU-256"/>
    <s v="IS000555"/>
    <m/>
    <m/>
    <s v="Classe para equip. Diversos Fz Santo Expedito"/>
    <s v="SEM PLACA"/>
    <s v="SEM CHASSI"/>
    <x v="420"/>
    <m/>
    <m/>
    <d v="2021-11-22T00:00:00"/>
    <s v="_"/>
    <s v="OK"/>
    <s v="GRANDE LESTE"/>
  </r>
  <r>
    <s v="EQU-216"/>
    <s v="IS000556"/>
    <m/>
    <n v="767993"/>
    <s v="Classe para Equip. Diversos"/>
    <s v="SEM PLACA"/>
    <s v="SEM CHASSI"/>
    <x v="421"/>
    <s v="TOLEDO DO BRASIL INDUSTRIA DE BALAN LTDA."/>
    <s v="59.704.510/0001-92"/>
    <d v="2021-11-25T00:00:00"/>
    <n v="421854.7"/>
    <s v="OK"/>
    <m/>
  </r>
  <r>
    <s v="EQU-217"/>
    <s v="IS000557"/>
    <m/>
    <n v="767993"/>
    <s v="Classe para Equip. Diversos Fz Grande Leste"/>
    <s v="SEM PLACA"/>
    <s v="SEM CHASSI"/>
    <x v="421"/>
    <s v="TOLEDO DO BRASIL INDUSTRIA DE BALAN LTDA."/>
    <s v="59.704.510/0001-92"/>
    <d v="2021-11-25T00:00:00"/>
    <n v="421854.7"/>
    <m/>
    <m/>
  </r>
  <r>
    <s v="EQU-247"/>
    <s v="IS000558"/>
    <m/>
    <m/>
    <s v="Classe para Equip. Diversos Fz Jatoba"/>
    <s v="SEM PLACA"/>
    <s v="SEM CHASSI"/>
    <x v="422"/>
    <m/>
    <m/>
    <d v="2021-11-25T00:00:00"/>
    <n v="3569.96"/>
    <m/>
    <m/>
  </r>
  <r>
    <s v="MVU-069"/>
    <s v="IS000559"/>
    <m/>
    <n v="505453"/>
    <s v="Classe para Moveis e Utensilios"/>
    <s v="SEM PLACA"/>
    <s v="SEM CHASSI"/>
    <x v="123"/>
    <s v="HOHL MAQUINAS AGRICOLAS LTDA"/>
    <s v="01.608.488/0001-05"/>
    <d v="2021-11-25T00:00:00"/>
    <n v="1848.59"/>
    <m/>
    <m/>
  </r>
  <r>
    <s v="IS000560"/>
    <s v="IS000560"/>
    <m/>
    <n v="5427"/>
    <s v="Classe para Equip. Oficina Santa Lucia"/>
    <s v="SEM PLACA"/>
    <s v="SEM CHASSI"/>
    <x v="423"/>
    <s v="JF COMERCIO DE PARAFUSOS FERRAMENTAS E MAQUINAS LTDA"/>
    <s v="42.215.694/0001-24"/>
    <d v="2025-12-12T00:00:00"/>
    <n v="20001.5"/>
    <m/>
    <m/>
  </r>
  <r>
    <s v="EQU-257"/>
    <s v="IS000561"/>
    <m/>
    <n v="96178"/>
    <s v="Classe para Equip. Diversos Fz Santa Lucia"/>
    <s v="SEM PLACA"/>
    <s v="SEM CHASSI"/>
    <x v="424"/>
    <s v="DEUSDETE SOUSA SANTIAGO e CIA LTDA"/>
    <s v="01.966.026/0001-51"/>
    <d v="2021-12-01T00:00:00"/>
    <n v="1575.29"/>
    <m/>
    <m/>
  </r>
  <r>
    <s v="EQU-258"/>
    <s v="IS000562"/>
    <m/>
    <n v="762620"/>
    <s v="Classe para Equip. Diversos Fz Santa Lucia"/>
    <s v="SEM PLACA"/>
    <s v="SEM CHASSI"/>
    <x v="425"/>
    <s v="IMPERIAL COM. DE PARAF. FER. E MAQ. LTDA"/>
    <s v="01.716.186/0001-42"/>
    <d v="2021-12-02T00:00:00"/>
    <n v="18300"/>
    <s v="OK"/>
    <s v="SANTA LUCIA"/>
  </r>
  <r>
    <s v="IMP-229"/>
    <s v="IS000563"/>
    <m/>
    <n v="47017"/>
    <s v="Classe para Maquinas Implementos  Agricola Fz Santa Lucia"/>
    <s v="SEM PLACA"/>
    <s v="BRU-CB10740"/>
    <x v="59"/>
    <s v="CAMPOESTE MAQUINAS BAHIA LTDA"/>
    <s v="11.673.562/0001-12"/>
    <d v="2021-11-30T00:00:00"/>
    <n v="550000"/>
    <s v="OK"/>
    <s v="SANTO EXPEDITO"/>
  </r>
  <r>
    <s v="EQU-259"/>
    <s v="IS000564"/>
    <m/>
    <n v="766098"/>
    <s v="Classe para Equip. Diversos"/>
    <s v="SEM PLACA"/>
    <s v="SEM CHASSI"/>
    <x v="426"/>
    <s v="IMPERIAL COM. DE PARAF. FER. E MAQ. LTDA"/>
    <s v="01.716.186/0001-42"/>
    <d v="2021-12-03T00:00:00"/>
    <n v="2370"/>
    <s v="OK"/>
    <s v="GRANDE LESTE"/>
  </r>
  <r>
    <s v="IMP-230"/>
    <s v="IS000565"/>
    <m/>
    <n v="47018"/>
    <s v="Classe para Maquinas Implementos  Agricola Fz Santa Lucia"/>
    <s v="SEM PLACA"/>
    <s v="BRU-CB10741"/>
    <x v="59"/>
    <s v="CAMPOESTE MAQUINAS BAHIA LTDA"/>
    <s v="11.673.562/0001-12"/>
    <d v="2021-11-30T00:00:00"/>
    <n v="550000"/>
    <s v="OK"/>
    <s v="SANTO EXPEDITO"/>
  </r>
  <r>
    <s v="MVU-070"/>
    <s v="IS000566"/>
    <m/>
    <n v="1207"/>
    <s v="Classe para Moveis e Utensilios"/>
    <s v="SEM PLACA"/>
    <s v="SEM CHASSI"/>
    <x v="427"/>
    <s v="SATELITAL BRASIL COMERCIO LTDA"/>
    <s v="01.336.140/0006-02"/>
    <d v="2021-12-07T00:00:00"/>
    <n v="6283.99"/>
    <s v="OK"/>
    <s v="SANTA LUCIA"/>
  </r>
  <r>
    <s v="IMP-227"/>
    <s v="IS000567"/>
    <m/>
    <n v="17948"/>
    <s v="Classe para Maq. Imp Agricola"/>
    <s v="SEM PLACA"/>
    <s v="0120530005--448"/>
    <x v="428"/>
    <s v="UNICAMPO MAQUINAS E EQUIPAMENTOS AGRICOLAS LTDA"/>
    <s v="13.373.265/0001-87"/>
    <d v="2021-12-08T00:00:00"/>
    <n v="9800"/>
    <s v="OK"/>
    <m/>
  </r>
  <r>
    <s v="MVU-071"/>
    <s v="IS000568"/>
    <m/>
    <n v="101"/>
    <s v="Classe para Moveis e Utensilios Fz Grande Leste"/>
    <s v="SEM PLACA"/>
    <s v="SEM CHASSI"/>
    <x v="429"/>
    <s v="BRASIMAQ COMERCIO DE MAQUINAS E EQUIPAMENTOS LTDA"/>
    <s v="23.864.165/0001-07"/>
    <d v="2021-12-14T00:00:00"/>
    <n v="4395"/>
    <s v="OK"/>
    <s v="GRANDE LESTE"/>
  </r>
  <r>
    <s v="EQI-089"/>
    <s v="IS000569"/>
    <m/>
    <n v="1639"/>
    <s v="Classe para Informatica e Comunicaçao"/>
    <s v="SEM PLACA"/>
    <s v="SEM CHASSI"/>
    <x v="430"/>
    <s v="SATELITAL BRASIL COMERCIO LTDA"/>
    <s v="01.336.140/0006-02"/>
    <d v="2021-12-16T00:00:00"/>
    <n v="7129.68"/>
    <m/>
    <m/>
  </r>
  <r>
    <s v="EQI-084"/>
    <s v="IS000570"/>
    <m/>
    <n v="886"/>
    <s v="Classe para Informatica e Comunicaçao Fz Santa Lucia"/>
    <s v="SEM PLACA"/>
    <s v="SEM CHASSI"/>
    <x v="431"/>
    <s v="ERICA MARIA BARBOSA DE OLIVEIRA"/>
    <s v="31.750.676/0001-26"/>
    <d v="2021-12-20T00:00:00"/>
    <n v="1600"/>
    <m/>
    <m/>
  </r>
  <r>
    <s v="EQI-085"/>
    <s v="IS000571"/>
    <m/>
    <n v="886"/>
    <s v="Classe para Informatica e Comunicaçao Fz Grande Leste"/>
    <s v="SEM PLACA"/>
    <s v="SEM CHASSI"/>
    <x v="431"/>
    <s v="ERICA MARIA BARBOSA DE OLIVEIRA"/>
    <s v="31.750.676/0001-26"/>
    <d v="2021-12-20T00:00:00"/>
    <n v="1600"/>
    <s v="OK"/>
    <s v="GRANDE LESTE"/>
  </r>
  <r>
    <s v="EQI-086"/>
    <s v="IS000572"/>
    <m/>
    <n v="886"/>
    <s v="Classe para Informatica e Comunicaçao Fz St Expedito"/>
    <s v="SEM PLACA"/>
    <s v="SEM CHASSI"/>
    <x v="431"/>
    <s v="ERICA MARIA BARBOSA DE OLIVEIRA"/>
    <s v="31.750.676/0001-26"/>
    <d v="2021-12-20T00:00:00"/>
    <n v="1600"/>
    <s v="OK"/>
    <s v="SANTO EXPEDITO"/>
  </r>
  <r>
    <s v="IS000573"/>
    <s v="IS000573"/>
    <m/>
    <m/>
    <s v="Classe para Equip. Oficina Fz Grande Leste"/>
    <s v="SEM PLACA"/>
    <s v="SEM CHASSI"/>
    <x v="432"/>
    <m/>
    <m/>
    <m/>
    <m/>
    <m/>
    <m/>
  </r>
  <r>
    <s v="EQI-088"/>
    <s v="IS000574"/>
    <m/>
    <n v="886"/>
    <s v="Classe para Informatica e Comunicaçao"/>
    <s v="SEM PLACA"/>
    <s v="SEM CHASSI"/>
    <x v="431"/>
    <s v="ERICA MARIA BARBOSA DE OLIVEIRA"/>
    <s v="31.750.676/0001-26"/>
    <d v="2021-12-20T00:00:00"/>
    <n v="1600"/>
    <s v="OK"/>
    <m/>
  </r>
  <r>
    <s v="EQU-221"/>
    <s v="IS000575"/>
    <m/>
    <n v="13345"/>
    <s v="Classe para Equip. Diversos"/>
    <s v="SEM PLACA"/>
    <s v="SEM CHASSI"/>
    <x v="433"/>
    <s v="KSMR5.COM DIGITAL LTDA"/>
    <s v="38.089.670/0002-80"/>
    <d v="2021-12-27T00:00:00"/>
    <n v="4338.3900000000003"/>
    <m/>
    <m/>
  </r>
  <r>
    <s v="EQU-207"/>
    <s v="IS000576"/>
    <m/>
    <n v="138604"/>
    <s v="Classe para Equip. UBG - Secagem e Aramazenagem de Graos"/>
    <s v="SEM PLACA"/>
    <s v="SEM CHASSI"/>
    <x v="434"/>
    <s v="Kepler Weber Industrial S/A"/>
    <s v="87.288.940/0031-21"/>
    <d v="2021-12-30T00:00:00"/>
    <n v="150000"/>
    <m/>
    <m/>
  </r>
  <r>
    <s v="EQU-208"/>
    <s v="IS000577"/>
    <m/>
    <n v="137565"/>
    <s v="Classe para Equip. UBG - Secagem e Aramazenagem de Graos"/>
    <s v="SEM PLACA"/>
    <s v="SEM CHASSI"/>
    <x v="435"/>
    <s v="Kepler Weber Industrial S/A"/>
    <s v="87.288.940/0031-21"/>
    <d v="2021-12-30T00:00:00"/>
    <n v="233000"/>
    <m/>
    <m/>
  </r>
  <r>
    <s v="EQU-220"/>
    <s v="IS000578"/>
    <m/>
    <n v="34535"/>
    <s v="Classe para Equip. Oficina Fz Santa Lucia"/>
    <s v="SEM PLACA"/>
    <s v="SEM CHASSI"/>
    <x v="436"/>
    <s v="PRENSSO MAQUINAS LTDA"/>
    <s v="04.290.957/0001-70"/>
    <d v="2021-12-30T00:00:00"/>
    <n v="20282.57"/>
    <s v="OK"/>
    <m/>
  </r>
  <r>
    <s v="EQU-222"/>
    <s v="IS000579"/>
    <m/>
    <n v="81943"/>
    <s v="Classe para Equip. Diversos"/>
    <s v="SEM PLACA"/>
    <s v="SEM CHASSI"/>
    <x v="437"/>
    <s v="LEM COMERCIO DE EPIS LTDA"/>
    <s v="13.168.084/0001-19"/>
    <d v="2021-12-30T00:00:00"/>
    <n v="5908.5"/>
    <m/>
    <m/>
  </r>
  <r>
    <s v="EQU-238"/>
    <s v="IS000580"/>
    <m/>
    <n v="726603"/>
    <s v="Classe para Equip. Diversos"/>
    <s v="SEM PLACA"/>
    <s v="SEM CHASSI"/>
    <x v="438"/>
    <s v="IMPERIAL COM. DE PARAF. FER. E MAQ. LTDA"/>
    <s v="01.716.186/0001-42"/>
    <d v="2021-12-30T00:00:00"/>
    <n v="2247.46"/>
    <s v="OK"/>
    <m/>
  </r>
  <r>
    <s v="EQU-328"/>
    <s v="IS000581"/>
    <m/>
    <m/>
    <s v="Classe para Equip. Diversos Fz Grande Leste"/>
    <s v="SEM PLACA"/>
    <n v="5514005"/>
    <x v="439"/>
    <m/>
    <m/>
    <d v="2021-12-30T00:00:00"/>
    <n v="1436311.6"/>
    <m/>
    <m/>
  </r>
  <r>
    <s v="EQU-329"/>
    <s v="IS000582"/>
    <m/>
    <m/>
    <s v="Classe para Equip. Diversos Fz Grande Leste"/>
    <s v="SEM PLACA"/>
    <s v="IS000582"/>
    <x v="440"/>
    <m/>
    <m/>
    <d v="2021-12-30T00:00:00"/>
    <n v="1436311.6"/>
    <m/>
    <m/>
  </r>
  <r>
    <s v="EQU-330"/>
    <s v="IS000583"/>
    <m/>
    <m/>
    <s v="Classe para Equip. Diversos Fz Grande Leste"/>
    <s v="SEM PLACA"/>
    <n v="5512003"/>
    <x v="441"/>
    <m/>
    <m/>
    <d v="2021-12-30T00:00:00"/>
    <n v="1436311.6"/>
    <m/>
    <m/>
  </r>
  <r>
    <s v="EQU-331"/>
    <s v="IS000584"/>
    <m/>
    <m/>
    <s v="Classe para Equip. Diversos Fz Grande Leste"/>
    <s v="SEM PLACA"/>
    <s v="IS000584"/>
    <x v="442"/>
    <m/>
    <m/>
    <d v="2021-12-30T00:00:00"/>
    <n v="1436311.6"/>
    <m/>
    <m/>
  </r>
  <r>
    <s v="EQU-332"/>
    <s v="IS000585"/>
    <m/>
    <m/>
    <s v="Classe para Equip. Diversos Fz Grande Leste"/>
    <s v="SEM PLACA"/>
    <n v="5510001"/>
    <x v="443"/>
    <m/>
    <m/>
    <d v="2021-12-30T00:00:00"/>
    <n v="1436311.6"/>
    <m/>
    <m/>
  </r>
  <r>
    <s v="EQU-333"/>
    <s v="IS000586"/>
    <m/>
    <m/>
    <s v="Classe para Equip. Diversos Fz Grande Leste"/>
    <s v="SEM PLACA"/>
    <n v="5519010"/>
    <x v="444"/>
    <m/>
    <m/>
    <d v="2021-12-30T00:00:00"/>
    <n v="1436311.6"/>
    <m/>
    <m/>
  </r>
  <r>
    <s v="EQU-334"/>
    <s v="IS000587"/>
    <m/>
    <m/>
    <s v="Classe para Equip. Diversos Fz Grande Leste"/>
    <s v="SEM PLACA"/>
    <n v="5518009"/>
    <x v="444"/>
    <m/>
    <m/>
    <d v="2021-12-30T00:00:00"/>
    <n v="1436311.6"/>
    <m/>
    <m/>
  </r>
  <r>
    <s v="EQU-335"/>
    <s v="IS000588"/>
    <m/>
    <m/>
    <s v="Classe para Equip. Diversos Fz Grande Leste"/>
    <s v="SEM PLACA"/>
    <n v="5517008"/>
    <x v="445"/>
    <m/>
    <m/>
    <d v="2021-12-30T00:00:00"/>
    <n v="1436311.6"/>
    <m/>
    <m/>
  </r>
  <r>
    <s v="EQU-336"/>
    <s v="IS000589"/>
    <m/>
    <m/>
    <s v="Classe para Equip. Diversos Fz Grande Leste"/>
    <s v="SEM PLACA"/>
    <n v="5516007"/>
    <x v="445"/>
    <m/>
    <m/>
    <d v="2021-12-30T00:00:00"/>
    <n v="1436311.6"/>
    <m/>
    <m/>
  </r>
  <r>
    <s v="EQU-337"/>
    <s v="IS000590"/>
    <m/>
    <m/>
    <s v="Classe para Equip. Diversos Fz Grande Leste"/>
    <s v="SEM PLACA"/>
    <n v="5515006"/>
    <x v="446"/>
    <m/>
    <m/>
    <d v="2021-12-30T00:00:00"/>
    <n v="1436311.6"/>
    <m/>
    <m/>
  </r>
  <r>
    <s v="IMP-228"/>
    <s v="IS000591"/>
    <m/>
    <n v="3710"/>
    <s v="Classe para Maq. Imp Agricola"/>
    <s v="SEM PLACA"/>
    <s v="0102330303-9305"/>
    <x v="447"/>
    <s v="AGRICOLA SIMABA LTD"/>
    <s v="04.815.160/0001-40"/>
    <d v="2021-12-30T00:00:00"/>
    <n v="90000"/>
    <s v="OK"/>
    <s v="SANTO EXPEDITO"/>
  </r>
  <r>
    <s v="IMP-233"/>
    <s v="IS000592"/>
    <m/>
    <n v="75464"/>
    <s v="Classe para Veiculos Fz Santa Lucia"/>
    <s v="RDP7D85"/>
    <s v="94BL0262MNR060657"/>
    <x v="448"/>
    <s v="FACCHINI S.A"/>
    <s v="03.509.978/0037-82"/>
    <d v="2021-12-30T00:00:00"/>
    <n v="68048.78"/>
    <s v="OK"/>
    <s v="SANTA LUCIA"/>
  </r>
  <r>
    <s v="IMP-234"/>
    <s v="IS000593"/>
    <m/>
    <n v="75464"/>
    <s v="Classe para Veiculos Fz Santa Lucia"/>
    <s v="RDP7H31"/>
    <s v="94BB0902MNR060655"/>
    <x v="449"/>
    <s v="FACCHINI S.A."/>
    <s v="03.509.978/0037-82"/>
    <d v="2021-12-30T00:00:00"/>
    <n v="210951.22"/>
    <s v="OK"/>
    <m/>
  </r>
  <r>
    <s v="IMP-235"/>
    <s v="IS000594"/>
    <m/>
    <n v="75462"/>
    <s v="Classe para Veiculos Fz Santa Lucia"/>
    <s v="RDP4G59"/>
    <s v="94BB0902MNR060656"/>
    <x v="449"/>
    <s v="FACCHINI S.A"/>
    <s v="03.509.978/0037-82"/>
    <d v="2021-12-16T00:00:00"/>
    <n v="186000"/>
    <s v="OK"/>
    <s v="SANTA LUCIA"/>
  </r>
  <r>
    <s v="MVU-075"/>
    <s v="IS000595"/>
    <m/>
    <n v="511995"/>
    <s v="Classe para Moveis e Utensilios"/>
    <s v="SEM PLACA"/>
    <s v="SEM CHASSI"/>
    <x v="123"/>
    <s v="HOHL MAQUINAS AGRICOLAS LTDA"/>
    <s v="01.608.488/0001-05"/>
    <d v="2021-12-22T00:00:00"/>
    <n v="3395.7"/>
    <m/>
    <m/>
  </r>
  <r>
    <s v="MVU-077"/>
    <s v="IS000596"/>
    <m/>
    <n v="1"/>
    <s v="Classe para Moveis e Utensilios Fz Santa Lucia"/>
    <s v="SEM PLACA"/>
    <s v="SEM CHASSI"/>
    <x v="450"/>
    <s v="ALMIR BATISTA LIMA JUNIOR 05198469580"/>
    <s v="44.272.083/0001-43"/>
    <d v="2021-12-14T00:00:00"/>
    <n v="1839.9"/>
    <m/>
    <m/>
  </r>
  <r>
    <s v="MVU-078"/>
    <s v="IS000597"/>
    <m/>
    <n v="1"/>
    <s v="Classe para Moveis e Utensilios Fz Santa Lucia"/>
    <s v="SEM PLACA"/>
    <s v="SEM CHASSI"/>
    <x v="450"/>
    <s v="ALMIR BATISTA LIMA JUNIOR 05198469580"/>
    <s v="44.272.083/0001-43"/>
    <d v="2021-12-14T00:00:00"/>
    <n v="1839.9"/>
    <m/>
    <s v="GRANDE LESTE"/>
  </r>
  <r>
    <s v="MVU-079"/>
    <s v="IS000598"/>
    <m/>
    <n v="1"/>
    <s v="Classe para Moveis e Utensilios Fz Santa Lucia"/>
    <s v="SEM PLACA"/>
    <s v="SEM CHASSI"/>
    <x v="451"/>
    <s v="ALMIR BATISTA LIMA JUNIOR 05198469580"/>
    <s v="44.272.083/0001-43"/>
    <d v="2021-12-14T00:00:00"/>
    <n v="1629.9"/>
    <m/>
    <s v="GRANDE LESTE"/>
  </r>
  <r>
    <s v="MVU-080"/>
    <s v="IS000599"/>
    <m/>
    <n v="1"/>
    <s v="Classe para Moveis e Utensilios Fz Santa Lucia"/>
    <s v="SEM PLACA"/>
    <s v="SEM CHASSI"/>
    <x v="451"/>
    <s v="ALMIR BATISTA LIMA JUNIOR 05198469580"/>
    <s v="44.272.083/0001-43"/>
    <d v="2021-12-14T00:00:00"/>
    <n v="1629.9"/>
    <m/>
    <s v="GRANDE LESTE"/>
  </r>
  <r>
    <s v="MVU-081"/>
    <s v="IS000600"/>
    <m/>
    <n v="1"/>
    <s v="Classe para Moveis e Utensilios Fz Santa Lucia"/>
    <s v="SEM PLACA"/>
    <s v="SEM CHASSI"/>
    <x v="451"/>
    <s v="ALMIR BATISTA LIMA JUNIOR 05198469580"/>
    <s v="44.272.083/0001-43"/>
    <d v="2021-12-14T00:00:00"/>
    <n v="1629.9"/>
    <s v="OK"/>
    <m/>
  </r>
  <r>
    <s v="PUL-012"/>
    <s v="IS000601"/>
    <m/>
    <n v="9840"/>
    <s v="Classe para Maquinas Implementos  Agricola Fz Santa Lucia"/>
    <s v="SEM PLACA"/>
    <s v="PRCYP350JMPC05246"/>
    <x v="452"/>
    <s v="MAXUM MAQUINAS E EQUIPAMENTOS LTDA"/>
    <s v="02.227.267/0001-41"/>
    <d v="2021-11-29T00:00:00"/>
    <n v="1400000"/>
    <s v="OK"/>
    <s v="SANTA LUCIA"/>
  </r>
  <r>
    <s v="TRA-051"/>
    <s v="IS000602"/>
    <m/>
    <n v="9839"/>
    <s v="Classe para Maquinas Implementos  Agricola Fz Jatoba"/>
    <s v="SEM PLACA"/>
    <s v="HCCZ3C30AMCF27446"/>
    <x v="376"/>
    <s v="MAXUM MAQUINAS E EQUIPAMENTOS LTDA"/>
    <s v="02.227.267/0003-03"/>
    <d v="2021-11-30T00:00:00"/>
    <n v="750000"/>
    <s v="OK"/>
    <s v="SANTO EXPEDITO"/>
  </r>
  <r>
    <s v="VEI-053"/>
    <s v="IS000603"/>
    <m/>
    <n v="1761517"/>
    <s v="Classe para Veiculos"/>
    <s v="RPA8J92"/>
    <s v="9BM979026NB254567"/>
    <x v="453"/>
    <s v="MERCEDES-BENZ DO BRASIL LTDA"/>
    <s v="59.104.273/0001-28"/>
    <d v="2021-12-03T00:00:00"/>
    <n v="245000"/>
    <s v="OK"/>
    <s v="JATOBA"/>
  </r>
  <r>
    <s v="VEI-054"/>
    <s v="IS000604"/>
    <m/>
    <n v="1765284"/>
    <s v="Classe para Veiculos"/>
    <s v="RPD5H47"/>
    <s v="9BM958164NB253467"/>
    <x v="454"/>
    <s v="MERCEDES-BENZ DO BRASIL LTDA"/>
    <s v="59.104.273/0001-29"/>
    <d v="2021-12-09T00:00:00"/>
    <n v="375000"/>
    <s v="OK"/>
    <s v="JATOBA"/>
  </r>
  <r>
    <s v="VEI-056"/>
    <s v="IS000605"/>
    <m/>
    <n v="5463052"/>
    <s v="Classe para Veiculos"/>
    <s v="RDQ6D01"/>
    <s v="9BD281A22NYW92744"/>
    <x v="455"/>
    <s v="FCA FIAT CHRYSLER AUTOMOVEIS BRASIL LTDA"/>
    <s v="16.701.716/0001-56"/>
    <d v="2021-12-30T00:00:00"/>
    <n v="84730.49"/>
    <m/>
    <m/>
  </r>
  <r>
    <s v="EQU-227"/>
    <s v="IS000606"/>
    <m/>
    <m/>
    <s v="Classe para Equip. Diversos Fz Santa Lucia"/>
    <s v="SEM PLACA"/>
    <s v="SEM CHASSI"/>
    <x v="456"/>
    <m/>
    <m/>
    <d v="2022-01-10T00:00:00"/>
    <n v="1288888.8899999999"/>
    <m/>
    <m/>
  </r>
  <r>
    <s v="EQU-228"/>
    <s v="IS000607"/>
    <m/>
    <m/>
    <s v="Classe para Equip. Diversos Fz Santa Lucia"/>
    <s v="SEM PLACA"/>
    <s v="SEM CHASSI"/>
    <x v="457"/>
    <m/>
    <m/>
    <d v="2022-01-10T00:00:00"/>
    <n v="1288888.8899999999"/>
    <m/>
    <m/>
  </r>
  <r>
    <s v="EQU-229"/>
    <s v="IS000608"/>
    <m/>
    <m/>
    <s v="Classe para Equip. Diversos Fz Santa Lucia"/>
    <s v="SEM PLACA"/>
    <s v="SEM CHASSI"/>
    <x v="458"/>
    <m/>
    <m/>
    <d v="2022-01-10T00:00:00"/>
    <n v="1288888.8899999999"/>
    <m/>
    <m/>
  </r>
  <r>
    <s v="EQU-230"/>
    <s v="IS000609"/>
    <m/>
    <m/>
    <s v="Classe para Equip. Diversos Fz Santa Lucia"/>
    <s v="SEM PLACA"/>
    <s v="SEM CHASSI"/>
    <x v="459"/>
    <m/>
    <m/>
    <d v="2022-01-10T00:00:00"/>
    <n v="1288888.8899999999"/>
    <m/>
    <m/>
  </r>
  <r>
    <s v="EQU-231"/>
    <s v="IS000610"/>
    <m/>
    <m/>
    <s v="Classe para Equip. Diversos Fz Santa Lucia"/>
    <s v="SEM PLACA"/>
    <s v="SEM CHASSI"/>
    <x v="460"/>
    <m/>
    <m/>
    <d v="2022-01-10T00:00:00"/>
    <n v="1288888.8899999999"/>
    <m/>
    <m/>
  </r>
  <r>
    <s v="EQU-232"/>
    <s v="IS000611"/>
    <m/>
    <m/>
    <s v="Classe para Equip. Diversos Fz Santa Lucia"/>
    <s v="SEM PLACA"/>
    <s v="SEM CHASSI"/>
    <x v="461"/>
    <m/>
    <m/>
    <d v="2022-01-10T00:00:00"/>
    <n v="1288888.8899999999"/>
    <m/>
    <m/>
  </r>
  <r>
    <s v="EQU-233"/>
    <s v="IS000612"/>
    <m/>
    <m/>
    <s v="Classe para Equip. Diversos Fz Santa Lucia"/>
    <s v="SEM PLACA"/>
    <s v="SEM CHASSI"/>
    <x v="462"/>
    <m/>
    <m/>
    <d v="2022-01-10T00:00:00"/>
    <n v="1288888.8899999999"/>
    <m/>
    <m/>
  </r>
  <r>
    <s v="EQU-234"/>
    <s v="IS000613"/>
    <m/>
    <m/>
    <s v="Classe para Equip. Diversos Fz Santa Lucia"/>
    <s v="SEM PLACA"/>
    <s v="SEM CHASSI"/>
    <x v="463"/>
    <m/>
    <m/>
    <d v="2022-01-10T00:00:00"/>
    <n v="1288888.8899999999"/>
    <m/>
    <m/>
  </r>
  <r>
    <s v="EQU-235"/>
    <s v="IS000614"/>
    <m/>
    <m/>
    <s v="Classe para Equip. Diversos Fz Santa Lucia"/>
    <s v="SEM PLACA"/>
    <s v="SEM CHASSI"/>
    <x v="464"/>
    <m/>
    <m/>
    <d v="2022-01-10T00:00:00"/>
    <n v="1288888.8899999999"/>
    <m/>
    <m/>
  </r>
  <r>
    <s v="EQI-082"/>
    <s v="IS000615"/>
    <m/>
    <n v="6375"/>
    <s v="Classe para Informatica e Comunicaçao Fz Santa Lucia"/>
    <s v="SEM PLACA"/>
    <s v="SEM CHASSI"/>
    <x v="465"/>
    <s v="LUCIANO WIBRANTZ LTDA"/>
    <s v="26.037.394/0001-46"/>
    <d v="2022-01-13T00:00:00"/>
    <n v="17121.93"/>
    <m/>
    <m/>
  </r>
  <r>
    <s v="EQI-083"/>
    <s v="IS000616"/>
    <m/>
    <n v="6375"/>
    <s v="Classe para Informatica e Comunicaçao"/>
    <s v="SEM PLACA"/>
    <s v="SEM CHASSI"/>
    <x v="466"/>
    <s v="LUCIANO WIBRANTZ LTDA"/>
    <s v="26.037.394/0001-46"/>
    <d v="2022-01-13T00:00:00"/>
    <n v="8225.2000000000007"/>
    <m/>
    <m/>
  </r>
  <r>
    <s v="EQU-210"/>
    <s v="IS000617"/>
    <m/>
    <n v="2575"/>
    <s v="Classe para Equip. Diversos"/>
    <s v="SEM PLACA"/>
    <s v="SEM CHASSI"/>
    <x v="467"/>
    <s v="JOSE FERNANDO PEDERSEN ME"/>
    <s v="54.855.846/0001-32"/>
    <d v="2022-01-25T00:00:00"/>
    <n v="20121.95"/>
    <s v="OK"/>
    <s v="JATOBA"/>
  </r>
  <r>
    <s v="EQU-224"/>
    <s v="IS000618"/>
    <m/>
    <n v="232603"/>
    <s v="Classe para Equip. Diversos"/>
    <s v="SEM PLACA"/>
    <s v="SEM CHASSI"/>
    <x v="362"/>
    <s v="FERRAMENTAS GERAIS COMERCIO IMP DE FERRAM. E MAQUINAS LTDA"/>
    <s v="92.664.028/0038-33"/>
    <d v="2022-01-26T00:00:00"/>
    <n v="4850.4399999999996"/>
    <m/>
    <m/>
  </r>
  <r>
    <s v="EQU-226"/>
    <s v="IS000619"/>
    <m/>
    <n v="11695"/>
    <s v="Classe para Equip. Diversos Fz Grande Leste"/>
    <s v="SEM PLACA"/>
    <s v="SEM CHASSI"/>
    <x v="468"/>
    <s v="FEDERAL EQUIPAMENTOS LTDA"/>
    <s v="03.684.019/0001-92"/>
    <d v="2022-02-01T00:00:00"/>
    <n v="58975.61"/>
    <s v="OK"/>
    <s v="GRANDE LESTE"/>
  </r>
  <r>
    <s v="MVU-072"/>
    <s v="IS000620"/>
    <m/>
    <n v="7543"/>
    <s v="Classe para Moveis e Utensilios"/>
    <s v="SEM PLACA"/>
    <s v="SEM CHASSI"/>
    <x v="469"/>
    <s v="ANDREATI &amp; ZARAMELLO LTDA- ME"/>
    <s v="21.977.034/0002-91"/>
    <d v="2022-02-01T00:00:00"/>
    <n v="6331.71"/>
    <s v="OK"/>
    <s v="JATOBA"/>
  </r>
  <r>
    <s v="MVU-073"/>
    <s v="IS000621"/>
    <m/>
    <n v="7541"/>
    <s v="Classe para Moveis e Utensilios Fz Santo Expedito"/>
    <s v="SEM PLACA"/>
    <s v="SEM CHASSI"/>
    <x v="469"/>
    <s v="ANDREATI &amp; ZARAMELLO LTDA- ME"/>
    <s v="21.977.034/0002-91"/>
    <d v="2022-02-01T00:00:00"/>
    <n v="6331.71"/>
    <s v="OK"/>
    <s v="SANTO EXPEDITO"/>
  </r>
  <r>
    <s v="MVU-074"/>
    <s v="IS000622"/>
    <m/>
    <n v="7542"/>
    <s v="Classe para Moveis e Utensilios Fz Santa Lucia"/>
    <s v="SEM PLACA"/>
    <s v="SEM CHASSI"/>
    <x v="469"/>
    <s v="ANDREATI &amp; ZARAMELLO LTDA- ME"/>
    <s v="21.977.034/0002-91"/>
    <d v="2022-02-01T00:00:00"/>
    <n v="6331.71"/>
    <s v="OK"/>
    <s v="SANTA LUCIA"/>
  </r>
  <r>
    <s v="VEI-057"/>
    <s v="IS000623"/>
    <m/>
    <n v="1780249"/>
    <s v="Classe para Veiculos"/>
    <s v="RPA2G81"/>
    <s v="9BM958134NB255783"/>
    <x v="470"/>
    <s v="MERCEDES-BENZ DO BRASIL LTDA."/>
    <s v="59.104.273/0001-29"/>
    <d v="2022-02-03T00:00:00"/>
    <n v="340243.9"/>
    <m/>
    <m/>
  </r>
  <r>
    <s v="EQU-260"/>
    <s v="IS000624"/>
    <m/>
    <n v="96760"/>
    <s v="Classe para Equip. Diversos"/>
    <s v="SEM PLACA"/>
    <s v="SEM CHASSI"/>
    <x v="422"/>
    <s v="DEUSDETE SOUSA SANTIAGO e CIA LTDA"/>
    <s v="01.966.026/0001-51"/>
    <d v="2022-02-05T00:00:00"/>
    <n v="3496.6"/>
    <s v="OK"/>
    <s v="SANTA LUCIA"/>
  </r>
  <r>
    <s v="EQU-261"/>
    <s v="IS000625"/>
    <m/>
    <n v="96847"/>
    <s v="Classe para Equip. Diversos"/>
    <s v="SEM PLACA"/>
    <s v="SEM CHASSI"/>
    <x v="471"/>
    <s v="DEUSDETE SOUSA SANTIAGO e CIA LTDA"/>
    <s v="01.966.026/0001-51"/>
    <d v="2022-02-06T00:00:00"/>
    <n v="3196.31"/>
    <m/>
    <m/>
  </r>
  <r>
    <s v="EQI-090"/>
    <s v="IS000626"/>
    <m/>
    <n v="524556"/>
    <s v="Classe para Informatica e Comunicaçao"/>
    <s v="SEM PLACA"/>
    <s v="SEM CHASSI"/>
    <x v="472"/>
    <s v="VIKINGS DIGITAL REPRESENTACAO COMERCIAL E VENDA DE PRODUTOS"/>
    <s v="24.804.709/0001-08"/>
    <d v="2022-02-07T00:00:00"/>
    <n v="1926.91"/>
    <m/>
    <m/>
  </r>
  <r>
    <s v="EQU-242"/>
    <s v="IS000627"/>
    <m/>
    <n v="73831"/>
    <s v="Classe para Equip. Oficina Fz Santo Expedito"/>
    <s v="SEM PLACA"/>
    <s v="SEM CHASSI"/>
    <x v="473"/>
    <s v="IMPERIAL COM. DE PARAF. FER. E MAQ. LTDA"/>
    <s v="01.716.186/0001-42"/>
    <d v="2022-02-07T00:00:00"/>
    <n v="8605.26"/>
    <s v="OK"/>
    <s v="SANTO EXPEDITO"/>
  </r>
  <r>
    <s v="EQU-237"/>
    <s v="IS000628"/>
    <m/>
    <n v="91923"/>
    <s v="Classe para Equip. Diversos"/>
    <s v="SEM PLACA"/>
    <s v="SEM CHASSI"/>
    <x v="474"/>
    <s v="DEUSDETE SOUSA SANTIAGO e CIA LTDA"/>
    <s v="01.966.026/0001-51"/>
    <d v="2022-02-08T00:00:00"/>
    <n v="3822.94"/>
    <s v="OK"/>
    <s v="GRANDE LESTE"/>
  </r>
  <r>
    <s v="EQU-245"/>
    <s v="IS000629"/>
    <m/>
    <n v="916"/>
    <s v="Classe para Equip. Diversos"/>
    <s v="SEM PLACA"/>
    <s v="SEM CHASSI"/>
    <x v="475"/>
    <s v="RAFAEL SMIDERLE"/>
    <s v="28.371.007/0001-39"/>
    <d v="2022-02-14T00:00:00"/>
    <n v="49000"/>
    <m/>
    <m/>
  </r>
  <r>
    <s v="EQU-240"/>
    <s v="IS000630"/>
    <m/>
    <n v="234621"/>
    <s v="Classe para Equip. Diversos"/>
    <s v="SEM PLACA"/>
    <s v="SEM CHASSI"/>
    <x v="362"/>
    <s v="FERRAMENTAS GERAIS COMERCIO IMP DE FERRAM. E MAQUINAS LTDA"/>
    <s v="92.664.028/0038-33"/>
    <d v="2022-02-18T00:00:00"/>
    <n v="4869.22"/>
    <m/>
    <m/>
  </r>
  <r>
    <s v="VEI-055"/>
    <s v="IS000631"/>
    <m/>
    <n v="174101"/>
    <s v="Classe para Veiculos"/>
    <s v="SEM PLACA"/>
    <s v="9C2KC2500NR019197"/>
    <x v="275"/>
    <s v="LUZ MOTOS, COMERCIO, SERVICOS E PECAS LTDA."/>
    <s v="08.074.058/0001-91"/>
    <d v="2022-02-21T00:00:00"/>
    <n v="13500"/>
    <s v="OK"/>
    <s v="GRANDE LESTE"/>
  </r>
  <r>
    <s v="EQU-239"/>
    <s v="IS000632"/>
    <m/>
    <n v="234129"/>
    <s v="Classe para Equip. Diversos"/>
    <s v="SEM PLACA"/>
    <s v="SEM CHASSI"/>
    <x v="476"/>
    <s v="FERRAMENTAS GERAIS COMERCIO IMP DE FERRAM. E MAQUINAS LTDA"/>
    <s v="92.664.028/0038-33"/>
    <d v="2022-02-24T00:00:00"/>
    <n v="2614.5500000000002"/>
    <m/>
    <m/>
  </r>
  <r>
    <s v="MVU-083"/>
    <s v="IS000633"/>
    <m/>
    <n v="111"/>
    <s v="Classe para Moveis e Utensilios Fz Grande Leste"/>
    <s v="SEM PLACA"/>
    <s v="SEM CHASSI"/>
    <x v="477"/>
    <s v="BRASIMAQ COMERCIO DE MAQUINAS E EQUIPAMENTOS LTDA"/>
    <s v="23.864.165/0001-07"/>
    <d v="2022-02-24T00:00:00"/>
    <n v="4488"/>
    <s v="OK"/>
    <s v="GRANDE LESTE"/>
  </r>
  <r>
    <s v="EQU-244"/>
    <s v="IS000634"/>
    <m/>
    <n v="915"/>
    <s v="Classe para Equip. Diversos"/>
    <s v="SEM PLACA"/>
    <s v="SEM CHASSI"/>
    <x v="478"/>
    <s v="RAFAEL SMIDERLE"/>
    <s v="28.371.007/0001-39"/>
    <d v="2022-03-01T00:00:00"/>
    <n v="27850"/>
    <m/>
    <m/>
  </r>
  <r>
    <s v="IMP-236"/>
    <s v="IS000635"/>
    <m/>
    <n v="65197"/>
    <s v="Classe para Maquinas Implementos  Agricola Fz Jatoba"/>
    <s v="SEM PLACA"/>
    <n v="1943746"/>
    <x v="479"/>
    <s v="MEPEL MAQUINAS E EQUIPAMENTOS LTDA"/>
    <s v="90.157.108/0001-85"/>
    <d v="2022-03-01T00:00:00"/>
    <n v="99333.08"/>
    <s v="OK"/>
    <s v="SANTO EXPEDITO"/>
  </r>
  <r>
    <s v="EQU-262"/>
    <s v="IS000636"/>
    <m/>
    <n v="3524"/>
    <s v="Classe para Equip. Diversos"/>
    <s v="SEM PLACA"/>
    <s v="SEM CHASSI"/>
    <x v="480"/>
    <s v="PAVIMAK INDUSTRIA E COMERCIO DE MAQUINAS LTDA"/>
    <s v="05.572.063/0001-36"/>
    <d v="2022-03-05T00:00:00"/>
    <n v="27439.02"/>
    <s v="OK"/>
    <s v="SANTA LUCIA"/>
  </r>
  <r>
    <s v="IMP-237"/>
    <s v="IS000637"/>
    <m/>
    <n v="10603"/>
    <s v="Classe para Maq. Imp Agricola"/>
    <s v="SEM PLACA"/>
    <s v="SEM CHASSI"/>
    <x v="481"/>
    <s v="VALMONT INDUSTRIA E COMERCIO LTDA"/>
    <s v="01.669.679/0002-50"/>
    <d v="2022-03-05T00:00:00"/>
    <n v="66032.84"/>
    <s v="OK"/>
    <s v="GRANDE LESTE"/>
  </r>
  <r>
    <s v="VEI-058"/>
    <s v="IS000638"/>
    <m/>
    <n v="105253"/>
    <s v="Classe para Veiculos"/>
    <s v="SEM PLACA"/>
    <s v="9C2KC2500NR049862"/>
    <x v="275"/>
    <s v="LUZ MOTOS, COMERCIO, SERVICOS E PECAS LTDA"/>
    <s v="08.074.058/0002-72"/>
    <d v="2022-03-07T00:00:00"/>
    <n v="14200"/>
    <s v="OK"/>
    <m/>
  </r>
  <r>
    <s v="EQU-246"/>
    <s v="IS000639"/>
    <m/>
    <n v="174"/>
    <s v="Classe para Equip. Diversos"/>
    <s v="SEM PLACA"/>
    <s v="SEM CHASSI"/>
    <x v="482"/>
    <s v="DELTA MANUTENCAO COMERCIO E REPRESENTACAO LTDA"/>
    <s v="17.321.807/0001-29"/>
    <d v="2022-03-08T00:00:00"/>
    <n v="6955.2"/>
    <s v="OK"/>
    <s v="SANTA LUCIA"/>
  </r>
  <r>
    <s v="EQU-243"/>
    <s v="IS000640"/>
    <m/>
    <n v="2562"/>
    <s v="Classe para equip. Diversos Fz Santo Expedito"/>
    <s v="SEM PLACA"/>
    <s v="SEM CHASSI"/>
    <x v="407"/>
    <s v="ZEFERINO &amp; CIA LTDA"/>
    <s v="02.023.193/0001-21"/>
    <d v="2022-03-14T00:00:00"/>
    <n v="177073.17"/>
    <m/>
    <m/>
  </r>
  <r>
    <s v="EQU-254"/>
    <s v="IS000641"/>
    <m/>
    <n v="520954"/>
    <s v="Classe para Equip. Diversos"/>
    <s v="SEM PLACA"/>
    <s v="SEM CHASSI"/>
    <x v="483"/>
    <s v="HOHL MAQUINAS AGRICOLAS LTDA"/>
    <s v="01.608.488/0001-05"/>
    <d v="2022-03-17T00:00:00"/>
    <n v="1658.28"/>
    <m/>
    <m/>
  </r>
  <r>
    <s v="MVU-084"/>
    <s v="IS000642"/>
    <m/>
    <n v="520880"/>
    <s v="Classe para Moveis e Utensilios Fz Santa Lucia"/>
    <s v="SEM PLACA"/>
    <s v="SEM CHASSI"/>
    <x v="484"/>
    <s v="HOHL MAQUINAS AGRICOLAS LTDA"/>
    <s v="01.608.488/0001-05"/>
    <d v="2022-03-17T00:00:00"/>
    <n v="3393.95"/>
    <m/>
    <m/>
  </r>
  <r>
    <s v="MVU-085"/>
    <s v="IS000643"/>
    <m/>
    <n v="520954"/>
    <s v="Classe para Moveis e Utensilios Fz Grande Leste"/>
    <s v="SEM PLACA"/>
    <s v="SEM CHASSI"/>
    <x v="485"/>
    <s v="HOHL MAQUINAS AGRICOLAS LTDA"/>
    <s v="01.608.488/0001-05"/>
    <d v="2022-03-17T00:00:00"/>
    <n v="4184.29"/>
    <s v="OK"/>
    <s v=" "/>
  </r>
  <r>
    <s v="PLA-010"/>
    <s v="IS000644"/>
    <m/>
    <n v="267717"/>
    <s v="Classe para Maq. Imp Agricola"/>
    <s v="SEM PLACA"/>
    <s v="PSUP02-0406"/>
    <x v="486"/>
    <s v="INDUSTRIA DE IMPLEMENTOS AGRICOLAS VENCE TUDO IMPORTACAO E E"/>
    <s v="92.544.196/0001-01"/>
    <d v="2022-03-17T00:00:00"/>
    <n v="640010.59"/>
    <s v="OK"/>
    <s v="SANTA LUCIA"/>
  </r>
  <r>
    <s v="EQU-253"/>
    <s v="IS000645"/>
    <m/>
    <n v="754612"/>
    <s v="Classe para Equip. Oficina Fz Santo Expedito"/>
    <s v="SEM PLACA"/>
    <s v="SEM CHASSI"/>
    <x v="487"/>
    <s v="IMPERIAL COM. DE PARAF. FER. E MAQ. LTDA"/>
    <s v="01.716.186/0001-42"/>
    <d v="2022-03-19T00:00:00"/>
    <n v="1624.35"/>
    <m/>
    <m/>
  </r>
  <r>
    <s v="MVU-086"/>
    <s v="IS000646"/>
    <m/>
    <n v="522029"/>
    <s v="Classe para Moveis e Utensilios Fz Santa Lucia"/>
    <s v="SEM PLACA"/>
    <s v="SEM CHASSI"/>
    <x v="488"/>
    <s v="HOHL MAQUINAS AGRICOLAS LTDA"/>
    <s v="01.608.488/0001-05"/>
    <d v="2022-03-31T00:00:00"/>
    <n v="3393.95"/>
    <m/>
    <m/>
  </r>
  <r>
    <s v="EQU-255"/>
    <s v="IS000647"/>
    <m/>
    <n v="790801"/>
    <s v="Classe para Equip. Diversos"/>
    <s v="SEM PLACA"/>
    <s v="SEM CHASSI"/>
    <x v="27"/>
    <s v="TOLEDO DO BRASIL INDUSTRIA DE BALAN LTDA"/>
    <s v="59.704.510/0001-92"/>
    <d v="2022-04-26T00:00:00"/>
    <n v="92363.67"/>
    <s v="OK"/>
    <m/>
  </r>
  <r>
    <s v="MVU-087"/>
    <s v="IS000648"/>
    <m/>
    <n v="3"/>
    <s v="Classe para Moveis e Utensilios Fz Grande Leste"/>
    <s v="SEM PLACA"/>
    <s v="SEM CHASSI"/>
    <x v="489"/>
    <s v="A R DOS SANTOS LIMA LTDA"/>
    <s v="24.424.885/0001-14"/>
    <d v="2022-05-11T00:00:00"/>
    <n v="2199"/>
    <m/>
    <m/>
  </r>
  <r>
    <s v="MAQ-013"/>
    <s v="IS000649"/>
    <m/>
    <n v="164663"/>
    <s v="Classe para Maquinas Implementos  Agricola Fz Santa Lucia"/>
    <s v="SEM PLACA"/>
    <s v="HBZNW20FJNAE13901"/>
    <x v="398"/>
    <s v="TECHNICO COMERCIAL DE EQUIPAMENTOS SA"/>
    <s v="13.330.634/0001-54"/>
    <d v="2022-05-18T00:00:00"/>
    <n v="680000"/>
    <s v="OK"/>
    <s v="SANTO EXPEDITO"/>
  </r>
  <r>
    <s v="EQU-263"/>
    <s v="IS000650"/>
    <m/>
    <n v="29207"/>
    <s v="Classe para Equip. Diversos"/>
    <s v="SEM PLACA"/>
    <s v="SEM CHASSI"/>
    <x v="490"/>
    <s v="FEMAKBRASIL COM. DE MAQUINAS E FERRAMENTAS EIRELLI"/>
    <s v="27.917.473/0001-04"/>
    <d v="2022-05-19T00:00:00"/>
    <n v="3861.97"/>
    <s v="OK"/>
    <s v="SANTA LUCIA"/>
  </r>
  <r>
    <s v="EQU-265"/>
    <s v="IS000651"/>
    <m/>
    <n v="101167"/>
    <s v="Classe para Equip. Diversos"/>
    <s v="SEM PLACA"/>
    <s v="SEM CHASSI"/>
    <x v="491"/>
    <s v="IROPEL COMERCIAL AGRICOLA LTDA"/>
    <s v="96.819.032/0001-92"/>
    <d v="2022-05-20T00:00:00"/>
    <n v="20000"/>
    <s v="OK"/>
    <s v="GRANDE LESTE"/>
  </r>
  <r>
    <s v="MVU-090"/>
    <s v="IS000652"/>
    <m/>
    <n v="528094"/>
    <s v="Classe para Moveis e Utensilios Fz Santo Expedito"/>
    <s v="SEM PLACA"/>
    <s v="SEM CHASSI"/>
    <x v="489"/>
    <s v="HOHL MAQUINAS AGRICOLAS LTDA"/>
    <s v="01.608.488/0001-05"/>
    <d v="2022-05-20T00:00:00"/>
    <n v="1925.99"/>
    <m/>
    <m/>
  </r>
  <r>
    <s v="MVU-091"/>
    <s v="IS000653"/>
    <m/>
    <n v="528094"/>
    <s v="Classe para Moveis e Utensilios Fz Santo Expedito"/>
    <s v="SEM PLACA"/>
    <s v="SEM CHASSI"/>
    <x v="489"/>
    <s v="HOHL MAQUINAS AGRICOLAS LTDA"/>
    <s v="01.608.488/0001-05"/>
    <d v="2022-05-20T00:00:00"/>
    <n v="1925.99"/>
    <m/>
    <m/>
  </r>
  <r>
    <s v="MVU-092"/>
    <s v="IS000654"/>
    <m/>
    <n v="528094"/>
    <s v="Classe para Moveis e Utensilios Fz Santo Expedito"/>
    <s v="SEM PLACA"/>
    <s v="SEM CHASSI"/>
    <x v="489"/>
    <s v="HOHL MAQUINAS AGRICOLAS LTDA"/>
    <s v="01.608.488/0001-05"/>
    <d v="2022-05-20T00:00:00"/>
    <n v="1925.98"/>
    <m/>
    <m/>
  </r>
  <r>
    <s v="MVU-088"/>
    <s v="IS000655"/>
    <m/>
    <n v="528094"/>
    <s v="Classe para Moveis e Utensilios Fz Santa Lucia"/>
    <s v="SEM PLACA"/>
    <s v="SEM CHASSI"/>
    <x v="489"/>
    <s v="HOHL MAQUINAS AGRICOLAS LTDA"/>
    <s v="01.608.488/0001-05"/>
    <d v="2022-05-26T00:00:00"/>
    <n v="2033.56"/>
    <m/>
    <m/>
  </r>
  <r>
    <s v="EQU-266"/>
    <s v="IS000656"/>
    <m/>
    <n v="19913"/>
    <s v="Classe para Equip. Oficina Fz Santo Expedito"/>
    <s v="SEM PLACA"/>
    <s v="SEM CHASSI"/>
    <x v="492"/>
    <s v="KSMR5.COM DIGITAL LTDA"/>
    <s v="38.089.670/0002-80"/>
    <d v="2022-06-02T00:00:00"/>
    <n v="1696.76"/>
    <s v="OK"/>
    <s v="SANTO EXPEDITO"/>
  </r>
  <r>
    <s v="EQU-264"/>
    <s v="IS000657"/>
    <m/>
    <n v="689"/>
    <s v="Classe para Equip. Diversos"/>
    <s v="SEM PLACA"/>
    <s v="SEM CHASSI"/>
    <x v="493"/>
    <s v="JF Com. Parafusos Ferramentas Maquinas Ltda"/>
    <s v="42.215.694/0001-24"/>
    <d v="2022-06-09T00:00:00"/>
    <n v="2398"/>
    <s v="OK"/>
    <m/>
  </r>
  <r>
    <s v="MVU-093"/>
    <s v="IS000658"/>
    <m/>
    <n v="210276"/>
    <s v="Classe para Moveis e Utensilios"/>
    <s v="SEM PLACA"/>
    <s v="SEM CHASSI"/>
    <x v="494"/>
    <s v="CATRAL REFRIGERACAO E ELETRODOMESTICOS LTDA"/>
    <s v="02.375.921/0011-36"/>
    <d v="2022-06-09T00:00:00"/>
    <n v="3400.05"/>
    <m/>
    <m/>
  </r>
  <r>
    <s v="MVU-094"/>
    <s v="IS000659"/>
    <m/>
    <n v="210663"/>
    <s v="Classe para Moveis e Utensilios Fz Santo Expedito"/>
    <s v="SEM PLACA"/>
    <s v="SEM CHASSI"/>
    <x v="495"/>
    <s v="CATRAL REFRIGERACAO E ELETRODOMESTICOS LTDA"/>
    <s v="02.375.921/0011-36"/>
    <d v="2022-06-10T00:00:00"/>
    <n v="10172.65"/>
    <s v="OK"/>
    <s v="SANTO EXPEDITO"/>
  </r>
  <r>
    <s v="MVU-099"/>
    <s v="IS000660"/>
    <m/>
    <n v="528097"/>
    <s v="Classe para Moveis e Utensilios"/>
    <s v="SEM PLACA"/>
    <s v="SEM CHASSI"/>
    <x v="496"/>
    <s v="HOHL MAQUINAS AGRICOLAS LTDA"/>
    <s v="01.608.488/0001-05"/>
    <d v="2022-06-15T00:00:00"/>
    <n v="4506.78"/>
    <s v="OK"/>
    <s v="JATOBA"/>
  </r>
  <r>
    <s v="TRA-052"/>
    <s v="IS000661"/>
    <m/>
    <n v="136148"/>
    <s v="Classe para Maq. Imp Agricola"/>
    <s v="SEM PLACA"/>
    <s v="HCCZFA10VNCJ40028"/>
    <x v="497"/>
    <s v="MAXUM MAQUINAS E EQUIPAMENTOS LTDA"/>
    <s v="02.227.267/0001-41"/>
    <d v="2022-06-23T00:00:00"/>
    <n v="290000"/>
    <s v="OK"/>
    <s v="JATOBA"/>
  </r>
  <r>
    <s v="TRA-053"/>
    <s v="IS000662"/>
    <m/>
    <n v="136144"/>
    <s v="Classe para Maq. Imp Agricola"/>
    <s v="SEM PLACA"/>
    <s v="HCCZFA10LNCJ39805"/>
    <x v="497"/>
    <s v="MAXUM MAQUINAS E EQUIPAMENTOS LTDA"/>
    <s v="02.227.267/0001-41"/>
    <d v="2022-06-23T00:00:00"/>
    <n v="290000"/>
    <s v="OK"/>
    <s v="JATOBA"/>
  </r>
  <r>
    <s v="TRA-054"/>
    <s v="IS000663"/>
    <m/>
    <n v="136147"/>
    <s v="Classe para Maq. Imp Agricola"/>
    <s v="SEM PLACA"/>
    <s v="HCCZFA10PNC40136"/>
    <x v="497"/>
    <s v="MAXUM MAQUINAS E EQUIPAMENTOS LTDA"/>
    <s v="02.227.267/0001-41"/>
    <d v="2022-06-23T00:00:00"/>
    <n v="290000"/>
    <s v="OK"/>
    <s v="JATOBA"/>
  </r>
  <r>
    <s v="TRA-055"/>
    <s v="IS000664"/>
    <m/>
    <n v="136145"/>
    <s v="Classe para Maq. Imp Agricola"/>
    <s v="SEM PLACA"/>
    <s v="HCCZFA10VNCJ39834"/>
    <x v="497"/>
    <s v="MAXUM MAQUINAS E EQUIPAMENTOS LTDA"/>
    <s v="02.227.267/0001-41"/>
    <d v="2022-06-23T00:00:00"/>
    <n v="290000"/>
    <s v="OK"/>
    <s v="JATOBA"/>
  </r>
  <r>
    <s v="TRA-056"/>
    <s v="IS000665"/>
    <m/>
    <n v="136171"/>
    <s v="Classe para Maquinas Implementos  Agricola Fz Jatoba"/>
    <s v="SEM PLACA"/>
    <s v="HCCZGA10CNCJ40134"/>
    <x v="497"/>
    <s v="MAXUM MAQUINAS E EQUIPAMENTOS LTDA"/>
    <s v="02.227.267/0001-41"/>
    <d v="2022-06-23T00:00:00"/>
    <n v="340000"/>
    <s v="OK"/>
    <m/>
  </r>
  <r>
    <s v="TRA-057"/>
    <s v="IS000666"/>
    <m/>
    <n v="136176"/>
    <s v="Classe para Maq. Imp Agricola"/>
    <s v="SEM PLACA"/>
    <s v="HCCZ3F11PNCG41786"/>
    <x v="498"/>
    <s v="MAXUM MAQUINAS E EQUIPAMENTOS LTDA"/>
    <s v="02.227.267/0001-41"/>
    <d v="2022-06-23T00:00:00"/>
    <n v="400000"/>
    <s v="OK"/>
    <s v="SANTA LUCIA"/>
  </r>
  <r>
    <s v="TRA-058"/>
    <s v="IS000667"/>
    <m/>
    <n v="136165"/>
    <s v="Classe para Maq. Imp Agricola"/>
    <s v="SEM PLACA"/>
    <s v="HCCZ3C15HNCF36073"/>
    <x v="499"/>
    <s v="MAXUM MAQUINAS E EQUIPAMENTOS LTDA"/>
    <s v="02.227.267/0001-41"/>
    <d v="2022-06-23T00:00:00"/>
    <n v="650000"/>
    <s v="OK"/>
    <s v="JATOBA"/>
  </r>
  <r>
    <s v="TRA-059"/>
    <s v="IS000668"/>
    <m/>
    <n v="136179"/>
    <s v="Classe para Maquinas Implementos  Agricola Fz St Expedito"/>
    <s v="SEM PLACA"/>
    <s v="HCCZFA10KNCJ39859"/>
    <x v="497"/>
    <s v="MAXUM MAQUINAS E EQUIPAMENTOS LTDA"/>
    <s v="02.227.267/0001-41"/>
    <d v="2022-06-23T00:00:00"/>
    <n v="290000"/>
    <s v="OK"/>
    <s v="JATOBA"/>
  </r>
  <r>
    <s v="TRA-060"/>
    <s v="IS000669"/>
    <m/>
    <n v="136173"/>
    <s v="Classe para Maq. Imp Agricola"/>
    <s v="SEM PLACA"/>
    <s v="HCCZFA10KNCJ39800"/>
    <x v="497"/>
    <s v="MAXUM MAQUINAS E EQUIPAMENTOS LTDA"/>
    <s v="02.227.267/0001-41"/>
    <d v="2022-06-23T00:00:00"/>
    <n v="340000"/>
    <s v="OK"/>
    <s v="JATOBA"/>
  </r>
  <r>
    <s v="TRA-061"/>
    <s v="IS000670"/>
    <m/>
    <n v="136172"/>
    <s v="Classe para Maquinas Implementos  Agricola Fz St Expedito"/>
    <s v="SEM PLACA"/>
    <s v="HCCZFA10TNCJ40037"/>
    <x v="497"/>
    <s v="MAXUM MAQUINAS E EQUIPAMENTOS LTDA"/>
    <s v="02.227.267/0001-41"/>
    <d v="2022-06-23T00:00:00"/>
    <n v="340000"/>
    <s v="OK"/>
    <s v="JATOBA"/>
  </r>
  <r>
    <s v="TRA-062"/>
    <s v="IS000671"/>
    <m/>
    <n v="136146"/>
    <s v="Classe para Maq. Imp Agricola"/>
    <s v="SEM PLACA"/>
    <s v="HCCZFA10TNCJ39826"/>
    <x v="497"/>
    <s v="MAXUM MAQUINAS E EQUIPAMENTOS LTDA"/>
    <s v="02.227.267/0001-41"/>
    <d v="2022-06-23T00:00:00"/>
    <n v="290000"/>
    <s v="OK"/>
    <s v="JATOBA"/>
  </r>
  <r>
    <s v="TRA-063"/>
    <s v="IS000672"/>
    <m/>
    <n v="136178"/>
    <s v="Classe para Maq. Imp Agricola"/>
    <s v="SEM PLACA"/>
    <s v="HCCZ3F11JNCG42035"/>
    <x v="498"/>
    <s v="MAXUM MAQUINAS E EQUIPAMENTOS LTDA"/>
    <s v="02.227.267/0001-41"/>
    <d v="2022-06-23T00:00:00"/>
    <n v="400000"/>
    <s v="OK"/>
    <s v="JATOBA"/>
  </r>
  <r>
    <s v="TRA-064"/>
    <s v="IS000673"/>
    <m/>
    <n v="136177"/>
    <s v="Classe para Maq. Imp Agricola"/>
    <s v="SEM PLACA"/>
    <s v="HCCZ3F11VNCG41695"/>
    <x v="498"/>
    <s v="MAXUM MAQUINAS E EQUIPAMENTOS LTDA"/>
    <s v="02.227.267/0001-41"/>
    <d v="2022-06-23T00:00:00"/>
    <n v="400000"/>
    <m/>
    <m/>
  </r>
  <r>
    <s v="TRA-065"/>
    <s v="IS000674"/>
    <m/>
    <n v="136175"/>
    <s v="Classe para Maquinas Implementos  Agricola Fz Santa Lucia"/>
    <s v="SEM PLACA"/>
    <s v="HCCZ3F11PNCG38200"/>
    <x v="498"/>
    <s v="MAXUM MAQUINAS E EQUIPAMENTOS LTDA"/>
    <s v="02.227.267/0001-41"/>
    <d v="2022-06-23T00:00:00"/>
    <n v="400000"/>
    <s v="OK"/>
    <s v="JATOBA"/>
  </r>
  <r>
    <s v="TRA-066"/>
    <s v="IS000675"/>
    <m/>
    <n v="136174"/>
    <s v="Classe para Maq. Imp Agricola"/>
    <s v="SEM PLACA"/>
    <s v="HCCZ3F11TNCG41964"/>
    <x v="498"/>
    <s v="MAXUM MAQUINAS E EQUIPAMENTOS LTDA"/>
    <s v="02.227.267/0001-41"/>
    <d v="2022-06-23T00:00:00"/>
    <n v="400000"/>
    <s v="OK"/>
    <m/>
  </r>
  <r>
    <s v="TRA-067"/>
    <s v="IS000676"/>
    <m/>
    <n v="136170"/>
    <s v="Classe para Maq. Imp Agricola"/>
    <s v="SEM PLACA"/>
    <s v="HCCZ3C15ENCF37246"/>
    <x v="499"/>
    <s v="MAXUM MAQUINAS E EQUIPAMENTOS LTDA"/>
    <s v="02.227.267/0001-41"/>
    <d v="2022-06-23T00:00:00"/>
    <n v="650000"/>
    <s v="OK"/>
    <s v="JATOBA"/>
  </r>
  <r>
    <s v="VEI-062"/>
    <s v="IS000677"/>
    <m/>
    <n v="182164"/>
    <s v="Classe para Veiculos"/>
    <s v="SEM PLACA"/>
    <s v="9C2KC2500NR082031"/>
    <x v="275"/>
    <s v="LUZ MOTOS, COMERCIO, SERVICOS E PECAS LTDA"/>
    <s v="08.074.058/0001-91"/>
    <d v="2022-07-01T00:00:00"/>
    <n v="15300"/>
    <s v="OK"/>
    <s v="JATOBA"/>
  </r>
  <r>
    <s v="MVU-095"/>
    <s v="IS000678"/>
    <m/>
    <n v="210658"/>
    <s v="Classe para Moveis e Utensilios"/>
    <s v="SEM PLACA"/>
    <s v="SEM CHASSI"/>
    <x v="500"/>
    <s v="CATRAL REFRIGERACAO E ELETRODOMESTICOS LTDA"/>
    <s v="02.375.921/0011-36"/>
    <d v="2022-07-04T00:00:00"/>
    <n v="10172.549999999999"/>
    <s v="OK"/>
    <s v="JATOBA"/>
  </r>
  <r>
    <s v="IMP-241"/>
    <s v="IS000679"/>
    <m/>
    <n v="3658"/>
    <s v="Classe para Maq. Imp Agricola"/>
    <s v="SEM PLACA"/>
    <s v="VT25220023"/>
    <x v="501"/>
    <s v="Mori Ind. e Com. de Implementos Agricolas Ltda"/>
    <s v="04.799.096/0001-50"/>
    <d v="2022-07-08T00:00:00"/>
    <n v="259051.91"/>
    <s v="OK"/>
    <s v="JATOBA"/>
  </r>
  <r>
    <s v="MVU-096"/>
    <s v="IS000680"/>
    <m/>
    <n v="211242"/>
    <s v="Classe para Moveis e Utensilios Fz Santo Expedito"/>
    <s v="SEM PLACA"/>
    <s v="SEM CHASSI"/>
    <x v="502"/>
    <s v="CATRAL REFRIGERACAO E ELETRODOMESTICOS LTDA"/>
    <s v="02.375.921/0011-36"/>
    <d v="2022-07-08T00:00:00"/>
    <n v="1299"/>
    <s v="OK"/>
    <s v="SANTO EXPEDITO"/>
  </r>
  <r>
    <s v="MVU-097"/>
    <s v="IS000681"/>
    <m/>
    <n v="211242"/>
    <s v="Classe para Moveis e Utensilios Fz Santo Expedito"/>
    <s v="SEM PLACA"/>
    <s v="SEM CHASSI"/>
    <x v="503"/>
    <s v="CATRAL REFRIGERACAO E ELETRODOMESTICOS LTDA"/>
    <s v="02.375.921/0011-36"/>
    <d v="2022-07-08T00:00:00"/>
    <n v="3999"/>
    <s v="OK"/>
    <s v="SANTO EXPEDITO"/>
  </r>
  <r>
    <s v="MVU-098"/>
    <s v="IS000682"/>
    <m/>
    <n v="211242"/>
    <s v="Classe para Moveis e Utensilios Fz Santo Expedito"/>
    <s v="SEM PLACA"/>
    <s v="SEM CHASSI"/>
    <x v="504"/>
    <s v="CATRAL REFRIGERACAO E ELETRODOMESTICOS LTDA"/>
    <s v="02.375.921/0011-36"/>
    <d v="2022-07-08T00:00:00"/>
    <n v="4346.34"/>
    <s v="OK"/>
    <s v="SANTO EXPEDITO"/>
  </r>
  <r>
    <s v="VEI-060"/>
    <s v="IS000683"/>
    <m/>
    <n v="89334"/>
    <s v="Classe para Veiculos"/>
    <s v="RPF9G31"/>
    <s v="8AJDA3CD8N1826402"/>
    <x v="505"/>
    <s v="Toyota do Brasil Ltda"/>
    <s v="59.104.760/0005-15"/>
    <d v="2022-07-08T00:00:00"/>
    <n v="232170.5"/>
    <s v="OK"/>
    <m/>
  </r>
  <r>
    <s v="IS000684"/>
    <s v="IS000684"/>
    <m/>
    <n v="13900"/>
    <s v="Classe para Equip. Oficina Santa Lucia"/>
    <s v="SEM PLACA"/>
    <s v="SEM CHASSI"/>
    <x v="506"/>
    <s v="TERMOPROL ZANOTTI DO BRASIL LTDA"/>
    <s v="88.165.931/0001-90"/>
    <d v="2025-09-01T00:00:00"/>
    <n v="25000"/>
    <m/>
    <s v="SANTA LUCIA"/>
  </r>
  <r>
    <s v="TRA-068"/>
    <s v="IS000685"/>
    <m/>
    <n v="136963"/>
    <s v="Classe para Maquinas Implementos  Agricola Fz St Expedito"/>
    <s v="SEM PLACA"/>
    <s v="HCCZFA10HNCJ39871"/>
    <x v="497"/>
    <s v="MAXUM MAQUINAS E EQUIPAMENTOS LTDA"/>
    <s v="02.227.267/0001-41"/>
    <d v="2022-07-20T00:00:00"/>
    <n v="290000"/>
    <s v="OK"/>
    <s v="JATOBA"/>
  </r>
  <r>
    <s v="EQU-270"/>
    <s v="IS000686"/>
    <m/>
    <n v="30193"/>
    <s v="Classe para equip. Diversos Fz Santo Expedito"/>
    <s v="SEM PLACA"/>
    <n v="1001357"/>
    <x v="507"/>
    <s v="PINHALENSE S/A MAQUINAS AGRICOLAS"/>
    <s v="54.224.423/0002-03"/>
    <d v="2022-07-27T00:00:00"/>
    <n v="83500"/>
    <m/>
    <m/>
  </r>
  <r>
    <s v="MVU-101"/>
    <s v="IS000687"/>
    <m/>
    <n v="5171454"/>
    <s v="Classe para Moveis e Utensilios"/>
    <s v="SEM PLACA"/>
    <s v="SEM CHASSI"/>
    <x v="368"/>
    <s v="EBAZAR.COM.BR. LTDA"/>
    <s v="03.007.331/0010-32"/>
    <d v="2022-07-28T00:00:00"/>
    <n v="2699"/>
    <s v="OK"/>
    <m/>
  </r>
  <r>
    <s v="MVU-054"/>
    <s v="IS000688"/>
    <m/>
    <n v="89984"/>
    <s v="Classe para Moveis e Utensilios"/>
    <s v="SEM PLACA"/>
    <s v="SEM CHASSI"/>
    <x v="508"/>
    <s v="Rodrigo Bravo - Irmaos Ltda"/>
    <s v="03.321.060/0006-09"/>
    <d v="2022-08-03T00:00:00"/>
    <n v="3679.9"/>
    <s v="OK"/>
    <m/>
  </r>
  <r>
    <s v="EQU-275"/>
    <s v="IS000689"/>
    <m/>
    <n v="107053"/>
    <s v="Classe para Equip. Diversos"/>
    <s v="SEM PLACA"/>
    <s v="SEM CHASSI"/>
    <x v="509"/>
    <s v="LEM COMERCIO DE EPIS LTDA"/>
    <s v="13.168.084/0001-19"/>
    <d v="2022-08-04T00:00:00"/>
    <n v="1971"/>
    <m/>
    <m/>
  </r>
  <r>
    <s v="EQU-269"/>
    <s v="IS000690"/>
    <m/>
    <n v="185239"/>
    <s v="Classe para Equip. Diversos Fz Santa Lucia"/>
    <s v="SEM PLACA"/>
    <s v="SEM CHASSI"/>
    <x v="510"/>
    <s v="GURGELMIX MAQUINAS E FERRAMENTAS S.A."/>
    <s v="29.302.348/0003-87"/>
    <d v="2022-08-05T00:00:00"/>
    <n v="2850.95"/>
    <m/>
    <m/>
  </r>
  <r>
    <s v="EQU-274"/>
    <s v="IS000691"/>
    <m/>
    <n v="787816"/>
    <s v="Classe para equip. Diversos Fz Santo Expedito"/>
    <s v="SEM PLACA"/>
    <s v="SEM CHASSI"/>
    <x v="511"/>
    <s v="IMPERIAL COM. DE PARAF. FER. E MAQ. LTDA"/>
    <s v="01.716.186/0001-42"/>
    <d v="2022-08-05T00:00:00"/>
    <n v="1941"/>
    <m/>
    <m/>
  </r>
  <r>
    <s v="EQI-093"/>
    <s v="IS000692"/>
    <m/>
    <n v="4402139"/>
    <s v="Classe para Informatica e Comunicaçao"/>
    <s v="SEM PLACA"/>
    <s v="SEM CHASSI"/>
    <x v="512"/>
    <s v="DELL COMPUTADORES DO BRASIL LTDA"/>
    <s v="72.381.189/0010-01"/>
    <d v="2022-08-08T00:00:00"/>
    <n v="4626.95"/>
    <m/>
    <m/>
  </r>
  <r>
    <s v="IMP-243"/>
    <s v="IS000693"/>
    <m/>
    <n v="14"/>
    <s v="Classe para Maquinas Implementos  Agricola Fz Santa Lucia"/>
    <s v="SEM PLACA"/>
    <s v="SEM CHASSI"/>
    <x v="513"/>
    <s v="AGRO METALI MAQUINAS E EQUIPAMENTOS AGRICOLAS LTDA"/>
    <s v="44.078.109/0001-17"/>
    <d v="2022-08-08T00:00:00"/>
    <n v="248000"/>
    <m/>
    <m/>
  </r>
  <r>
    <s v="IMP-262"/>
    <s v="IS000694"/>
    <m/>
    <n v="6742"/>
    <s v="Classe para Maquinas Implementos  Agricola Fz Jatoba"/>
    <s v="SEM PLACA"/>
    <s v="0120070097-0-6"/>
    <x v="514"/>
    <s v="AGRICOLA SIMABA LTDA"/>
    <s v="04.815.160/0001-40"/>
    <d v="2022-08-08T00:00:00"/>
    <n v="248000"/>
    <s v="OK"/>
    <m/>
  </r>
  <r>
    <s v="EQI-094"/>
    <s v="IS000695"/>
    <m/>
    <n v="14938005"/>
    <s v="Classe para Informatica e Comunicaçao"/>
    <s v="SEM PLACA"/>
    <s v="SEM CHASSI"/>
    <x v="515"/>
    <s v="KABUM COMERCIO ELETRONICO S.A"/>
    <s v="05.570.714/0008-25"/>
    <d v="2022-08-16T00:00:00"/>
    <n v="4484.6899999999996"/>
    <m/>
    <m/>
  </r>
  <r>
    <s v="MVU-100"/>
    <s v="IS000696"/>
    <m/>
    <n v="7897125"/>
    <s v="Classe para Moveis e Utensilios Fz Santa Lucia"/>
    <s v="SEM PLACA"/>
    <s v="SEM CHASSI"/>
    <x v="516"/>
    <s v="Americanas S.A"/>
    <s v="00.776.574/0015-51"/>
    <d v="2022-08-19T00:00:00"/>
    <n v="3551.98"/>
    <s v="OK"/>
    <m/>
  </r>
  <r>
    <s v="EQU-279"/>
    <s v="IS000697"/>
    <m/>
    <n v="22983"/>
    <s v="Classe para Equip. Diversos Fz Grande Leste"/>
    <s v="SEM PLACA"/>
    <s v="SEM CHASSI"/>
    <x v="517"/>
    <s v="KSMR5.COM DIGITAL LTDA"/>
    <s v="38.089.670/0002-80"/>
    <d v="2022-08-24T00:00:00"/>
    <n v="2710"/>
    <s v="OK"/>
    <s v="GRANDE LESTE"/>
  </r>
  <r>
    <s v="MAQ-014"/>
    <s v="IS000698"/>
    <m/>
    <n v="111278"/>
    <s v="Classe para Maquinas Implementos  Agricola Fz Jatoba"/>
    <s v="SEM PLACA"/>
    <s v="HJSCN6AAJM0004444"/>
    <x v="518"/>
    <s v="BMC MAQUINAS, EQUIP. PESADOS, ENGENHARIA E LOCACOES LTDA"/>
    <s v="14.168.536/0001-25"/>
    <d v="2022-08-29T00:00:00"/>
    <n v="750000"/>
    <m/>
    <m/>
  </r>
  <r>
    <s v="MVU-089"/>
    <s v="IS000699"/>
    <m/>
    <n v="537262"/>
    <s v="Classe para Moveis e Utensilios Fz Santa Lucia"/>
    <s v="SEM PLACA"/>
    <s v="SEM CHASSI"/>
    <x v="489"/>
    <s v="HOHL MAQUINAS AGRICOLAS LTDA"/>
    <s v="01.608.488/0001-05"/>
    <d v="2022-08-30T00:00:00"/>
    <n v="1737"/>
    <m/>
    <m/>
  </r>
  <r>
    <s v="EQU-273"/>
    <s v="IS000700"/>
    <m/>
    <m/>
    <s v="Classe para Equip. Diversos"/>
    <s v="SEM PLACA"/>
    <s v="SEM CHASSI"/>
    <x v="519"/>
    <m/>
    <m/>
    <d v="2022-08-31T00:00:00"/>
    <n v="0"/>
    <m/>
    <m/>
  </r>
  <r>
    <s v="MVU-102"/>
    <s v="IS000701"/>
    <m/>
    <n v="538707"/>
    <s v="Classe para Moveis e Utensilios Fz Grande Leste"/>
    <s v="SEM PLACA"/>
    <s v="SEM CHASSI"/>
    <x v="520"/>
    <s v="HOHL MAQUINAS AGRICOLAS LTDA"/>
    <s v="01.608.488/0001-05"/>
    <d v="2022-08-31T00:00:00"/>
    <n v="2065.5"/>
    <m/>
    <s v="GRANDE LESTE"/>
  </r>
  <r>
    <s v="EQU-278"/>
    <s v="IS000702"/>
    <m/>
    <n v="29874"/>
    <s v="Classe para Equip. Diversos"/>
    <s v="SEM PLACA"/>
    <s v="SEM CHASSI"/>
    <x v="521"/>
    <s v="IMAVI INDUSTRIA E COMERCIO EIRELI"/>
    <s v="55.568.919/0001-78"/>
    <d v="2022-04-12T00:00:00"/>
    <n v="100000"/>
    <m/>
    <m/>
  </r>
  <r>
    <s v="IMP-244"/>
    <s v="IS000703"/>
    <m/>
    <n v="28840"/>
    <s v="Classe para Maq. Imp Agricola"/>
    <s v="SEM PLACA"/>
    <s v="SEM CHASSI"/>
    <x v="522"/>
    <s v="IMAVI INDUSTRIA E COMERCIO EIRELI"/>
    <s v="55.568.919/0001-78"/>
    <d v="2022-09-08T00:00:00"/>
    <n v="72000"/>
    <m/>
    <m/>
  </r>
  <r>
    <s v="EQU-280"/>
    <s v="IS000704"/>
    <m/>
    <n v="34038"/>
    <s v="Classe para Equip. Diversos"/>
    <s v="SEM PLACA"/>
    <s v="SEM CHASSI"/>
    <x v="523"/>
    <s v="CASA DOS POSTOS Com.Serv.Mot. Bombas e Pecas Ltda"/>
    <s v="37.330.081/0001-06"/>
    <d v="2022-09-12T00:00:00"/>
    <n v="2900"/>
    <m/>
    <m/>
  </r>
  <r>
    <s v="EQU-281"/>
    <s v="IS000705"/>
    <m/>
    <m/>
    <s v="Classe para Equip. Diversos"/>
    <s v="SEM PLACA"/>
    <s v="SEM CHASSI"/>
    <x v="524"/>
    <m/>
    <m/>
    <d v="2022-09-12T00:00:00"/>
    <n v="13750"/>
    <m/>
    <m/>
  </r>
  <r>
    <s v="EQU-282"/>
    <s v="IS000706"/>
    <m/>
    <m/>
    <s v="Classe para Equip. Diversos"/>
    <s v="SEM PLACA"/>
    <s v="SEM CHASSI"/>
    <x v="524"/>
    <m/>
    <m/>
    <d v="2022-09-12T00:00:00"/>
    <n v="13750"/>
    <m/>
    <m/>
  </r>
  <r>
    <s v="VEI-061"/>
    <s v="IS000707"/>
    <m/>
    <n v="110207"/>
    <s v="Classe para Veiculos Fz Santo Expedito"/>
    <s v="SEM PLACA"/>
    <s v="9C2KC2500NR107484"/>
    <x v="275"/>
    <s v="LUZ MOTOS, COMERCIO, SERVICOS E PECAS LTDA"/>
    <s v="08.074.058/0002-72"/>
    <d v="2022-09-12T00:00:00"/>
    <n v="15400"/>
    <s v="OK"/>
    <m/>
  </r>
  <r>
    <s v="VEI-063"/>
    <s v="IS000708"/>
    <m/>
    <n v="110463"/>
    <s v="Classe para Veiculos Fz Santo Expedito"/>
    <s v="SEM PLACA"/>
    <s v="9C2KC2500NR109806"/>
    <x v="275"/>
    <s v="LUZ MOTOS, COMERCIO, SERVICOS E PECAS LTDA"/>
    <s v="08.074.058/0002-72"/>
    <d v="2022-09-15T00:00:00"/>
    <n v="15400"/>
    <s v="OK"/>
    <s v="GRANDE LESTE"/>
  </r>
  <r>
    <s v="MVU-113"/>
    <s v="IS000709"/>
    <m/>
    <n v="118"/>
    <s v="Classe para Moveis e Utensilios Fz Santa Lucia"/>
    <s v="SEM PLACA"/>
    <s v="SEM CHASSI"/>
    <x v="525"/>
    <s v="BMV COMERCIO DE MOVEIS EIRELI"/>
    <s v="34.861.590/0001-69"/>
    <d v="2022-09-21T00:00:00"/>
    <n v="5500"/>
    <m/>
    <m/>
  </r>
  <r>
    <s v="MVU-114"/>
    <s v="IS000710"/>
    <m/>
    <n v="118"/>
    <s v="Classe para Moveis e Utensilios Fz Santa Lucia"/>
    <s v="SEM PLACA"/>
    <s v="SEM CHASSI"/>
    <x v="526"/>
    <s v="BMV COMERCIO DE MOVEIS EIRELI"/>
    <s v="34.861.590/0001-69"/>
    <d v="2022-09-21T00:00:00"/>
    <n v="8200"/>
    <m/>
    <m/>
  </r>
  <r>
    <s v="MVU-115"/>
    <s v="IS000711"/>
    <m/>
    <n v="134"/>
    <s v="Classe para Moveis e Utensilios Fz Santa Lucia"/>
    <s v="SEM PLACA"/>
    <s v="SEM CHASSI"/>
    <x v="527"/>
    <s v="BMV COMERCIO DE MOVEIS EIRELI"/>
    <s v="34.861.590/0001-69"/>
    <d v="2022-09-21T00:00:00"/>
    <n v="3990"/>
    <m/>
    <m/>
  </r>
  <r>
    <s v="MVU-116"/>
    <s v="IS000712"/>
    <m/>
    <n v="134"/>
    <s v="Classe para Moveis e Utensilios Fz Santa Lucia"/>
    <s v="SEM PLACA"/>
    <s v="SEM CHASSI"/>
    <x v="528"/>
    <s v="BMV COMERCIO DE MOVEIS EIRELI"/>
    <s v="34.861.590/0001-69"/>
    <d v="2022-09-21T00:00:00"/>
    <n v="1813"/>
    <m/>
    <m/>
  </r>
  <r>
    <s v="MVU-117"/>
    <s v="IS000713"/>
    <m/>
    <n v="134"/>
    <s v="Classe para Moveis e Utensilios Fz Santa Lucia"/>
    <s v="SEM PLACA"/>
    <s v="SEM CHASSI"/>
    <x v="529"/>
    <s v="BMV COMERCIO DE MOVEIS EIRELI"/>
    <s v="34.861.590/0001-69"/>
    <d v="2022-09-21T00:00:00"/>
    <n v="2933"/>
    <m/>
    <m/>
  </r>
  <r>
    <s v="MVU-118"/>
    <s v="IS000714"/>
    <m/>
    <n v="134"/>
    <s v="Classe para Moveis e Utensilios Fz Santa Lucia"/>
    <s v="SEM PLACA"/>
    <s v="SEM CHASSI"/>
    <x v="530"/>
    <s v="BMV COMERCIO DE MOVEIS EIRELI"/>
    <s v="34.861.590/0001-69"/>
    <d v="2022-09-21T00:00:00"/>
    <n v="1883"/>
    <m/>
    <m/>
  </r>
  <r>
    <s v="MVU-119"/>
    <s v="IS000715"/>
    <m/>
    <n v="134"/>
    <s v="Classe para Moveis e Utensilios Fz Santa Lucia"/>
    <s v="SEM PLACA"/>
    <s v="SEM CHASSI"/>
    <x v="531"/>
    <s v="BMV COMERCIO DE MOVEIS EIRELI"/>
    <s v="34.861.590/0001-69"/>
    <d v="2022-09-21T00:00:00"/>
    <n v="2513"/>
    <m/>
    <m/>
  </r>
  <r>
    <s v="VEI-064"/>
    <s v="IS000716"/>
    <m/>
    <n v="110463"/>
    <s v="Classe para Veiculos Fz Santo Expedito"/>
    <s v="SEM PLACA"/>
    <s v="9C2KC2500PR001224"/>
    <x v="275"/>
    <s v="LUZ MOTOS, COMERCIO, SERVICOS E PECAS LTDA"/>
    <s v="08.074.058/0002-72"/>
    <d v="2022-09-22T00:00:00"/>
    <n v="15400"/>
    <s v="OK"/>
    <s v="SANTO EXPEDITO"/>
  </r>
  <r>
    <s v="MAQ-015"/>
    <s v="IS000717"/>
    <m/>
    <n v="949"/>
    <s v="Classe para Maquinas Implementos  Agricola Fz Santa Lucia"/>
    <s v="SEM PLACA"/>
    <s v="10000108JOB000779"/>
    <x v="532"/>
    <s v="COEDRA CONSTRUCAO E DRAGAGEM EIRELI"/>
    <s v="30.598.095/0001-58"/>
    <d v="2022-09-28T00:00:00"/>
    <n v="300000"/>
    <s v="OK"/>
    <m/>
  </r>
  <r>
    <s v="MVU-103"/>
    <s v="IS000718"/>
    <m/>
    <n v="542579"/>
    <s v="Classe para Moveis e Utensilios Fz Grande Leste"/>
    <s v="SEM PLACA"/>
    <s v="SEM CHASSI"/>
    <x v="520"/>
    <s v="HOHL MAQUINAS AGRICOLAS LTDA"/>
    <s v="01.608.488/0001-05"/>
    <d v="2022-09-28T00:00:00"/>
    <n v="1999"/>
    <s v="OK"/>
    <s v="GRANDE LESTE"/>
  </r>
  <r>
    <s v="TRA-069"/>
    <s v="IS000719"/>
    <m/>
    <n v="2238"/>
    <s v="Classe para Maquinas Implementos  Agricola Fz St Expedito"/>
    <s v="SEM PLACA"/>
    <s v="HCCZM340VMCM24647"/>
    <x v="533"/>
    <s v="OSNI NEIVERTH"/>
    <s v="732.133.579-87"/>
    <d v="2022-09-28T00:00:00"/>
    <n v="1650000"/>
    <s v="OK"/>
    <s v="SANTO EXPEDITO"/>
  </r>
  <r>
    <s v="EQI-095"/>
    <s v="IS000720"/>
    <m/>
    <n v="30642"/>
    <s v="Classe para Informatica e Comunicaçao"/>
    <s v="SEM PLACA"/>
    <s v="SEM CHASSI"/>
    <x v="534"/>
    <s v="GIGANTEC COMERCIO ELETRONICO EIRELI"/>
    <s v="09.634.457/0002-03"/>
    <d v="2022-10-03T00:00:00"/>
    <n v="6201.6"/>
    <m/>
    <m/>
  </r>
  <r>
    <s v="EQU-284"/>
    <s v="IS000721"/>
    <m/>
    <n v="110824"/>
    <s v="Classe para Equip. Diversos"/>
    <s v="SEM PLACA"/>
    <s v="SEM CHASSI"/>
    <x v="535"/>
    <s v="LUZ MOTOS, COMERCIO, SERVICOS E PECAS LTDA"/>
    <s v="08.074.058/0002-72"/>
    <d v="2022-10-04T00:00:00"/>
    <n v="3357"/>
    <m/>
    <m/>
  </r>
  <r>
    <s v="EQI-096"/>
    <s v="IS000722"/>
    <m/>
    <n v="162"/>
    <s v="Classe para Informatica e Comunicaçao Fz Santa Lucia"/>
    <s v="SEM PLACA"/>
    <s v="SEM CHASSI"/>
    <x v="536"/>
    <s v="E COMERCIO DE SUPRIMENTOS INFORMATICAS LTDA"/>
    <s v="46.529.214/0001-50"/>
    <d v="2022-10-06T00:00:00"/>
    <n v="2992"/>
    <s v="OK"/>
    <s v="SANTA LUCIA"/>
  </r>
  <r>
    <s v="MVU-106"/>
    <s v="IS000723"/>
    <m/>
    <n v="4141"/>
    <s v="Classe para Moveis e Utensilios"/>
    <s v="SEM PLACA"/>
    <s v="SEM CHASSI"/>
    <x v="537"/>
    <s v="Nosso Lar Lojas de Departamentos Ltda-Lj 11"/>
    <s v="00.607.587/0029-00"/>
    <d v="2022-10-06T00:00:00"/>
    <n v="2325"/>
    <m/>
    <m/>
  </r>
  <r>
    <s v="EQU-283"/>
    <s v="IS000724"/>
    <m/>
    <n v="1539072"/>
    <s v="Classe para Equip. Diversos"/>
    <s v="SEM PLACA"/>
    <s v="SEM CHASSI"/>
    <x v="538"/>
    <s v="DUPLOR COMERCIO DE FERRAMENTAS INDUSTRIAIS E SERVICOS LTDA"/>
    <s v="10.622.178/0001-28"/>
    <d v="2022-10-10T00:00:00"/>
    <n v="1899.9"/>
    <s v="OK"/>
    <m/>
  </r>
  <r>
    <s v="MVU-108"/>
    <s v="IS000725"/>
    <m/>
    <n v="1942181"/>
    <s v="Classe para Moveis e Utensilios Fz Santa Lucia"/>
    <s v="SEM PLACA"/>
    <s v="SEM CHASSI"/>
    <x v="539"/>
    <s v="LOJA ELECTROLUX COM VIRTUAL DE ELET"/>
    <s v="13.986.197/0002-02"/>
    <d v="2022-10-18T00:00:00"/>
    <n v="2992.1"/>
    <s v="OK"/>
    <s v="SANTA LUCIA"/>
  </r>
  <r>
    <s v="MVU-109"/>
    <s v="IS000726"/>
    <m/>
    <n v="1942181"/>
    <s v="Classe para Moveis e Utensilios Fz Santa Lucia"/>
    <s v="SEM PLACA"/>
    <s v="SEM CHASSI"/>
    <x v="540"/>
    <s v="LOJA ELECTROLUX COM VIRTUAL DE ELET"/>
    <s v="13.986.197/0002-02"/>
    <d v="2022-10-18T00:00:00"/>
    <n v="3147.16"/>
    <s v="OK"/>
    <s v="SANTA LUCIA"/>
  </r>
  <r>
    <s v="MVU-110"/>
    <s v="IS000727"/>
    <m/>
    <n v="4779966"/>
    <s v="Classe para Moveis e Utensilios Fz Santa Lucia"/>
    <s v="SEM PLACA"/>
    <s v="SEM CHASSI"/>
    <x v="541"/>
    <s v="LOJA ELECTROLUX COM VIRTUAL DE ELET"/>
    <s v="13.986.197/0002-02"/>
    <d v="2022-10-18T00:00:00"/>
    <n v="3466.65"/>
    <m/>
    <m/>
  </r>
  <r>
    <s v="MVU-111"/>
    <s v="IS000728"/>
    <m/>
    <n v="4779966"/>
    <s v="Classe para Moveis e Utensilios Fz Santa Lucia"/>
    <s v="SEM PLACA"/>
    <s v="SEM CHASSI"/>
    <x v="542"/>
    <s v="LOJA ELECTROLUX COM VIRTUAL DE ELET"/>
    <s v="13.986.197/0002-02"/>
    <d v="2022-10-18T00:00:00"/>
    <n v="7031.97"/>
    <m/>
    <m/>
  </r>
  <r>
    <s v="MVU-107"/>
    <s v="IS000729"/>
    <m/>
    <n v="218481"/>
    <s v="Classe para Moveis e Utensilios Fz Santa Lucia"/>
    <s v="SEM PLACA"/>
    <s v="SEM CHASSI"/>
    <x v="543"/>
    <s v="CATRAL REFRIGERACAO E ELETRODOMESTICOS LTDA"/>
    <s v="02.375.921/0011-36"/>
    <d v="2022-10-20T00:00:00"/>
    <n v="3899"/>
    <s v="OK"/>
    <m/>
  </r>
  <r>
    <s v="EQU-225"/>
    <s v="IS000730"/>
    <m/>
    <m/>
    <s v="Classe para Equip. Diversos"/>
    <s v="SEM PLACA"/>
    <s v="SEM CHASSI"/>
    <x v="544"/>
    <m/>
    <m/>
    <d v="2022-10-21T00:00:00"/>
    <n v="1690"/>
    <s v="OK"/>
    <s v="JATOBA"/>
  </r>
  <r>
    <s v="MVU-104"/>
    <s v="IS000731"/>
    <m/>
    <n v="28192"/>
    <s v="Classe para Moveis e Utensilios Fz Grande Leste"/>
    <s v="SEM PLACA"/>
    <s v="SEM CHASSI"/>
    <x v="545"/>
    <s v="VIA S/A"/>
    <s v="33.041.260/1737-78"/>
    <d v="2022-10-21T00:00:00"/>
    <n v="3609.05"/>
    <s v="OK"/>
    <s v="GRANDE LESTE"/>
  </r>
  <r>
    <s v="EQU-286"/>
    <s v="IS000732"/>
    <m/>
    <n v="195702"/>
    <s v="Classe para Equip. Diversos Fz Santa Lucia"/>
    <s v="SEM PLACA"/>
    <s v="SEM CHASSI"/>
    <x v="546"/>
    <s v="ROMAGNOLE PRODUTOS ELETRICOS S.A. (TRANSFORMADORES)"/>
    <s v="78.958.717/0016-14"/>
    <d v="2022-10-24T00:00:00"/>
    <n v="48900"/>
    <m/>
    <m/>
  </r>
  <r>
    <s v="MVU-112"/>
    <s v="IS000733"/>
    <m/>
    <n v="3085"/>
    <s v="Classe para Moveis e Utensilios"/>
    <s v="SEM PLACA"/>
    <s v="SEM CHASSI"/>
    <x v="547"/>
    <s v="CLAUDINO S A LOJAS DE DEPARTAMENTOS"/>
    <s v="06.862.627/0152-40"/>
    <d v="2022-10-25T00:00:00"/>
    <n v="2369"/>
    <s v="OK"/>
    <m/>
  </r>
  <r>
    <s v="MAQ-017"/>
    <s v="IS000734"/>
    <m/>
    <n v="115271"/>
    <s v="Classe para Maquinas Implementos  Agricola Fz Santa Lucia"/>
    <s v="SEM PLACA"/>
    <s v="L232D-0305-11002 CNF"/>
    <x v="548"/>
    <s v="CLARK MATERIAL HANDLING BRASIL S.A."/>
    <s v="07.105.510/0001-72"/>
    <d v="2022-10-31T00:00:00"/>
    <n v="138990"/>
    <s v="OK"/>
    <s v="SANTO EXPEDITO"/>
  </r>
  <r>
    <s v="MVU-121"/>
    <s v="IS000735"/>
    <m/>
    <n v="219460"/>
    <s v="Classe para Moveis e Utensilios Fz Santa Lucia"/>
    <s v="SEM PLACA"/>
    <s v="SEM CHASSI"/>
    <x v="549"/>
    <s v="CATRAL REFRIGERACAO E ELETRODOMESTICOS LTDA"/>
    <s v="02.375.921/0011-36"/>
    <d v="2022-11-03T00:00:00"/>
    <n v="2123.44"/>
    <s v="OK"/>
    <s v="SANTA LUCIA"/>
  </r>
  <r>
    <s v="MVU-122"/>
    <s v="IS000736"/>
    <m/>
    <n v="219460"/>
    <s v="Classe para Moveis e Utensilios Fz Santa Lucia"/>
    <s v="SEM PLACA"/>
    <s v="SEM CHASSI"/>
    <x v="550"/>
    <s v="CATRAL REFRIGERACAO E ELETRODOMESTICOS LTDA"/>
    <s v="02.375.921/0011-36"/>
    <d v="2022-11-03T00:00:00"/>
    <n v="2413.13"/>
    <s v="OK"/>
    <s v="SANTA LUCIA"/>
  </r>
  <r>
    <s v="MVU-123"/>
    <s v="IS000737"/>
    <m/>
    <n v="219460"/>
    <s v="Classe para Moveis e Utensilios Fz Santa Lucia"/>
    <s v="SEM PLACA"/>
    <s v="SEM CHASSI"/>
    <x v="551"/>
    <s v="CATRAL REFRIGERACAO E ELETRODOMESTICOS LTDA"/>
    <s v="02.375.921/0011-36"/>
    <d v="2022-11-03T00:00:00"/>
    <n v="3267.71"/>
    <s v="OK"/>
    <s v="SANTA LUCIA"/>
  </r>
  <r>
    <s v="MVU-124"/>
    <s v="IS000738"/>
    <m/>
    <n v="219460"/>
    <s v="Classe para Moveis e Utensilios Fz Santa Lucia"/>
    <s v="SEM PLACA"/>
    <s v="SEM CHASSI"/>
    <x v="552"/>
    <s v="CATRAL REFRIGERACAO E ELETRODOMESTICOS LTDA"/>
    <s v="02.375.921/0011-36"/>
    <d v="2022-11-03T00:00:00"/>
    <n v="4247.84"/>
    <m/>
    <m/>
  </r>
  <r>
    <s v="MVU-125"/>
    <s v="IS000739"/>
    <m/>
    <n v="219460"/>
    <s v="Classe para Moveis e Utensilios Fz Santa Lucia"/>
    <s v="SEM PLACA"/>
    <s v="SEM CHASSI"/>
    <x v="549"/>
    <s v="CATRAL REFRIGERACAO E ELETRODOMESTICOS LTDA"/>
    <s v="02.375.921/0011-36"/>
    <d v="2022-11-03T00:00:00"/>
    <n v="2123.44"/>
    <s v="OK"/>
    <s v="SANTA LUCIA"/>
  </r>
  <r>
    <s v="MVU-126"/>
    <s v="IS000740"/>
    <m/>
    <n v="219460"/>
    <s v="Classe para Moveis e Utensilios Fz Santa Lucia"/>
    <s v="SEM PLACA"/>
    <s v="SEM CHASSI"/>
    <x v="549"/>
    <s v="CATRAL REFRIGERACAO E ELETRODOMESTICOS LTDA"/>
    <s v="02.375.921/0011-36"/>
    <d v="2022-11-03T00:00:00"/>
    <n v="2123.44"/>
    <s v="OK"/>
    <s v="SANTA LUCIA"/>
  </r>
  <r>
    <s v="MVU-105"/>
    <s v="IS000741"/>
    <m/>
    <n v="4151"/>
    <s v="Classe para Moveis e Utensilios"/>
    <s v="SEM PLACA"/>
    <s v="SEM CHASSI"/>
    <x v="553"/>
    <s v="Nosso Lar Lojas de Departamentos Ltda-Lj 11"/>
    <s v="00.607.587/0029-00"/>
    <d v="2022-11-09T00:00:00"/>
    <n v="1199.9000000000001"/>
    <m/>
    <m/>
  </r>
  <r>
    <s v="AER-002"/>
    <s v="IS000742"/>
    <m/>
    <n v="65"/>
    <s v="Classe para aeronaves agricolas"/>
    <s v="SEM PLACA"/>
    <s v="SEM CHASSI"/>
    <x v="554"/>
    <s v="ARNALDO DE VASCONCELOS BARBOSA"/>
    <s v="318.688.866-20"/>
    <d v="2022-11-14T00:00:00"/>
    <n v="1300000"/>
    <m/>
    <m/>
  </r>
  <r>
    <s v="MVU-133"/>
    <s v="IS000743"/>
    <m/>
    <n v="3540"/>
    <s v="Classe para Moveis e Utensilios"/>
    <s v="SEM PLACA"/>
    <s v="SEM CHASSI"/>
    <x v="555"/>
    <s v="D.E.G. JUNIOR EIRELI ME"/>
    <s v="24.719.396/0001-90"/>
    <d v="2022-11-16T00:00:00"/>
    <n v="1319"/>
    <m/>
    <m/>
  </r>
  <r>
    <s v="EQU-287"/>
    <s v="IS000744"/>
    <m/>
    <n v="15425"/>
    <s v="Classe para equip. Diversos Fz Santo Expedito"/>
    <s v="SEM PLACA"/>
    <s v="SEM CHASSI"/>
    <x v="556"/>
    <s v="Equipacenter Comercio de Equipamentos Ltda"/>
    <s v="08.338.066/0001-06"/>
    <d v="2022-11-18T00:00:00"/>
    <n v="4699"/>
    <s v="OK"/>
    <s v="SANTO EXPEDITO"/>
  </r>
  <r>
    <s v="MVU-127"/>
    <s v="IS000745"/>
    <m/>
    <n v="220428"/>
    <s v="Classe para Moveis e Utensilios Fz Santa Lucia"/>
    <s v="SEM PLACA"/>
    <s v="SEM CHASSI"/>
    <x v="557"/>
    <s v="CATRAL REFRIGERACAO E ELETRODOMESTICOS LTDA"/>
    <s v="02.375.921/0011-36"/>
    <d v="2022-11-18T00:00:00"/>
    <n v="2099"/>
    <s v="OK"/>
    <s v="SANTA LUCIA"/>
  </r>
  <r>
    <s v="MVU-128"/>
    <s v="IS000746"/>
    <m/>
    <n v="220428"/>
    <s v="Classe para Moveis e Utensilios Fz Santa Lucia"/>
    <s v="SEM PLACA"/>
    <s v="SEM CHASSI"/>
    <x v="558"/>
    <s v="CATRAL REFRIGERACAO E ELETRODOMESTICOS LTDA"/>
    <s v="02.375.921/0011-36"/>
    <d v="2022-11-18T00:00:00"/>
    <n v="4399"/>
    <s v="OK"/>
    <s v="SANTA LUCIA"/>
  </r>
  <r>
    <s v="MVU-132"/>
    <s v="IS000747"/>
    <m/>
    <n v="28354"/>
    <s v="Classe para Moveis e Utensilios"/>
    <s v="SEM PLACA"/>
    <s v="SEM CHASSI"/>
    <x v="559"/>
    <s v="VIA S/A"/>
    <s v="33.041.260/1737-78"/>
    <d v="2022-11-18T00:00:00"/>
    <n v="2670"/>
    <s v="OK"/>
    <s v="GRANDE LESTE"/>
  </r>
  <r>
    <s v="PLA-011"/>
    <s v="IS000748"/>
    <m/>
    <n v="139280"/>
    <s v="Classe para Maquinas Implementos  Agricola Fz St Expedito"/>
    <s v="SEM PLACA"/>
    <s v="PRCY6127CMPD03339"/>
    <x v="560"/>
    <s v="MAXUM MAQUINAS E EQUIPAMENTOS LTDA"/>
    <s v="02.227.267/0001-41"/>
    <d v="2022-11-18T00:00:00"/>
    <n v="1100000"/>
    <s v="OK"/>
    <s v="SANTA LUCIA"/>
  </r>
  <r>
    <s v="PLA-012"/>
    <s v="IS000749"/>
    <m/>
    <n v="139278"/>
    <s v="Classe para Maquinas Implementos  Agricola Fz St Expedito"/>
    <s v="SEM PLACA"/>
    <s v="PRCY6127PNPD03555"/>
    <x v="560"/>
    <s v="MAXUM MAQUINAS E EQUIPAMENTOS LTDA"/>
    <s v="02.227.267/0001-41"/>
    <d v="2022-11-18T00:00:00"/>
    <n v="1100000"/>
    <s v="OK"/>
    <s v="JATOBA"/>
  </r>
  <r>
    <s v="PUL-013"/>
    <s v="IS000750"/>
    <m/>
    <n v="139285"/>
    <s v="Classe para Maq. Imp Agricola"/>
    <s v="SEM PLACA"/>
    <s v="PRCYP350JNPC05816"/>
    <x v="246"/>
    <s v="MAXUM MAQUINAS E EQUIPAMENTOS LTDA"/>
    <s v="02.227.267/0001-41"/>
    <d v="2022-10-04T00:00:00"/>
    <n v="1500000"/>
    <s v="OK"/>
    <s v="JATOBA"/>
  </r>
  <r>
    <s v="MVU-130"/>
    <s v="IS000751"/>
    <m/>
    <n v="220849"/>
    <s v="Classe para Moveis e Utensilios Fz Grande Leste"/>
    <s v="SEM PLACA"/>
    <s v="SEM CHASSI"/>
    <x v="549"/>
    <s v="CATRAL REFRIGERACAO E ELETRODOMESTICOS LTDA"/>
    <s v="02.375.921/0011-36"/>
    <d v="2022-11-23T00:00:00"/>
    <n v="2059"/>
    <m/>
    <m/>
  </r>
  <r>
    <s v="MVU-131"/>
    <s v="IS000752"/>
    <m/>
    <n v="220849"/>
    <s v="Classe para Moveis e Utensilios"/>
    <s v="SEM PLACA"/>
    <s v="SEM CHASSI"/>
    <x v="549"/>
    <s v="CATRAL REFRIGERACAO E ELETRODOMESTICOS LTDA"/>
    <s v="02.375.921/0011-36"/>
    <d v="2022-11-23T00:00:00"/>
    <n v="2059"/>
    <m/>
    <m/>
  </r>
  <r>
    <s v="EQU-288"/>
    <s v="IS000753"/>
    <m/>
    <n v="107567"/>
    <s v="Classe para Equip. Diversos Fz Grande Leste"/>
    <s v="SEM PLACA"/>
    <s v="SEM CHASSI"/>
    <x v="561"/>
    <s v="DEUSDETE SOUSA SANTIAGO e CIA LTDA"/>
    <s v="01.966.026/0001-51"/>
    <d v="2022-11-25T00:00:00"/>
    <n v="14917.47"/>
    <s v="OK"/>
    <s v="GRANDE LESTE"/>
  </r>
  <r>
    <s v="EQU-285"/>
    <s v="IS000754"/>
    <m/>
    <n v="7355"/>
    <s v="Classe para Equip. Diversos Fz Santa Lucia"/>
    <s v="SEM PLACA"/>
    <s v="SEM CHASSI"/>
    <x v="562"/>
    <s v="ACOS BRAUNA SISTEMAS DE ARMAZENAGEM LTDA - EPP"/>
    <s v="05.561.070/0001-32"/>
    <d v="2022-11-28T00:00:00"/>
    <n v="2299.8000000000002"/>
    <m/>
    <m/>
  </r>
  <r>
    <s v="EQU-293"/>
    <s v="IS000755"/>
    <m/>
    <n v="12806"/>
    <s v="Classe para Equip. Diversos Ubs Fz Santa lucia"/>
    <s v="SEM PLACA"/>
    <s v="SEM CHASSI"/>
    <x v="563"/>
    <s v="ENSACADEIRA SAT PARANA INDUSTRIA E COMERCIO DE BALANCAS LTDA"/>
    <s v="02.424.358/0001-77"/>
    <d v="2022-11-28T00:00:00"/>
    <n v="94500"/>
    <m/>
    <m/>
  </r>
  <r>
    <s v="EQU-294"/>
    <s v="IS000756"/>
    <m/>
    <n v="12806"/>
    <s v="Classe para Equip. Diversos Ubs Fz Santa lucia"/>
    <s v="SEM PLACA"/>
    <s v="SEM CHASSI"/>
    <x v="564"/>
    <s v="ENSACADEIRA SAT PARANA INDUSTRIA E COMERCIO DE BALANCAS LTDA"/>
    <s v="02.424.358/0001-77"/>
    <d v="2022-11-28T00:00:00"/>
    <n v="109250"/>
    <s v="OK"/>
    <m/>
  </r>
  <r>
    <s v="VEI-059"/>
    <s v="IS000757"/>
    <m/>
    <m/>
    <s v="Classe para Veiculos"/>
    <s v="OSJ8D66"/>
    <s v="9536E7232ER413841"/>
    <x v="565"/>
    <m/>
    <m/>
    <d v="2022-11-28T00:00:00"/>
    <n v="280000"/>
    <s v="OK"/>
    <s v="JATOBA"/>
  </r>
  <r>
    <s v="EQU-276"/>
    <s v="IS000758"/>
    <m/>
    <n v="143"/>
    <s v="Classe para Equip. Oficina Fz Grande Leste"/>
    <s v="SEM PLACA"/>
    <s v="SEM CHASSI"/>
    <x v="566"/>
    <s v="GILMAR AFONSO KOLLN JUNIOR EIRELI"/>
    <s v="38.375.387/0001-33"/>
    <d v="2022-11-29T00:00:00"/>
    <n v="19000"/>
    <s v="OK"/>
    <m/>
  </r>
  <r>
    <s v="EQU-277"/>
    <s v="IS000759"/>
    <m/>
    <n v="145"/>
    <s v="Classe para Equip. Diversos"/>
    <s v="SEM PLACA"/>
    <s v="SEM CHASSI"/>
    <x v="567"/>
    <s v="GILMAR AFONSO KOLLN JUNIOR EIRELI"/>
    <s v="38.375.387/0001-33"/>
    <d v="2022-11-29T00:00:00"/>
    <n v="24000"/>
    <s v="OK"/>
    <s v="JATOBA"/>
  </r>
  <r>
    <s v="EQU-292"/>
    <s v="IS000760"/>
    <m/>
    <n v="612"/>
    <s v="Classe para Equip. UBG - Secagem e Aramazenagem de Graos"/>
    <s v="SEM PLACA"/>
    <s v="SEM CHASSI"/>
    <x v="568"/>
    <s v="JF Com. Parafusos Ferramentas Maquinas Ltda"/>
    <s v="42.215.694/0001-24"/>
    <d v="2022-11-29T00:00:00"/>
    <n v="3998"/>
    <s v="OK"/>
    <s v="GRANDE LESTE"/>
  </r>
  <r>
    <s v="EQU-295"/>
    <s v="IS000761"/>
    <m/>
    <n v="144"/>
    <s v="Classe para Equip. Diversos"/>
    <s v="SEM PLACA"/>
    <s v="SEM CHASSI"/>
    <x v="569"/>
    <s v="GILMAR AFONSO KOLLN JUNIOR EIRELI"/>
    <s v="38.375.387/0001-33"/>
    <d v="2022-11-29T00:00:00"/>
    <n v="6600"/>
    <s v="OK"/>
    <s v="JATOBA"/>
  </r>
  <r>
    <s v="EQI-097"/>
    <s v="IS000762"/>
    <m/>
    <n v="4651603"/>
    <s v="Classe para Informatica e Comunicaçao"/>
    <s v="SEM PLACA"/>
    <s v="SEM CHASSI"/>
    <x v="570"/>
    <s v="DELL COMPUTADORES DO BRASIL LTDA"/>
    <s v="72.381.189/0010-01"/>
    <d v="2022-11-30T00:00:00"/>
    <n v="2538.96"/>
    <m/>
    <m/>
  </r>
  <r>
    <s v="EQI-098"/>
    <s v="IS000763"/>
    <m/>
    <n v="4651603"/>
    <s v="Classe para Informatica e Comunicaçao"/>
    <s v="SEM PLACA"/>
    <s v="SEM CHASSI"/>
    <x v="570"/>
    <s v="DELL COMPUTADORES DO BRASIL LTDA"/>
    <s v="72.381.189/0010-01"/>
    <d v="2022-11-30T00:00:00"/>
    <n v="2538.96"/>
    <m/>
    <m/>
  </r>
  <r>
    <s v="EQI-099"/>
    <s v="IS000764"/>
    <m/>
    <n v="4651603"/>
    <s v="Classe para Informatica e Comunicaçao"/>
    <s v="SEM PLACA"/>
    <s v="SEM CHASSI"/>
    <x v="570"/>
    <s v="DELL COMPUTADORES DO BRASIL LTDA"/>
    <s v="72.381.189/0010-01"/>
    <d v="2022-11-30T00:00:00"/>
    <n v="2538.96"/>
    <m/>
    <m/>
  </r>
  <r>
    <s v="EQI-100"/>
    <s v="IS000765"/>
    <m/>
    <n v="4651603"/>
    <s v="Classe para Informatica e Comunicaçao"/>
    <s v="SEM PLACA"/>
    <s v="SEM CHASSI"/>
    <x v="570"/>
    <s v="DELL COMPUTADORES DO BRASIL LTDA"/>
    <s v="72.381.189/0010-01"/>
    <d v="2022-11-30T00:00:00"/>
    <n v="2538.9499999999998"/>
    <m/>
    <m/>
  </r>
  <r>
    <s v="IMO-051"/>
    <s v="IS000766"/>
    <m/>
    <s v="TERRAS "/>
    <s v="Classe para Terras"/>
    <s v="SEM PLACA"/>
    <s v="SEM CHASSI"/>
    <x v="571"/>
    <m/>
    <m/>
    <d v="2022-11-30T00:00:00"/>
    <n v="9671576.25"/>
    <s v="IMOVEL RURAL E INSTALAÇÕES "/>
    <m/>
  </r>
  <r>
    <s v="IMO-052"/>
    <s v="IS000767"/>
    <m/>
    <s v="TERRAS "/>
    <s v="Classe para Terras"/>
    <s v="SEM PLACA"/>
    <s v="SEM CHASSI"/>
    <x v="572"/>
    <m/>
    <m/>
    <d v="2022-11-30T00:00:00"/>
    <n v="9092495.9499999993"/>
    <s v="IMOVEL RURAL E INSTALAÇÕES "/>
    <m/>
  </r>
  <r>
    <s v="MAQ-016"/>
    <s v="IS000768"/>
    <m/>
    <n v="104357"/>
    <s v="Classe para Maquinas Implementos  Agricola Fz St Expedito"/>
    <s v="SEM PLACA"/>
    <s v="RAJ5DCMJN3129115"/>
    <x v="573"/>
    <s v="TRATORMASTER TRATORES PECAS E SERVICOS LTDA"/>
    <s v="02.745.179/0001-31"/>
    <d v="2022-12-02T00:00:00"/>
    <n v="580000"/>
    <s v="OK"/>
    <s v="SANTO EXPEDITO"/>
  </r>
  <r>
    <s v="IMP-240"/>
    <s v="IS000769"/>
    <m/>
    <n v="19757"/>
    <s v="Classe para Maq. Imp Agricola"/>
    <s v="SEM PLACA"/>
    <n v="1042596"/>
    <x v="388"/>
    <s v="UNICAMPO MAQUINAS E EQUIPAMENTOS AGRICOLAS LTDA"/>
    <s v="13.373.265/0001-87"/>
    <d v="2022-12-07T00:00:00"/>
    <n v="165000"/>
    <s v="OK"/>
    <m/>
  </r>
  <r>
    <s v="EQI-101"/>
    <s v="IS000770"/>
    <m/>
    <n v="8326"/>
    <s v="Classe para Informatica e Comunicaçao Fz Grande Leste"/>
    <s v="SEM PLACA"/>
    <s v="SEM CHASSI"/>
    <x v="574"/>
    <s v="STARLINK BRAZIL SERVICOS DE INTERNET LTDA"/>
    <s v="40.154.884/0002-34"/>
    <d v="2022-12-12T00:00:00"/>
    <n v="2940.19"/>
    <m/>
    <m/>
  </r>
  <r>
    <s v="MVU-129"/>
    <s v="IS000771"/>
    <m/>
    <n v="222168"/>
    <s v="Classe para Moveis e Utensilios Fz Grande Leste"/>
    <s v="SEM PLACA"/>
    <s v="SEM CHASSI"/>
    <x v="549"/>
    <s v="CATRAL REFRIGERACAO E ELETRODOMESTICOS LTDA"/>
    <s v="02.375.921/0011-36"/>
    <d v="2022-12-12T00:00:00"/>
    <n v="1759"/>
    <m/>
    <m/>
  </r>
  <r>
    <s v="MVU-135"/>
    <s v="IS000772"/>
    <m/>
    <n v="20591"/>
    <s v="Classe para Moveis e Utensilios"/>
    <s v="SEM PLACA"/>
    <s v="SEM CHASSI"/>
    <x v="575"/>
    <s v="EXCLUSIVA UTILIDADES E EMBALAGENS LTDA"/>
    <s v="04.023.539/0001-17"/>
    <d v="2022-11-10T00:00:00"/>
    <n v="1701.81"/>
    <m/>
    <m/>
  </r>
  <r>
    <s v="EQU-267"/>
    <s v="IS000773"/>
    <m/>
    <n v="106479"/>
    <s v="Classe para Equip. Diversos"/>
    <s v="SEM PLACA"/>
    <s v="SEM CHASSI"/>
    <x v="576"/>
    <s v="Grimaldi Ind. de Equip. para Transportes Ltda"/>
    <s v="52.771.540/0001-72"/>
    <d v="2022-12-14T00:00:00"/>
    <n v="155000"/>
    <s v="OK"/>
    <m/>
  </r>
  <r>
    <s v="EQU-268"/>
    <s v="IS000774"/>
    <m/>
    <n v="106479"/>
    <s v="Classe para Equip. Diversos"/>
    <s v="SEM PLACA"/>
    <s v="SEM CHASSI"/>
    <x v="577"/>
    <s v="Grimaldi Ind. de Equip. para Transportes Ltda"/>
    <s v="52.771.540/0001-72"/>
    <d v="2022-12-14T00:00:00"/>
    <n v="55000"/>
    <m/>
    <s v="SANTA LUCIA"/>
  </r>
  <r>
    <s v="EQU-271"/>
    <s v="IS000775"/>
    <m/>
    <n v="318"/>
    <s v="Classe para equip. Diversos Fz Santo Expedito"/>
    <s v="SEM PLACA"/>
    <s v="SEM CHASSI"/>
    <x v="578"/>
    <s v="ENERTECS REPARAÇÃO E MANUTENÇÃO DE GERADORES LTDA"/>
    <s v="14.163.391/0001-70"/>
    <d v="2022-12-16T00:00:00"/>
    <n v="145000"/>
    <s v="OK"/>
    <s v="SANTO EXPEDITO"/>
  </r>
  <r>
    <s v="EQU-272"/>
    <s v="IS000776"/>
    <m/>
    <n v="528457"/>
    <s v="Classe para Equip. Diversos"/>
    <s v="SEM PLACA"/>
    <s v="SEM CHASSI"/>
    <x v="579"/>
    <s v="GURGELMIX MAQUINAS E FERRAMENTAS S.A."/>
    <s v="29.302.348/0003-87"/>
    <d v="2022-12-16T00:00:00"/>
    <n v="1332.87"/>
    <m/>
    <m/>
  </r>
  <r>
    <s v="IMP-239"/>
    <s v="IS000777"/>
    <m/>
    <n v="53861"/>
    <s v="Classe para Maq. Imp Agricola"/>
    <s v="SEM PLACA"/>
    <s v="SEM CHASSI"/>
    <x v="580"/>
    <s v="Gascom Equipamentos Industriais Ltda"/>
    <s v="71.324.040/0001-37"/>
    <d v="2022-12-16T00:00:00"/>
    <n v="140000"/>
    <m/>
    <s v="JATOBA"/>
  </r>
  <r>
    <s v="EQU-299"/>
    <s v="IS000778"/>
    <m/>
    <n v="251"/>
    <s v="Classe para equip. Diversos Fz Santo Expedito"/>
    <s v="SEM PLACA"/>
    <s v="SEM CHASSI"/>
    <x v="581"/>
    <s v="MRS AGRO DO BRASIL INDUSTRIA E COM. DE MAQ. AGRICOLAS LTDA"/>
    <s v="20.210.169/0001-83"/>
    <d v="2022-12-19T00:00:00"/>
    <n v="22500"/>
    <m/>
    <m/>
  </r>
  <r>
    <s v="EQU-300"/>
    <s v="IS000779"/>
    <m/>
    <n v="251"/>
    <s v="Classe para Maq. Imp Agricola"/>
    <s v="SEM PLACA"/>
    <s v="SEM CHASSI"/>
    <x v="581"/>
    <s v="MRS AGRO DO BRASIL INDUSTRIA E COM. DE MAQ. AGRICOLAS LTDA"/>
    <s v="20.210.169/0001-83"/>
    <d v="2022-12-19T00:00:00"/>
    <n v="22500"/>
    <m/>
    <m/>
  </r>
  <r>
    <s v="EQU-301"/>
    <s v="IS000780"/>
    <m/>
    <n v="527"/>
    <s v="Classe para Maq. Imp Agricola"/>
    <s v="SEM PLACA"/>
    <s v="SEM CHASSI"/>
    <x v="581"/>
    <s v="MRS AGRO DO BRASIL INDUSTRIA E COM. DE MAQ. AGRICOLAS LTDA"/>
    <s v="20.210.169/0001-83"/>
    <d v="2022-12-19T00:00:00"/>
    <n v="45000"/>
    <m/>
    <m/>
  </r>
  <r>
    <s v="EQU-296"/>
    <s v="IS000781"/>
    <m/>
    <n v="14881"/>
    <s v="Classe para Equip. Diversos Ubs Fz Santa lucia"/>
    <s v="SEM PLACA"/>
    <s v="SEM CHASSI"/>
    <x v="582"/>
    <s v="ZAMPRONIO IND DE CLAS DE SEMENTES LTDA"/>
    <s v="03.603.463/0001-36"/>
    <d v="2022-12-20T00:00:00"/>
    <n v="130000"/>
    <s v="OK"/>
    <s v="SANTO EXPEDITO"/>
  </r>
  <r>
    <s v="EQU-297"/>
    <s v="IS000782"/>
    <m/>
    <n v="14881"/>
    <s v="Classe para Equip. UBG - Secagem e Aramazenagem de Graos"/>
    <s v="SEM PLACA"/>
    <s v="SEM CHASSI"/>
    <x v="583"/>
    <s v="ZAMPRONIO IND DE CLAS DE SEMENTES LTDA"/>
    <s v="03.603.463/0001-36"/>
    <d v="2022-12-20T00:00:00"/>
    <n v="14500"/>
    <s v="OK"/>
    <m/>
  </r>
  <r>
    <s v="EQU-298"/>
    <s v="IS000783"/>
    <m/>
    <n v="14881"/>
    <s v="Classe para Equip. UBG - Secagem e Aramazenagem de Graos"/>
    <s v="SEM PLACA"/>
    <s v="SEM CHASSI"/>
    <x v="584"/>
    <s v="ZAMPRONIO IND DE CLAS DE SEMENTES LTDA"/>
    <s v="03.603.463/0001-36"/>
    <d v="2022-12-20T00:00:00"/>
    <n v="40500"/>
    <s v="OK"/>
    <m/>
  </r>
  <r>
    <s v="IMP-245"/>
    <s v="IS000784"/>
    <m/>
    <n v="21494"/>
    <s v="Classe para Maq. Imp Agricola"/>
    <s v="SEM PLACA"/>
    <s v="SEM CHASSI"/>
    <x v="585"/>
    <s v="UNICAMPO MAQUINAS E EQUIPAMENTOS AGRICOLAS LTDA"/>
    <s v="13.373.265/0001-87"/>
    <d v="2022-12-20T00:00:00"/>
    <n v="37000"/>
    <s v="OK"/>
    <s v="SANTA LUCIA"/>
  </r>
  <r>
    <s v="IMP-246"/>
    <s v="IS000785"/>
    <m/>
    <n v="216"/>
    <s v="Classe para Maq. Imp Agricola"/>
    <s v="SEM PLACA"/>
    <s v="SEM CHASSI"/>
    <x v="586"/>
    <s v="GOMES INDUSTRIA E COMERCIO DE MAQUINAS AGRICOLA LTDA"/>
    <s v="41.994.723/0001-30"/>
    <d v="2022-12-21T00:00:00"/>
    <n v="29000"/>
    <m/>
    <m/>
  </r>
  <r>
    <s v="EQU-303"/>
    <s v="IS000786"/>
    <m/>
    <n v="31016"/>
    <s v="Classe para Maq. Imp Agricola"/>
    <s v="SEM PLACA"/>
    <s v="SEM CHASSI"/>
    <x v="587"/>
    <s v="PINHALENSE S/A MAQUINAS AGRICOLAS"/>
    <s v="54.224.423/0002-03"/>
    <d v="2022-12-22T00:00:00"/>
    <n v="14000"/>
    <s v="OK  "/>
    <s v="SANTO EXPEDITO"/>
  </r>
  <r>
    <s v="EQU-304"/>
    <s v="IS000787"/>
    <m/>
    <n v="20"/>
    <s v="Classe para Maq. Imp Agricola"/>
    <s v="SEM PLACA"/>
    <s v="SEM CHASSI"/>
    <x v="588"/>
    <s v="MAQNEW MAQUINAS E EQUIPAMENTOS LTDA"/>
    <s v="45.511.098/0001-80"/>
    <d v="2022-12-22T00:00:00"/>
    <n v="580000"/>
    <m/>
    <m/>
  </r>
  <r>
    <s v="EQU-305"/>
    <s v="IS000788"/>
    <m/>
    <n v="20"/>
    <s v="Classe para Maq. Imp Agricola"/>
    <s v="SEM PLACA"/>
    <s v="SEM CHASSI"/>
    <x v="589"/>
    <s v="MAQNEW MAQUINAS E EQUIPAMENTOS LTDA"/>
    <s v="45.511.098/0001-80"/>
    <d v="2022-12-22T00:00:00"/>
    <n v="98166.67"/>
    <m/>
    <m/>
  </r>
  <r>
    <s v="EQU-306"/>
    <s v="IS000789"/>
    <m/>
    <n v="20"/>
    <s v="Classe para Equip. Diversos Ubs Fz Santa lucia"/>
    <s v="SEM PLACA"/>
    <s v="SEM CHASSI"/>
    <x v="590"/>
    <s v="MAQNEW MAQUINAS E EQUIPAMENTOS LTDA"/>
    <s v="45.511.098/0001-80"/>
    <d v="2022-12-22T00:00:00"/>
    <n v="130000"/>
    <s v="OK"/>
    <m/>
  </r>
  <r>
    <s v="EQU-291"/>
    <s v="IS000790"/>
    <m/>
    <n v="9735"/>
    <s v="Classe para Equip. UBG - Secagem e Aramazenagem de Graos"/>
    <s v="SEM PLACA"/>
    <s v="SEM CHASSI"/>
    <x v="591"/>
    <s v="EAGRI SUL IND. E COM. DE MAQUINAS E EQUIPAMENTOS LTDA"/>
    <s v="10.584.575/0001-52"/>
    <d v="2022-12-26T00:00:00"/>
    <n v="9000"/>
    <s v="OK"/>
    <s v="SANTA LUCIA"/>
  </r>
  <r>
    <s v="EQI-102"/>
    <s v="IS000791"/>
    <m/>
    <n v="4777813"/>
    <s v="Classe para Informatica e Comunicaçao"/>
    <s v="SEM PLACA"/>
    <s v="SEM CHASSI"/>
    <x v="592"/>
    <s v="DELL COMPUTADORES DO BRASIL LTDA"/>
    <s v="72.381.189/0010-01"/>
    <d v="2022-12-27T00:00:00"/>
    <n v="1899"/>
    <s v="OK"/>
    <s v="ESCRITORIO CENTRAL"/>
  </r>
  <r>
    <s v="VEI-065"/>
    <s v="IS000792"/>
    <m/>
    <n v="112642"/>
    <s v="Classe para Veiculos Fz Grande Leste"/>
    <s v="SEM PLACA"/>
    <s v="9C2KC2500PR022739"/>
    <x v="275"/>
    <s v="LUZ MOTOS, COMERCIO, SERVICOS E PECAS LTDA"/>
    <s v="08.074.058/0002-72"/>
    <d v="2022-12-28T00:00:00"/>
    <n v="15700"/>
    <s v="OK"/>
    <s v="GRANDE LESTE"/>
  </r>
  <r>
    <s v="EQI-091"/>
    <s v="IS000793"/>
    <m/>
    <n v="8112"/>
    <s v="Classe para Informatica e Comunicaçao Fz Grande Leste"/>
    <s v="SEM PLACA"/>
    <s v="SEM CHASSI"/>
    <x v="593"/>
    <s v="MIL PRINT INFORMATICA EIRELI - EPP"/>
    <s v="23.791.227/0001-06"/>
    <d v="2022-12-30T00:00:00"/>
    <n v="2590.9899999999998"/>
    <s v="OK"/>
    <s v="GRANDE LESTE"/>
  </r>
  <r>
    <s v="MVU-140"/>
    <s v="IS000794"/>
    <m/>
    <n v="321584"/>
    <s v="Classe para Moveis e Utensilios Fz Santa Lucia"/>
    <s v="SEM PLACA"/>
    <s v="SEM CHASSI"/>
    <x v="594"/>
    <s v="SATELITAL BRASIL COMERCIO LTDA"/>
    <s v="01.336.140/0006-02"/>
    <d v="2022-12-05T00:00:00"/>
    <n v="8071.53"/>
    <s v="OK"/>
    <m/>
  </r>
  <r>
    <s v="VEI-066"/>
    <s v="IS000795"/>
    <m/>
    <n v="112869"/>
    <s v="Classe para Veiculos Fz Santo Expedito"/>
    <s v="SEM PLACA"/>
    <s v="9C2KC2500PR023495"/>
    <x v="275"/>
    <s v="LUZ MOTOS, COMERCIO, SERVICOS E PECAS LTDA"/>
    <s v="08.074.058/0002-72"/>
    <d v="2022-12-27T00:00:00"/>
    <n v="15700"/>
    <s v="OK"/>
    <s v="SANTO EXPEDITO"/>
  </r>
  <r>
    <s v="MVU-136"/>
    <s v="IS000796"/>
    <m/>
    <n v="7850007"/>
    <s v="Classe para Moveis e Utensilios"/>
    <s v="SEM PLACA"/>
    <s v="SEM CHASSI"/>
    <x v="595"/>
    <s v="EBAZAR COM BR LTDA"/>
    <s v="03.007.331/0010-32"/>
    <d v="2023-01-04T00:00:00"/>
    <n v="1899"/>
    <m/>
    <m/>
  </r>
  <r>
    <s v="EQI-092"/>
    <s v="IS000797"/>
    <m/>
    <n v="16838"/>
    <s v="Classe para Informatica e Comunicaçao"/>
    <s v="SEM PLACA"/>
    <s v="SEM CHASSI"/>
    <x v="596"/>
    <s v="BRUNO HAIDEMANN"/>
    <s v="24.647.630/0001-10"/>
    <d v="2023-01-05T00:00:00"/>
    <n v="1551.9"/>
    <m/>
    <m/>
  </r>
  <r>
    <s v="EQI-115"/>
    <s v="IS000798"/>
    <m/>
    <n v="16836"/>
    <s v="Classe para Informatica e Comunicaçao"/>
    <s v="SEM PLACA"/>
    <s v="SEM CHASSI"/>
    <x v="596"/>
    <s v="BRUNO HAIDEMANN"/>
    <s v="24.647.630/0001-10"/>
    <d v="2023-01-05T00:00:00"/>
    <n v="1551.9"/>
    <m/>
    <m/>
  </r>
  <r>
    <s v="EQU-309"/>
    <s v="IS000799"/>
    <m/>
    <n v="8958"/>
    <s v="Classe para Equip. UBG - Secagem e Aramazenagem de Graos"/>
    <s v="SEM PLACA"/>
    <s v="SEM CHASSI"/>
    <x v="597"/>
    <s v="GLIER E CIA LTDA"/>
    <s v="06.014.974/0002-91"/>
    <d v="2023-01-10T00:00:00"/>
    <n v="3000"/>
    <s v="OK"/>
    <m/>
  </r>
  <r>
    <s v="EQU-310"/>
    <s v="IS000800"/>
    <m/>
    <n v="109658"/>
    <s v="Classe para Equip. Oficina Fz Santa Lucia"/>
    <s v="SEM PLACA"/>
    <s v="SEM CHASSI"/>
    <x v="332"/>
    <s v="DEUSDETE SOUSA SANTIAGO E CIA LTDA"/>
    <s v="01.966.026/0001-51"/>
    <d v="2023-01-10T00:00:00"/>
    <n v="2972.91"/>
    <s v="OK"/>
    <m/>
  </r>
  <r>
    <s v="MVU-134"/>
    <s v="IS000801"/>
    <m/>
    <n v="108"/>
    <s v="Classe para Moveis e Utensilios"/>
    <s v="SEM PLACA"/>
    <s v="SEM CHASSI"/>
    <x v="550"/>
    <s v="HOHL MAQUINAS AGRICOLAS LTDA"/>
    <s v="01.608.488/0021-40"/>
    <d v="2023-01-18T00:00:00"/>
    <n v="1899"/>
    <m/>
    <m/>
  </r>
  <r>
    <s v="MVU-137"/>
    <s v="IS000802"/>
    <m/>
    <n v="3135"/>
    <s v="Classe para Moveis e Utensilios Fz Santa Lucia"/>
    <s v="SEM PLACA"/>
    <s v="SEM CHASSI"/>
    <x v="549"/>
    <s v="CLAUDINO S.A LOJAS DE DEPARTAMENTOS"/>
    <s v="06.862.627/0152-40"/>
    <d v="2023-01-20T00:00:00"/>
    <n v="1948"/>
    <m/>
    <m/>
  </r>
  <r>
    <s v="MVU-138"/>
    <s v="IS000803"/>
    <m/>
    <n v="3135"/>
    <s v="Classe para Moveis e Utensilios Fz Santa Lucia"/>
    <s v="SEM PLACA"/>
    <s v="SEM CHASSI"/>
    <x v="549"/>
    <s v="CLAUDINO S.A LOJAS DE DEPARTAMENTOS"/>
    <s v="06.862.627/0152-40"/>
    <d v="2023-01-20T00:00:00"/>
    <n v="1948"/>
    <m/>
    <m/>
  </r>
  <r>
    <s v="MVU-139"/>
    <s v="IS000804"/>
    <m/>
    <n v="3135"/>
    <s v="Classe para Moveis e Utensilios Fz Santa Lucia"/>
    <s v="SEM PLACA"/>
    <s v="SEM CHASSI"/>
    <x v="549"/>
    <s v="CLAUDINO S.A LOJAS DE DEPARTAMENTOS"/>
    <s v="06.862.627/0152-40"/>
    <d v="2023-01-20T00:00:00"/>
    <n v="1948"/>
    <m/>
    <m/>
  </r>
  <r>
    <s v="EQU-289"/>
    <s v="IS000805"/>
    <m/>
    <n v="134188"/>
    <s v="Classe para Equip. Diversos Ubs Fz Santa lucia"/>
    <s v="SEM PLACA"/>
    <s v="SEM CHASSI"/>
    <x v="598"/>
    <s v="INDUSTRIAS MACHINA ZACCARIA S.A"/>
    <s v="51.466.324/0001-50"/>
    <d v="2023-01-25T00:00:00"/>
    <n v="240000"/>
    <m/>
    <m/>
  </r>
  <r>
    <s v="EQU-290"/>
    <s v="IS000806"/>
    <m/>
    <m/>
    <s v="Classe para Equip. Diversos Fz Grande Leste"/>
    <s v="SEM PLACA"/>
    <s v="SEM CHASSI"/>
    <x v="599"/>
    <m/>
    <m/>
    <m/>
    <n v="0"/>
    <s v="OK"/>
    <m/>
  </r>
  <r>
    <s v="EQU-302"/>
    <s v="IS000807"/>
    <m/>
    <n v="552639"/>
    <s v="Classe para Equip. Oficina Fz Santa Lucia"/>
    <s v="SEM PLACA"/>
    <s v="SEM CHASSI"/>
    <x v="600"/>
    <s v="HOHL MAQUINAS AGRICOLAS LTDA"/>
    <s v="01.608.488/0001-05"/>
    <d v="2023-01-25T00:00:00"/>
    <n v="13486.92"/>
    <s v="OK"/>
    <s v="SANTA LUCIA"/>
  </r>
  <r>
    <s v="MVU-141"/>
    <s v="IS000808"/>
    <m/>
    <n v="3143"/>
    <s v="Classe para Moveis e Utensilios"/>
    <s v="SEM PLACA"/>
    <s v="SEM CHASSI"/>
    <x v="549"/>
    <s v="CLAUDINO S.A LOJAS DE DEPARTAMENTOS"/>
    <s v="06.862.627/0152-40"/>
    <d v="2023-02-03T00:00:00"/>
    <n v="1829"/>
    <m/>
    <m/>
  </r>
  <r>
    <s v="MVU-142"/>
    <s v="IS000809"/>
    <m/>
    <n v="3143"/>
    <s v="Classe para Moveis e Utensilios"/>
    <s v="SEM PLACA"/>
    <s v="SEM CHASSI"/>
    <x v="549"/>
    <s v="CLAUDINO S.A LOJAS DE DEPARTAMENTOS"/>
    <s v="06.862.627/0152-40"/>
    <d v="2023-02-03T00:00:00"/>
    <n v="1829"/>
    <s v="OK"/>
    <s v="JATOBA"/>
  </r>
  <r>
    <s v="MVU-143"/>
    <s v="IS000810"/>
    <m/>
    <n v="3143"/>
    <s v="Classe para Moveis e Utensilios"/>
    <s v="SEM PLACA"/>
    <s v="SEM CHASSI"/>
    <x v="549"/>
    <s v="CLAUDINO S.A LOJAS DE DEPARTAMENTOS"/>
    <s v="06.862.627/0152-40"/>
    <d v="2023-02-03T00:00:00"/>
    <n v="1829"/>
    <m/>
    <m/>
  </r>
  <r>
    <s v="MVU-144"/>
    <s v="IS000811"/>
    <m/>
    <n v="3143"/>
    <s v="Classe para Moveis e Utensilios"/>
    <s v="SEM PLACA"/>
    <s v="SEM CHASSI"/>
    <x v="549"/>
    <s v="CLAUDINO S.A LOJAS DE DEPARTAMENTOS"/>
    <s v="06.862.627/0152-40"/>
    <d v="2023-02-03T00:00:00"/>
    <n v="1829"/>
    <m/>
    <m/>
  </r>
  <r>
    <s v="MVU-145"/>
    <s v="IS000812"/>
    <m/>
    <n v="3143"/>
    <s v="Classe para Moveis e Utensilios"/>
    <s v="SEM PLACA"/>
    <s v="SEM CHASSI"/>
    <x v="549"/>
    <s v="CLAUDINO S.A LOJAS DE DEPARTAMENTOS"/>
    <s v="06.862.627/0152-40"/>
    <d v="2023-02-03T00:00:00"/>
    <n v="1829"/>
    <m/>
    <m/>
  </r>
  <r>
    <s v="EQU-307"/>
    <s v="IS000813"/>
    <m/>
    <n v="124"/>
    <s v="Classe para Equip. Diversos Ubs Fz Santa lucia"/>
    <s v="SEM PLACA"/>
    <s v="SEM CHASSI"/>
    <x v="601"/>
    <s v="ALFIG SOLUCOES TECNOLOGICAS PARA AGROINDUSTRIA EIRELI"/>
    <s v="40.436.681/0001-50"/>
    <d v="2023-02-14T00:00:00"/>
    <n v="1470000"/>
    <s v="OK"/>
    <m/>
  </r>
  <r>
    <s v="PUL-015"/>
    <s v="IS000814"/>
    <m/>
    <n v="22077"/>
    <s v="Classe para Maq. Imp Agricola"/>
    <s v="SEM PLACA"/>
    <s v="SEM CHASSI"/>
    <x v="602"/>
    <s v="UNICAMPO MAQUINAS E EQUIPAMENTOS AGRICOLAS EPP"/>
    <s v="13.373.265/0001-87"/>
    <d v="2023-02-16T00:00:00"/>
    <n v="37000"/>
    <s v="OK"/>
    <s v="SANTO EXPEDITO"/>
  </r>
  <r>
    <s v="EQU-311"/>
    <s v="IS000815"/>
    <m/>
    <n v="29837"/>
    <s v="Classe para Equip. Diversos"/>
    <s v="SEM PLACA"/>
    <s v="SEM CHASSI"/>
    <x v="603"/>
    <s v="KSMR5.COM DIGITAL LTDA"/>
    <s v="38.089.670/0002-80"/>
    <d v="2023-02-22T00:00:00"/>
    <n v="2037.07"/>
    <m/>
    <m/>
  </r>
  <r>
    <s v="MVU-146"/>
    <s v="IS000816"/>
    <m/>
    <n v="3148"/>
    <s v="Classe para Moveis e Utensilios Fz Santa Lucia"/>
    <s v="SEM PLACA"/>
    <s v="SEM CHASSI"/>
    <x v="549"/>
    <s v="CLAUDINO S.A LOJAS DE DEPARTAMENTOS"/>
    <s v="06.862.627/0152-40"/>
    <d v="2023-02-22T00:00:00"/>
    <n v="2001"/>
    <m/>
    <m/>
  </r>
  <r>
    <s v="MVU-147"/>
    <s v="IS000817"/>
    <m/>
    <n v="3148"/>
    <s v="Classe para Moveis e Utensilios Fz Santa Lucia"/>
    <s v="SEM PLACA"/>
    <s v="SEM CHASSI"/>
    <x v="604"/>
    <s v="CLAUDINO S.A LOJAS DE DEPARTAMENTOS"/>
    <s v="06.862.627/0152-40"/>
    <d v="2023-02-22T00:00:00"/>
    <n v="3328"/>
    <m/>
    <m/>
  </r>
  <r>
    <s v="EQU-313"/>
    <s v="IS000818"/>
    <m/>
    <n v="641"/>
    <s v="Classe para equip. Diversos Fz Santo Expedito"/>
    <s v="SEM PLACA"/>
    <s v="SEM CHASSI"/>
    <x v="422"/>
    <s v="GLOBAL COMERCIO ELETRONICO LTDA"/>
    <s v="10.955.448/0001-12"/>
    <d v="2023-03-06T00:00:00"/>
    <n v="1703"/>
    <m/>
    <m/>
  </r>
  <r>
    <s v="EQU-316"/>
    <s v="IS000819"/>
    <m/>
    <n v="43649"/>
    <s v="Classe para Equip. Diversos"/>
    <s v="SEM PLACA"/>
    <s v="SEM CHASSI"/>
    <x v="605"/>
    <s v="FACCHINI S.A"/>
    <s v="03.509.978/0026-20"/>
    <d v="2023-03-07T00:00:00"/>
    <n v="41500"/>
    <m/>
    <m/>
  </r>
  <r>
    <s v="EQU-314"/>
    <s v="IS000820"/>
    <m/>
    <n v="11644"/>
    <s v="Classe para Equip. Diversos"/>
    <s v="SEM PLACA"/>
    <s v="SEM CHASSI"/>
    <x v="469"/>
    <s v="ANDREATI E ZARAMELLO LTDA"/>
    <s v="21.977.034/0002-91"/>
    <d v="2023-03-09T00:00:00"/>
    <n v="5900"/>
    <s v="OK"/>
    <s v="JATOBA"/>
  </r>
  <r>
    <s v="EQU-315"/>
    <s v="IS000821"/>
    <m/>
    <n v="11644"/>
    <s v="Classe para Equip. Diversos"/>
    <s v="SEM PLACA"/>
    <s v="SEM CHASSI"/>
    <x v="469"/>
    <s v="ANDREATI E ZARAMELLO LTDA"/>
    <s v="21.977.034/0002-91"/>
    <d v="2023-03-09T00:00:00"/>
    <n v="5900"/>
    <s v="OK"/>
    <s v="JATOBA"/>
  </r>
  <r>
    <s v="PUL-016"/>
    <s v="IS000822"/>
    <m/>
    <n v="3651"/>
    <s v="Classe para Maquinas Implementos  Agricola Fz St Expedito"/>
    <s v="SEM PLACA"/>
    <s v="HEM-CC11953"/>
    <x v="359"/>
    <s v="CAMPOESTE MAQUINAS BAHIA ROSARIO LTDA"/>
    <s v="40.355.474/0001-70"/>
    <d v="2023-03-20T00:00:00"/>
    <n v="1750000"/>
    <s v="OK"/>
    <s v="SANTA LUCIA"/>
  </r>
  <r>
    <s v="EQU-317"/>
    <s v="IS000823"/>
    <m/>
    <n v="1360"/>
    <s v="Classe para Equip. Diversos"/>
    <s v="SEM PLACA"/>
    <s v="SEM CHASSI"/>
    <x v="127"/>
    <s v="A FERRAMENTARIA COM E REPRE DE MAQUINAS E FERRAMENTAS LTDA"/>
    <s v="38.925.602/0001-22"/>
    <d v="2023-04-05T00:00:00"/>
    <n v="1559"/>
    <s v="OK"/>
    <s v="JATOBA"/>
  </r>
  <r>
    <s v="EQU-318"/>
    <s v="IS000824"/>
    <m/>
    <n v="1360"/>
    <s v="Classe para Equip. Diversos"/>
    <s v="SEM PLACA"/>
    <s v="SEM CHASSI"/>
    <x v="127"/>
    <s v="A FERRAMENTARIA COM E REPRE DE MAQUINAS E FERRAMENTAS LTDA"/>
    <s v="38.925.602/0001-22"/>
    <d v="2023-04-05T00:00:00"/>
    <n v="1559"/>
    <s v="OK"/>
    <s v="JATOBA"/>
  </r>
  <r>
    <s v="MVU-148"/>
    <s v="IS000825"/>
    <m/>
    <n v="545"/>
    <s v="Classe para Moveis e Utensilios"/>
    <s v="SEM PLACA"/>
    <s v="SEM CHASSI"/>
    <x v="606"/>
    <s v="OFFICE BRASIL MOVEIS PARA ESCRITORIO LTDA"/>
    <s v="47.315.188/0001-20"/>
    <d v="2023-04-05T00:00:00"/>
    <n v="2310"/>
    <m/>
    <m/>
  </r>
  <r>
    <s v="EQU-320"/>
    <s v="IS000826"/>
    <m/>
    <n v="1368"/>
    <s v="Classe para Equip. Diversos"/>
    <s v="SEM PLACA"/>
    <s v="SEM CHASSI"/>
    <x v="332"/>
    <s v="A FERRAMENTARIA COM E REPRE DE MAQUINAS E FERRAMENTAS LTDA"/>
    <s v="38.925.602/0001-22"/>
    <d v="2023-04-10T00:00:00"/>
    <n v="3169.99"/>
    <m/>
    <m/>
  </r>
  <r>
    <s v="IS000827"/>
    <s v="IS000827"/>
    <m/>
    <s v="IMOVEIS"/>
    <s v="Classe para Imoveis Santa Lucia"/>
    <s v="SEM PLACA"/>
    <s v="SEM CHASSI"/>
    <x v="607"/>
    <m/>
    <m/>
    <d v="2024-09-30T00:00:00"/>
    <n v="6389074.1100000003"/>
    <s v="IMOVEL RURAL E INSTALAÇÕES "/>
    <s v="SANTA LUCIA"/>
  </r>
  <r>
    <s v="EQU-327"/>
    <s v="IS000828"/>
    <m/>
    <n v="145024"/>
    <s v="Classe para Equip. Oficina Fz Santa Lucia"/>
    <s v="SEM PLACA"/>
    <s v="SEM CHASSI"/>
    <x v="608"/>
    <s v="LEM COMERCIO DE EPIS LTDA"/>
    <s v="13.168.084/0001-19"/>
    <d v="2023-04-26T00:00:00"/>
    <n v="9016.8799999999992"/>
    <s v="OK"/>
    <m/>
  </r>
  <r>
    <s v="EQU-340"/>
    <s v="IS000829"/>
    <m/>
    <n v="145285"/>
    <s v="Classe para Equip. Oficina Fz Jatoba"/>
    <s v="SEM PLACA"/>
    <s v="SEM CHASSI"/>
    <x v="609"/>
    <s v="LEM COMERCIO DE EPIS LTDA"/>
    <s v="13.168.084/0001-19"/>
    <d v="2023-05-02T00:00:00"/>
    <n v="1560.33"/>
    <m/>
    <m/>
  </r>
  <r>
    <s v="EQU-323"/>
    <s v="IS000830"/>
    <m/>
    <n v="845787"/>
    <s v="Classe para Equip. Oficina Fz Jatoba"/>
    <s v="SEM PLACA"/>
    <s v="SEM CHASSI"/>
    <x v="610"/>
    <s v="IMPERIAL COM DE PARAFUSOS FERRAMENTAS E MAQUINAS LTDA"/>
    <s v="01.716.186/0001-42"/>
    <d v="2023-05-05T00:00:00"/>
    <n v="12998"/>
    <m/>
    <m/>
  </r>
  <r>
    <s v="EQU-325"/>
    <s v="IS000831"/>
    <m/>
    <n v="145650"/>
    <s v="Classe para Equip. Oficina Fz Jatoba"/>
    <s v="SEM PLACA"/>
    <s v="SEM CHASSI"/>
    <x v="611"/>
    <s v="LEM COMERCIO DE EPIS LTDA"/>
    <s v="13.168.084/0001-19"/>
    <d v="2023-05-05T00:00:00"/>
    <n v="17640"/>
    <s v="OK"/>
    <s v="JATOBA"/>
  </r>
  <r>
    <s v="EQU-362"/>
    <s v="IS000832"/>
    <m/>
    <n v="881"/>
    <s v="Classe para Equip. Diversos Fz Grande Leste"/>
    <s v="SEM PLACA"/>
    <s v="SEM CHASSI"/>
    <x v="612"/>
    <s v="JF COMERCIO DE PARAFUSOS FERRAMENTAS E MAQUINAS LTDA"/>
    <s v="42.215.694/0001-24"/>
    <d v="2023-05-05T00:00:00"/>
    <n v="4960"/>
    <m/>
    <m/>
  </r>
  <r>
    <s v="MVU-150"/>
    <s v="IS000833"/>
    <m/>
    <n v="546"/>
    <s v="Classe para Moveis e Utensilios Fz Santa Lucia"/>
    <s v="SEM PLACA"/>
    <s v="SEM CHASSI"/>
    <x v="613"/>
    <s v="CLAUDENE RODRIGUES LOPES"/>
    <s v="29.752.681/0001-26"/>
    <d v="2023-05-08T00:00:00"/>
    <n v="1430"/>
    <m/>
    <m/>
  </r>
  <r>
    <s v="MVU-149"/>
    <s v="IS000834"/>
    <m/>
    <n v="3433"/>
    <s v="Classe para Moveis e Utensilios Fz Santa Lucia"/>
    <s v="SEM PLACA"/>
    <s v="SEM CHASSI"/>
    <x v="614"/>
    <s v="HOHL MAQUINAS AGRICOLAS LTDA"/>
    <s v="01.608.488/0001-05"/>
    <d v="2023-05-11T00:00:00"/>
    <n v="2799"/>
    <s v="OK"/>
    <m/>
  </r>
  <r>
    <s v="MVU-151"/>
    <s v="IS000835"/>
    <m/>
    <n v="3433"/>
    <s v="Classe para Moveis e Utensilios Fz Santa Lucia"/>
    <s v="SEM PLACA"/>
    <s v="SEM CHASSI"/>
    <x v="615"/>
    <s v="HOHL MAQUINAS AGRICOLAS LTDA"/>
    <s v="01.608.488/0001-05"/>
    <d v="2023-05-11T00:00:00"/>
    <n v="6000"/>
    <m/>
    <m/>
  </r>
  <r>
    <s v="MVU-152"/>
    <s v="IS000836"/>
    <m/>
    <n v="3433"/>
    <s v="Classe para Moveis e Utensilios Fz Santa Lucia"/>
    <s v="SEM PLACA"/>
    <s v="SEM CHASSI"/>
    <x v="616"/>
    <s v="HOHL MAQUINAS AGRICOLAS LTDA"/>
    <s v="01.608.488/0001-05"/>
    <d v="2023-05-11T00:00:00"/>
    <n v="10000"/>
    <m/>
    <m/>
  </r>
  <r>
    <s v="MVU-153"/>
    <s v="IS000837"/>
    <m/>
    <n v="3433"/>
    <s v="Classe para Moveis e Utensilios Fz Santa Lucia"/>
    <s v="SEM PLACA"/>
    <s v="SEM CHASSI"/>
    <x v="617"/>
    <s v="HOHL MAQUINAS AGRICOLAS LTDA"/>
    <s v="01.608.488/0001-05"/>
    <d v="2023-05-11T00:00:00"/>
    <n v="5000"/>
    <m/>
    <m/>
  </r>
  <r>
    <s v="IMP-247"/>
    <s v="IS000838"/>
    <m/>
    <n v="4078"/>
    <s v="Classe para Maquinas Implementos  Agricola Fz Jatoba"/>
    <s v="SEM PLACA"/>
    <s v="CFFL230313"/>
    <x v="618"/>
    <s v="MORI INDUSTRIA E COMERCIO DE IMPLEMENTOS AGRICOLAS LTDA"/>
    <s v="04.799.096/0001-50"/>
    <d v="2023-05-15T00:00:00"/>
    <n v="253000"/>
    <s v="OK"/>
    <s v="JATOBA"/>
  </r>
  <r>
    <s v="MVU-171"/>
    <s v="IS000839"/>
    <m/>
    <n v="2689"/>
    <s v="Classe para Moveis e Utensilios Fz Jatoba"/>
    <s v="SEM PLACA"/>
    <s v="SEM CHASSI"/>
    <x v="619"/>
    <s v="HOHL MAQUINAS AGRICOLAS LTDA"/>
    <s v="01.608.488/0001-05"/>
    <d v="2023-05-15T00:00:00"/>
    <n v="3636"/>
    <s v="OK"/>
    <s v="GRANDE LESTE"/>
  </r>
  <r>
    <s v="MVU-172"/>
    <s v="IS000840"/>
    <m/>
    <n v="199251"/>
    <s v="Classe para Moveis e Utensilios Fz Santa Lucia"/>
    <s v="SEM PLACA"/>
    <s v="SEM CHASSI"/>
    <x v="620"/>
    <s v="MAGAZINE LUIZA S.A"/>
    <s v="47.960.950/0765-35"/>
    <d v="2023-05-15T00:00:00"/>
    <n v="3785.86"/>
    <m/>
    <m/>
  </r>
  <r>
    <s v="VEI-069"/>
    <s v="IS000841"/>
    <m/>
    <n v="195890"/>
    <s v="Classe para Veiculos Fz Santo Expedito"/>
    <s v="SEM PLACA"/>
    <s v="9C2ME1335PR307260"/>
    <x v="621"/>
    <s v="LUZ MOTOS COMERCIO SERVICOS E PECAS LTDA"/>
    <s v="08.074.058/0001-91"/>
    <d v="2023-05-23T00:00:00"/>
    <n v="24000"/>
    <s v="OK"/>
    <s v="JATOBA"/>
  </r>
  <r>
    <s v="VEI-068"/>
    <s v="IS000842"/>
    <m/>
    <n v="115705"/>
    <s v="Classe para Veiculos Fz Santo Expedito"/>
    <s v="SEM PLACA"/>
    <s v="9C2ME1331PR306896"/>
    <x v="621"/>
    <s v="LUZ MOTOS COMERCIO SERVICOS E PECAS LTDA"/>
    <s v="08.074.058/0001-72"/>
    <d v="2023-05-24T00:00:00"/>
    <n v="24000"/>
    <s v="OK"/>
    <s v="SANTO EXPEDITO"/>
  </r>
  <r>
    <s v="MVU-154"/>
    <s v="IS000843"/>
    <m/>
    <n v="232138"/>
    <s v="Classe para Moveis e Utensilios Fz Jatoba"/>
    <s v="SEM PLACA"/>
    <s v="SEM CHASSI"/>
    <x v="622"/>
    <s v="CATRAL REFRIGERACAO E ELETRODOMESTICOS LTDA"/>
    <s v="02.375.921/0011-36"/>
    <d v="2023-05-25T00:00:00"/>
    <n v="3474.48"/>
    <s v="OK"/>
    <s v="JATOBA"/>
  </r>
  <r>
    <s v="MVU-169"/>
    <s v="IS000844"/>
    <m/>
    <n v="4305"/>
    <s v="Classe para Moveis e Utensilios Fz Santa Lucia"/>
    <s v="SEM PLACA"/>
    <s v="SEM CHASSI"/>
    <x v="549"/>
    <s v="CLAUDINO S.A LOJAS DE DEPARTAMENTOS"/>
    <s v="06.862.627/0152-40"/>
    <d v="2023-05-25T00:00:00"/>
    <n v="1699"/>
    <s v="OK"/>
    <m/>
  </r>
  <r>
    <s v="MVU-170"/>
    <s v="IS000845"/>
    <m/>
    <n v="4305"/>
    <s v="Classe para Moveis e Utensilios Fz Santa Lucia"/>
    <s v="SEM PLACA"/>
    <s v="SEM CHASSI"/>
    <x v="550"/>
    <s v="CLAUDINO S.A LOJAS DE DEPARTAMENTOS"/>
    <s v="06.862.627/0152-40"/>
    <d v="2023-05-25T00:00:00"/>
    <n v="1899"/>
    <m/>
    <m/>
  </r>
  <r>
    <s v="MVU-155"/>
    <s v="IS000846"/>
    <m/>
    <n v="3201"/>
    <s v="Classe para Moveis e Utensilios Fz Santa Lucia"/>
    <s v="SEM PLACA"/>
    <s v="SEM CHASSI"/>
    <x v="549"/>
    <s v="CLAUDINO S.A LOJAS DE DEPARTAMENTOS"/>
    <s v="06.862.627/0152-40"/>
    <d v="2023-05-26T00:00:00"/>
    <n v="1938"/>
    <m/>
    <m/>
  </r>
  <r>
    <s v="MVU-156"/>
    <s v="IS000847"/>
    <m/>
    <n v="3201"/>
    <s v="Classe para Moveis e Utensilios Fz Santa Lucia"/>
    <s v="SEM PLACA"/>
    <s v="SEM CHASSI"/>
    <x v="549"/>
    <s v="CLAUDINO S.A LOJAS DE DEPARTAMENTOS"/>
    <s v="06.862.627/0152-40"/>
    <d v="2023-05-26T00:00:00"/>
    <n v="1938"/>
    <m/>
    <m/>
  </r>
  <r>
    <s v="MVU-157"/>
    <s v="IS000848"/>
    <m/>
    <n v="3201"/>
    <s v="Classe para Moveis e Utensilios Fz Santa Lucia"/>
    <s v="SEM PLACA"/>
    <s v="SEM CHASSI"/>
    <x v="549"/>
    <s v="CLAUDINO S.A LOJAS DE DEPARTAMENTOS"/>
    <s v="06.862.627/0152-40"/>
    <d v="2023-05-26T00:00:00"/>
    <n v="1938"/>
    <m/>
    <m/>
  </r>
  <r>
    <s v="MVU-158"/>
    <s v="IS000849"/>
    <m/>
    <n v="3201"/>
    <s v="Classe para Moveis e Utensilios Fz Santa Lucia"/>
    <s v="SEM PLACA"/>
    <s v="SEM CHASSI"/>
    <x v="549"/>
    <s v="CLAUDINO S.A LOJAS DE DEPARTAMENTOS"/>
    <s v="06.862.627/0152-40"/>
    <d v="2023-05-26T00:00:00"/>
    <n v="1938"/>
    <m/>
    <m/>
  </r>
  <r>
    <s v="MVU-159"/>
    <s v="IS000850"/>
    <m/>
    <n v="3201"/>
    <s v="Classe para Moveis e Utensilios Fz Santa Lucia"/>
    <s v="SEM PLACA"/>
    <s v="SEM CHASSI"/>
    <x v="549"/>
    <s v="CLAUDINO S.A LOJAS DE DEPARTAMENTOS"/>
    <s v="06.862.627/0152-40"/>
    <d v="2023-05-26T00:00:00"/>
    <n v="1938"/>
    <m/>
    <m/>
  </r>
  <r>
    <s v="MVU-160"/>
    <s v="IS000851"/>
    <m/>
    <n v="3201"/>
    <s v="Classe para Moveis e Utensilios Fz Santa Lucia"/>
    <s v="SEM PLACA"/>
    <s v="SEM CHASSI"/>
    <x v="549"/>
    <s v="CLAUDINO S.A LOJAS DE DEPARTAMENTOS"/>
    <s v="06.862.627/0152-40"/>
    <d v="2023-05-26T00:00:00"/>
    <n v="1938"/>
    <m/>
    <m/>
  </r>
  <r>
    <s v="MVU-161"/>
    <s v="IS000852"/>
    <m/>
    <n v="3201"/>
    <s v="Classe para Moveis e Utensilios Fz Santa Lucia"/>
    <s v="SEM PLACA"/>
    <s v="SEM CHASSI"/>
    <x v="549"/>
    <s v="CLAUDINO S.A LOJAS DE DEPARTAMENTOS"/>
    <s v="06.862.627/0152-40"/>
    <d v="2023-05-26T00:00:00"/>
    <n v="1938"/>
    <m/>
    <m/>
  </r>
  <r>
    <s v="MVU-162"/>
    <s v="IS000853"/>
    <m/>
    <n v="3201"/>
    <s v="Classe para Moveis e Utensilios Fz Santa Lucia"/>
    <s v="SEM PLACA"/>
    <s v="SEM CHASSI"/>
    <x v="549"/>
    <s v="CLAUDINO S.A LOJAS DE DEPARTAMENTOS"/>
    <s v="06.862.627/0152-40"/>
    <d v="2023-05-26T00:00:00"/>
    <n v="1938"/>
    <m/>
    <m/>
  </r>
  <r>
    <s v="MVU-163"/>
    <s v="IS000854"/>
    <m/>
    <n v="3201"/>
    <s v="Classe para Moveis e Utensilios Fz Santa Lucia"/>
    <s v="SEM PLACA"/>
    <s v="SEM CHASSI"/>
    <x v="549"/>
    <s v="CLAUDINO S.A LOJAS DE DEPARTAMENTOS"/>
    <s v="06.862.627/0152-40"/>
    <d v="2023-05-26T00:00:00"/>
    <n v="1938"/>
    <m/>
    <m/>
  </r>
  <r>
    <s v="MVU-164"/>
    <s v="IS000855"/>
    <m/>
    <n v="3201"/>
    <s v="Classe para Moveis e Utensilios Fz Santa Lucia"/>
    <s v="SEM PLACA"/>
    <s v="SEM CHASSI"/>
    <x v="549"/>
    <s v="CLAUDINO S.A LOJAS DE DEPARTAMENTOS"/>
    <s v="06.862.627/0152-40"/>
    <d v="2023-05-26T00:00:00"/>
    <n v="1938"/>
    <m/>
    <m/>
  </r>
  <r>
    <s v="MVU-165"/>
    <s v="IS000856"/>
    <m/>
    <n v="3201"/>
    <s v="Classe para Moveis e Utensilios Fz Santa Lucia"/>
    <s v="SEM PLACA"/>
    <s v="SEM CHASSI"/>
    <x v="549"/>
    <s v="CLAUDINO S.A LOJAS DE DEPARTAMENTOS"/>
    <s v="06.862.627/0152-40"/>
    <d v="2023-05-26T00:00:00"/>
    <n v="1938"/>
    <m/>
    <m/>
  </r>
  <r>
    <s v="MVU-166"/>
    <s v="IS000857"/>
    <m/>
    <n v="3201"/>
    <s v="Classe para Moveis e Utensilios Fz Santa Lucia"/>
    <s v="SEM PLACA"/>
    <s v="SEM CHASSI"/>
    <x v="549"/>
    <s v="CLAUDINO S.A LOJAS DE DEPARTAMENTOS"/>
    <s v="06.862.627/0152-40"/>
    <d v="2023-05-26T00:00:00"/>
    <n v="1938"/>
    <m/>
    <s v="SANTA LUCIA"/>
  </r>
  <r>
    <s v="MVU-167"/>
    <s v="IS000858"/>
    <m/>
    <n v="3201"/>
    <s v="Classe para Moveis e Utensilios Fz Santa Lucia"/>
    <s v="SEM PLACA"/>
    <s v="SEM CHASSI"/>
    <x v="549"/>
    <s v="CLAUDINO S.A LOJAS DE DEPARTAMENTOS"/>
    <s v="06.862.627/0152-40"/>
    <d v="2023-05-26T00:00:00"/>
    <n v="1938"/>
    <m/>
    <s v="SANTA LUCIA"/>
  </r>
  <r>
    <s v="MVU-168"/>
    <s v="IS000859"/>
    <m/>
    <n v="3201"/>
    <s v="Classe para Moveis e Utensilios Fz Santa Lucia"/>
    <s v="SEM PLACA"/>
    <s v="SEM CHASSI"/>
    <x v="549"/>
    <s v="CLAUDINO S.A LOJAS DE DEPARTAMENTOS"/>
    <s v="06.862.627/0152-40"/>
    <d v="2023-05-26T00:00:00"/>
    <n v="1938"/>
    <m/>
    <m/>
  </r>
  <r>
    <s v="EQU-344"/>
    <s v="IS000860"/>
    <m/>
    <n v="874"/>
    <s v="Classe para Equip. Oficina Fz Grande Leste"/>
    <s v="SEM PLACA"/>
    <s v="SEM CHASSI"/>
    <x v="623"/>
    <s v="JF COMERCIO DE PARAFUSOS FERRAMENTAS E MAQUINAS LTDA"/>
    <s v="42.215.694/0001-24"/>
    <d v="2023-05-29T00:00:00"/>
    <n v="5670"/>
    <s v="OK"/>
    <s v="GRANDE LESTE"/>
  </r>
  <r>
    <s v="MVU-173"/>
    <s v="IS000861"/>
    <m/>
    <n v="3216"/>
    <s v="Classe para Moveis e Utensilios Fz Grande Leste"/>
    <s v="SEM PLACA"/>
    <s v="SEM CHASSI"/>
    <x v="624"/>
    <s v="CLAUDINO S.A LOJAS DE DEPARTAMENTOS"/>
    <s v="06.862.627/0152-40"/>
    <d v="2023-06-05T00:00:00"/>
    <n v="2179"/>
    <m/>
    <m/>
  </r>
  <r>
    <s v="MVU-174"/>
    <s v="IS000862"/>
    <m/>
    <n v="3216"/>
    <s v="Classe para Moveis e Utensilios Fz Grande Leste"/>
    <s v="SEM PLACA"/>
    <s v="SEM CHASSI"/>
    <x v="625"/>
    <s v="CLAUDINO S.A LOJAS DE DEPARTAMENTOS"/>
    <s v="06.862.627/0152-40"/>
    <d v="2023-06-05T00:00:00"/>
    <n v="2259"/>
    <m/>
    <m/>
  </r>
  <r>
    <s v="EQU-343"/>
    <s v="IS000863"/>
    <m/>
    <n v="116922"/>
    <s v="Classe para Equip. Oficina Fz Jatoba"/>
    <s v="SEM PLACA"/>
    <s v="SEM CHASSI"/>
    <x v="626"/>
    <s v="DEUSDETE SOUSA SANTIAGO E CIA LTDA"/>
    <s v="01.966.026/0001-51"/>
    <d v="2023-06-09T00:00:00"/>
    <n v="1627.1"/>
    <m/>
    <m/>
  </r>
  <r>
    <s v="IS000864"/>
    <s v="IS000864"/>
    <m/>
    <n v="6352"/>
    <s v="Classe para Equip. Oficina Santa Lucia"/>
    <s v="SEM PLACA"/>
    <s v="SEM CHASSI"/>
    <x v="627"/>
    <s v="POC INDUSTRIA E COMERCIO DE FILTROS EIRELI"/>
    <s v="14.752.633/0001-60"/>
    <d v="2025-09-25T00:00:00"/>
    <n v="18000"/>
    <m/>
    <s v="SANTA LUCIA"/>
  </r>
  <r>
    <s v="EQU-321"/>
    <s v="IS000865"/>
    <m/>
    <n v="2120"/>
    <s v="Classe para Equip. Diversos"/>
    <s v="SEM PLACA"/>
    <s v="SEM CHASSI"/>
    <x v="628"/>
    <s v="HOHL MAQUINAS AGRICOLAS LTDA"/>
    <s v="01.608.488/0001-05"/>
    <d v="2023-06-22T00:00:00"/>
    <n v="2285.1"/>
    <m/>
    <m/>
  </r>
  <r>
    <s v="EQU-322"/>
    <s v="IS000866"/>
    <m/>
    <n v="6674"/>
    <s v="Classe para Equip. Diversos Ubs Fz Santa lucia"/>
    <s v="SEM PLACA"/>
    <s v="SEM CHASSI"/>
    <x v="629"/>
    <s v="BIOCENTRIX MATERIAIS PARA LABORATORIOS LTDA"/>
    <s v="28.594.918/0001-25"/>
    <d v="2023-06-22T00:00:00"/>
    <n v="5019.17"/>
    <s v="OK"/>
    <s v="SANTA LUCIA"/>
  </r>
  <r>
    <s v="EQU-326"/>
    <s v="IS000867"/>
    <m/>
    <n v="5605"/>
    <s v="Classe para Equip. Diversos Ubs Fz Santa lucia"/>
    <s v="SEM PLACA"/>
    <s v="SEM CHASSI"/>
    <x v="630"/>
    <s v="CAMPOESTE MAQUINAS BAHIA ROSARIO LTDA"/>
    <s v="40.355.474/0001-70"/>
    <d v="2023-06-22T00:00:00"/>
    <n v="12665"/>
    <m/>
    <m/>
  </r>
  <r>
    <s v="EQU-338"/>
    <s v="IS000868"/>
    <m/>
    <m/>
    <s v="Classe para Equip. Diversos Fz Santa Lucia"/>
    <s v="SEM PLACA"/>
    <s v="SEM CHASSI"/>
    <x v="631"/>
    <m/>
    <m/>
    <m/>
    <n v="55000"/>
    <s v="OK"/>
    <m/>
  </r>
  <r>
    <s v="EQU-339"/>
    <s v="IS000869"/>
    <m/>
    <n v="5605"/>
    <s v="Classe para Equip. UBG - Secagem e Aramazenagem de Graos"/>
    <s v="SEM PLACA"/>
    <s v="SEM CHASSI"/>
    <x v="630"/>
    <s v="CAMPOESTE MAQUINAS BAHIA ROSARIO LTDA"/>
    <s v="40.355.474/0001-70"/>
    <d v="2023-06-22T00:00:00"/>
    <n v="12665"/>
    <m/>
    <m/>
  </r>
  <r>
    <s v="IS000870"/>
    <s v="IS000870"/>
    <m/>
    <m/>
    <s v="Classe para Maquinas Implementos  Agricola Fz Jatoba"/>
    <s v="SEM PLACA"/>
    <s v="SEM CHASSI"/>
    <x v="632"/>
    <m/>
    <m/>
    <m/>
    <n v="152500"/>
    <m/>
    <s v="GRANDE LESTE"/>
  </r>
  <r>
    <s v="VEI-067"/>
    <s v="IS000871"/>
    <m/>
    <n v="207765"/>
    <s v="Classe para Veiculos Fz Santa Lucia"/>
    <s v="SEM PLACA"/>
    <s v="9C2TE4300PR001283"/>
    <x v="633"/>
    <s v="JAIC COMERCIO E IMPORTACAO DE MOTOS LIMITADA"/>
    <s v="65.797.730/0001-00"/>
    <d v="2023-06-22T00:00:00"/>
    <n v="53500"/>
    <s v="OK"/>
    <m/>
  </r>
  <r>
    <s v="IS000872"/>
    <s v="IS000872"/>
    <m/>
    <n v="90184"/>
    <s v="Classe para Imoveis Santa Lucia"/>
    <s v="SEM PLACA"/>
    <s v="SEM CHASSI"/>
    <x v="634"/>
    <m/>
    <m/>
    <d v="2024-09-30T00:00:00"/>
    <n v="7026858.8899999997"/>
    <s v="IMOVEL RURAL E INSTALAÇÕES "/>
    <m/>
  </r>
  <r>
    <s v="MVU-177"/>
    <s v="IS000873"/>
    <m/>
    <n v="12396"/>
    <s v="Classe para Moveis e Utensilios Fz Grande Leste"/>
    <s v="SEM PLACA"/>
    <s v="SEM CHASSI"/>
    <x v="635"/>
    <s v="NOSSO LAR LOJAS DE DEPARTAMENTOS LTDA"/>
    <s v="00.607.587/0029-00"/>
    <d v="2023-06-26T00:00:00"/>
    <n v="1890"/>
    <s v="OK"/>
    <s v="GRANDE LESTE"/>
  </r>
  <r>
    <s v="PLA-013"/>
    <s v="IS000874"/>
    <m/>
    <n v="153860"/>
    <s v="Classe para Maquinas Implementos  Agricola Fz Jatoba"/>
    <s v="SEM PLACA"/>
    <s v="PRCY6138APPD05016"/>
    <x v="560"/>
    <s v="MAXUM MAQUINAS E EQUIPAMENTOS LTDA"/>
    <s v="02.227.267/0001-41"/>
    <d v="2023-06-29T00:00:00"/>
    <n v="1450000"/>
    <s v="OK"/>
    <s v="JATOBA"/>
  </r>
  <r>
    <s v="IMP-252"/>
    <s v="IS000875"/>
    <m/>
    <n v="5922"/>
    <s v="Classe para Maquinas Implementos  Agricola Fz Jatoba"/>
    <s v="SEM PLACA"/>
    <n v="58"/>
    <x v="636"/>
    <s v="AGRICOLA SIMABA LTDA"/>
    <s v="04.815.160/0001-40"/>
    <d v="2023-07-05T00:00:00"/>
    <n v="335000"/>
    <s v="OK"/>
    <s v="JATOBA"/>
  </r>
  <r>
    <s v="EQU-345"/>
    <s v="IS000876"/>
    <m/>
    <n v="10718"/>
    <s v="Classe para equip. Diversos Fz Santo Expedito"/>
    <s v="SEM PLACA"/>
    <s v="SEM CHASSI"/>
    <x v="637"/>
    <s v="EAGRI SUL IND E COM DE MAQ E EQUIP LTDA"/>
    <s v="10.584.575/0001-52"/>
    <d v="2023-07-07T00:00:00"/>
    <n v="750"/>
    <m/>
    <m/>
  </r>
  <r>
    <s v="EQU-346"/>
    <s v="IS000877"/>
    <m/>
    <n v="10719"/>
    <s v="Classe para Equip. Diversos Fz Jatoba"/>
    <s v="SEM PLACA"/>
    <s v="SEM CHASSI"/>
    <x v="637"/>
    <s v="EAGRI SUL IND E COM DE MAQ E EQUIP LTDA"/>
    <s v="10.584.575/0001-52"/>
    <d v="2023-07-07T00:00:00"/>
    <n v="750"/>
    <m/>
    <m/>
  </r>
  <r>
    <s v="EQU-341"/>
    <s v="IS000878"/>
    <m/>
    <n v="10700"/>
    <s v="Classe para equip. Diversos Fz Santo Expedito"/>
    <s v="SEM PLACA"/>
    <s v="SEM CHASSI"/>
    <x v="591"/>
    <s v="EAGRI SUL IND E COM DE MAQ E EQUIP LTDA"/>
    <s v="10.584.575/0001-52"/>
    <d v="2023-07-10T00:00:00"/>
    <n v="8900"/>
    <s v="OK"/>
    <s v="SANTO EXPEDITO"/>
  </r>
  <r>
    <s v="EQU-352"/>
    <s v="IS000879"/>
    <m/>
    <n v="283"/>
    <s v="Classe para Equip. Diversos Fz Santa Lucia"/>
    <s v="SEM PLACA"/>
    <s v="SEM CHASSI"/>
    <x v="638"/>
    <s v="WEST CAMPO LTDA"/>
    <s v="44.455.096/0001-58"/>
    <d v="2023-07-10T00:00:00"/>
    <n v="58000"/>
    <m/>
    <m/>
  </r>
  <r>
    <s v="MVU-175"/>
    <s v="IS000880"/>
    <m/>
    <n v="235565"/>
    <s v="Classe para Moveis e Utensilios Fz Santo Expedito"/>
    <s v="SEM PLACA"/>
    <s v="SEM CHASSI"/>
    <x v="639"/>
    <s v="CATRAL REFRIGERACAO E ELETRODOMESTICOS LTDA"/>
    <s v="02.375.921.0011-36"/>
    <d v="2023-07-11T00:00:00"/>
    <n v="6850.12"/>
    <s v="OK"/>
    <s v="SANTO EXPEDITO"/>
  </r>
  <r>
    <s v="EQU-342"/>
    <s v="IS000881"/>
    <m/>
    <n v="1665"/>
    <s v="Classe para Equip. Oficina Fz Jatoba"/>
    <s v="SEM PLACA"/>
    <s v="SEM CHASSI"/>
    <x v="127"/>
    <s v="A FERRAMENTARIA COM E REPRE DE MAQUINAS E FERRAMENTAS LTDA"/>
    <s v="38.925.602/0001-22"/>
    <d v="2023-07-13T00:00:00"/>
    <n v="1739"/>
    <s v="OK"/>
    <s v="SANTO EXPEDITO"/>
  </r>
  <r>
    <s v="MVU-178"/>
    <s v="IS000882"/>
    <m/>
    <n v="3227"/>
    <s v="Classe para Moveis e Utensilios Fz Grande Leste"/>
    <s v="SEM PLACA"/>
    <s v="SEM CHASSI"/>
    <x v="640"/>
    <s v="CLAUDINO S.A LOJAS DE DEPARTAMENTOS"/>
    <s v="06.862.627/0152-40"/>
    <d v="2023-07-13T00:00:00"/>
    <n v="1359"/>
    <s v="OK"/>
    <m/>
  </r>
  <r>
    <s v="EQU-353"/>
    <s v="IS000883"/>
    <m/>
    <n v="119900"/>
    <s v="Classe para equip. Diversos Fz Santo Expedito"/>
    <s v="SEM PLACA"/>
    <s v="SEM CHASSI"/>
    <x v="371"/>
    <s v="DEUSDETE SOUSA SANTIAGO E CIA LTDA"/>
    <s v="01.966.026/0001-51"/>
    <d v="2023-07-17T00:00:00"/>
    <n v="2587.2199999999998"/>
    <m/>
    <m/>
  </r>
  <r>
    <s v="EQU-354"/>
    <s v="IS000884"/>
    <m/>
    <n v="119900"/>
    <s v="Classe para equip. Diversos Fz Santo Expedito"/>
    <s v="SEM PLACA"/>
    <s v="SEM CHASSI"/>
    <x v="371"/>
    <s v="DEUSDETE SOUSA SANTIAGO E CIA LTDA"/>
    <s v="01.966.026/0001-51"/>
    <d v="2023-07-17T00:00:00"/>
    <n v="2587.2199999999998"/>
    <m/>
    <m/>
  </r>
  <r>
    <s v="TRA-070"/>
    <s v="IS000885"/>
    <m/>
    <n v="153862"/>
    <s v="Classe para Maq. Imp Agricola"/>
    <s v="SEM PLACA"/>
    <s v="HCCZC230TPCN61108"/>
    <x v="376"/>
    <s v="MAXUM MAQUINAS E EQUIPAMENTOS LTDA"/>
    <s v="02.227.267/0001-41"/>
    <d v="2023-07-18T00:00:00"/>
    <n v="900000"/>
    <s v="OK"/>
    <s v="JATOBA"/>
  </r>
  <r>
    <s v="TRA-071"/>
    <s v="IS000886"/>
    <m/>
    <n v="153861"/>
    <s v="Classe para Maquinas Implementos  Agricola Fz Santa Lucia"/>
    <s v="SEM PLACA"/>
    <s v="HCCZM380JPCM60845"/>
    <x v="641"/>
    <s v="MAXUM MAQUINAS E EQUIPAMENTOS LTDA"/>
    <s v="02.227.267/0001-41"/>
    <d v="2023-07-18T00:00:00"/>
    <n v="1600000"/>
    <s v="OK"/>
    <s v="JATOBA"/>
  </r>
  <r>
    <s v="EQI-103"/>
    <s v="IS000887"/>
    <m/>
    <n v="5330248"/>
    <s v="Classe para Informatica e Comunicaçao Fz Grande Leste"/>
    <s v="SEM PLACA"/>
    <s v="SEM CHASSI"/>
    <x v="570"/>
    <s v="DELL COMPUTADORES DO BRASIL LTDA"/>
    <s v="72.381.189/0010-01"/>
    <d v="2023-07-20T00:00:00"/>
    <n v="2367.02"/>
    <m/>
    <m/>
  </r>
  <r>
    <s v="EQU-312"/>
    <s v="IS000888"/>
    <m/>
    <n v="1860"/>
    <s v="Classe para Equip. Diversos Fz Santa Lucia"/>
    <s v="SEM PLACA"/>
    <s v="SEM CHASSI"/>
    <x v="642"/>
    <s v="GILMAR A KOLLN E CIA LTDA"/>
    <s v="79.205.530/0001-26"/>
    <d v="2023-07-20T00:00:00"/>
    <n v="68700"/>
    <m/>
    <m/>
  </r>
  <r>
    <s v="IMP-256"/>
    <s v="IS000889"/>
    <m/>
    <n v="8370"/>
    <s v="Classe para Maquinas Implementos  Agricola Fz Santa Lucia"/>
    <s v="IOR3D01"/>
    <s v="9ADG125388M268091"/>
    <x v="643"/>
    <s v="UNICAMPO MAQUINAS E EQUIPAMENTOS AGRICOLAS EPP"/>
    <s v="04.799.096/0001-50"/>
    <d v="2023-07-21T00:00:00"/>
    <n v="110000"/>
    <s v="OK"/>
    <s v="SANTA LUCIA"/>
  </r>
  <r>
    <s v="IMP-253"/>
    <s v="IS000890"/>
    <m/>
    <n v="4209"/>
    <s v="Classe para Maquinas Implementos  Agricola Fz Jatoba"/>
    <s v="SEM PLACA"/>
    <s v="CFFL230325"/>
    <x v="644"/>
    <s v="MORI INDUSTRIA E C DE IMPLEMENTOS AGRICOLAS LTDA"/>
    <s v="04.799.096/0001-50"/>
    <d v="2023-07-24T00:00:00"/>
    <n v="250000"/>
    <s v="OK"/>
    <s v="JATOBA"/>
  </r>
  <r>
    <s v="IMP-254"/>
    <s v="IS000891"/>
    <m/>
    <n v="4209"/>
    <s v="Classe para Maquinas Implementos  Agricola Fz Jatoba"/>
    <s v="SEM PLACA"/>
    <s v="CFFL230326"/>
    <x v="644"/>
    <s v="MORI INDUSTRIA E C DE IMPLEMENTOS AGRICOLAS LTDA"/>
    <s v="04.799.096/0001-50"/>
    <d v="2023-07-24T00:00:00"/>
    <n v="250000"/>
    <s v="OK"/>
    <s v="JATOBA"/>
  </r>
  <r>
    <s v="IMP-255"/>
    <s v="IS000892"/>
    <m/>
    <n v="4209"/>
    <s v="Classe para Maquinas Implementos  Agricola Fz Jatoba"/>
    <s v="SEM PLACA"/>
    <s v="CFFL230327"/>
    <x v="644"/>
    <s v="MORI INDUSTRIA E COMERCIO DE IMPLEMENTOS AGRICOLAS LTDA"/>
    <s v="04.799.096/0001-50"/>
    <d v="2023-07-24T00:00:00"/>
    <n v="250000"/>
    <s v="OK"/>
    <s v="GRANDE LESTE"/>
  </r>
  <r>
    <s v="MVU-176"/>
    <s v="IS000893"/>
    <m/>
    <n v="6195"/>
    <s v="Classe para Moveis e Utensilios Fz Santa Lucia"/>
    <s v="SEM PLACA"/>
    <s v="SEM CHASSI"/>
    <x v="645"/>
    <s v="CASA DO PICA PAU LTDA"/>
    <s v="50.223.823/0001-54"/>
    <d v="2023-07-24T00:00:00"/>
    <n v="2999"/>
    <s v="OK"/>
    <s v="SANTA LUCIA"/>
  </r>
  <r>
    <s v="MVU-179"/>
    <s v="IS000894"/>
    <m/>
    <n v="13112"/>
    <s v="Classe para Moveis e Utensilios Fz Santa Lucia"/>
    <s v="SEM PLACA"/>
    <s v="SEM CHASSI"/>
    <x v="646"/>
    <s v="NOSSO LAR LOJAS DE DEPARTAMENTOS LTDA"/>
    <s v="00.607.587/0029-00"/>
    <d v="2023-07-26T00:00:00"/>
    <n v="4299.8999999999996"/>
    <s v="OK"/>
    <m/>
  </r>
  <r>
    <s v="EQU-355"/>
    <s v="IS000895"/>
    <m/>
    <n v="136019"/>
    <s v="Classe para Equip. Diversos Ubs Fz Santa lucia"/>
    <s v="SEM PLACA"/>
    <s v="SEM CHASSI"/>
    <x v="647"/>
    <s v="INDUSTRIAS MACHINA ZACCARIA S.A"/>
    <s v="51.466.324/0001-50"/>
    <d v="2023-07-28T00:00:00"/>
    <n v="102500"/>
    <s v="OK"/>
    <m/>
  </r>
  <r>
    <s v="EQU-356"/>
    <s v="IS000896"/>
    <m/>
    <n v="136019"/>
    <s v="Classe para Equip. Diversos Ubs Fz Santa lucia"/>
    <s v="SEM PLACA"/>
    <s v="SEM CHASSI"/>
    <x v="648"/>
    <s v="INDUSTRIAS MACHINA ZACCARIA S.A"/>
    <s v="51.466.324/0001-50"/>
    <d v="2023-07-28T00:00:00"/>
    <n v="150278.85"/>
    <s v="OK"/>
    <m/>
  </r>
  <r>
    <s v="IMP-250"/>
    <s v="IS000897"/>
    <m/>
    <n v="1357442"/>
    <s v="Classe para Maquinas Implementos  Agricola Fz Jatoba"/>
    <s v="SEM PLACA"/>
    <s v="HCCB352NEMC322503"/>
    <x v="649"/>
    <s v="HENRIQUE DE O FERRACINI"/>
    <s v="076.701.519-35"/>
    <d v="2023-08-01T00:00:00"/>
    <n v="180000"/>
    <s v="OK"/>
    <s v="SANTO EXPEDITO"/>
  </r>
  <r>
    <s v="IMP-251"/>
    <s v="IS000898"/>
    <m/>
    <n v="1357472"/>
    <s v="Classe para Maquinas Implementos  Agricola Fz Jatoba"/>
    <s v="SEM PLACA"/>
    <s v="HCCB352NVHC314200"/>
    <x v="649"/>
    <s v="HENRIQUE DE O FERRACINI"/>
    <s v="076.701.519-35"/>
    <d v="2023-08-01T00:00:00"/>
    <n v="180000"/>
    <s v="OK"/>
    <s v="SANTO EXPEDITO"/>
  </r>
  <r>
    <s v="IMP-257"/>
    <s v="IS000899"/>
    <m/>
    <n v="4447"/>
    <s v="Classe para Maquinas Implementos  Agricola Fz Santa Lucia"/>
    <s v="SEM PLACA"/>
    <s v="RS05M13312,P10217"/>
    <x v="650"/>
    <s v="CAMPOESTE MAQUINAS BAHIA ROSARIO LTDA"/>
    <s v="40.355.474/0001-70"/>
    <d v="2023-08-04T00:00:00"/>
    <n v="400000"/>
    <s v="OK"/>
    <s v="SANTA LUCIA"/>
  </r>
  <r>
    <s v="COL-015"/>
    <s v="IS000900"/>
    <m/>
    <n v="146574"/>
    <s v="Classe para Maquinas Implementos  Agricola Fz Santa Lucia"/>
    <s v="SEM PLACA"/>
    <s v="JHFY7250LPJB23026"/>
    <x v="651"/>
    <s v="MAXUM MAQUINAS E EQUIPAMENTOS LTDA"/>
    <s v="02.227.267/0001-41"/>
    <d v="2023-08-07T00:00:00"/>
    <n v="2300000"/>
    <s v="OK"/>
    <s v="SANTO EXPEDITO"/>
  </r>
  <r>
    <s v="COL-016"/>
    <s v="IS000901"/>
    <m/>
    <n v="146573"/>
    <s v="Classe para Maquinas Implementos  Agricola Fz Jatoba"/>
    <s v="SEM PLACA"/>
    <s v="JHFY7250HPJB23190"/>
    <x v="651"/>
    <s v="MAXUM MAQUINAS E EQUIPAMENTOS LTDA"/>
    <s v="02.227.267/0001-41"/>
    <d v="2023-08-08T00:00:00"/>
    <n v="2300000"/>
    <s v="OK"/>
    <s v="JATOBA"/>
  </r>
  <r>
    <s v="EQU-319"/>
    <s v="IS000902"/>
    <m/>
    <n v="8329"/>
    <s v="Classe para Equip. Diversos Fz Santa Lucia"/>
    <s v="SEM PLACA"/>
    <s v="SEM CHASSI"/>
    <x v="562"/>
    <s v="ACOS BRAUNA SISTEMAS DE ARMAZENAGEM LTDA"/>
    <s v="05.561.070/0001-32"/>
    <d v="2023-08-08T00:00:00"/>
    <n v="2923.4285709999999"/>
    <m/>
    <m/>
  </r>
  <r>
    <s v="EQI-104"/>
    <s v="IS000903"/>
    <m/>
    <n v="14541"/>
    <s v="Classe para Informatica e Comunicaçao Fz Santa Lucia"/>
    <s v="SEM PLACA"/>
    <s v="SEM CHASSI"/>
    <x v="652"/>
    <s v="ART CHIK PRODUTOS PUBLICITARIOS LTDA"/>
    <s v="48.013.734/0001-31"/>
    <d v="2023-08-09T00:00:00"/>
    <n v="2200"/>
    <s v="OK"/>
    <s v="SANTA LUCIA"/>
  </r>
  <r>
    <s v="EQI-105"/>
    <s v="IS000904"/>
    <m/>
    <n v="12693"/>
    <s v="Classe para Informatica e Comunicaçao"/>
    <s v="SEM PLACA"/>
    <s v="SEM CHASSI"/>
    <x v="653"/>
    <s v="AKAD COMPUTACAO GRAFICA LTDA"/>
    <s v="59.476.598/0007-28"/>
    <d v="2023-08-09T00:00:00"/>
    <n v="7998"/>
    <m/>
    <m/>
  </r>
  <r>
    <s v="MVU-183"/>
    <s v="IS000905"/>
    <m/>
    <n v="79904"/>
    <s v="Classe para Moveis e Utensilios Fz Grande Leste"/>
    <s v="SEM PLACA"/>
    <s v="SEM CHASSI"/>
    <x v="654"/>
    <s v="GERAIS ELETROMOVEIS LTDA"/>
    <s v="09.559.010/0001-36"/>
    <d v="2023-08-16T00:00:00"/>
    <n v="2854"/>
    <s v="OK"/>
    <s v="GRANDE LESTE"/>
  </r>
  <r>
    <s v="IMP-258"/>
    <s v="IS000906"/>
    <m/>
    <n v="354"/>
    <s v="Classe para Maquinas Implementos  Agricola Fz Jatoba"/>
    <s v="SEM PLACA"/>
    <s v="SEM CHASSI"/>
    <x v="655"/>
    <s v="MATHEUS PERARO FERREIRA FARES"/>
    <s v="441.826.158-32"/>
    <d v="2023-08-17T00:00:00"/>
    <n v="113000"/>
    <s v="OK"/>
    <s v="GRANDE LESTE"/>
  </r>
  <r>
    <s v="EQU-357"/>
    <s v="IS000907"/>
    <m/>
    <n v="121752"/>
    <s v="Classe para Equip. Oficina Fz Grande Leste"/>
    <s v="SEM PLACA"/>
    <s v="SEM CHASSI"/>
    <x v="127"/>
    <s v="DEUSDETE SOUSA SANTIAGO E CIA LTDA"/>
    <s v="01.966.026/0001-51"/>
    <d v="2023-08-21T00:00:00"/>
    <n v="1804.26"/>
    <s v="OK"/>
    <s v="GRANDE LESTE"/>
  </r>
  <r>
    <s v="IS000908"/>
    <s v="IS000908"/>
    <m/>
    <n v="5344"/>
    <s v="Classe para equip. Diversos Fz Santo Expedito"/>
    <s v="SEM PLACA"/>
    <s v="SEM CHASSI"/>
    <x v="656"/>
    <s v="CASA DOS REDUTORES JAKIN LTDA"/>
    <s v="12.127.407/0001-63"/>
    <d v="2025-03-13T00:00:00"/>
    <n v="6520"/>
    <m/>
    <s v="SANTO EXPEDITO"/>
  </r>
  <r>
    <s v="EQU-351"/>
    <s v="IS000909"/>
    <m/>
    <n v="878953"/>
    <s v="Classe para Equip. Diversos Fz Santa Lucia"/>
    <s v="SEM PLACA"/>
    <s v="SEM CHASSI"/>
    <x v="657"/>
    <s v="TOLEDO DO BRASIL INDUSTRIA DE BALANCAS LTDA"/>
    <s v="59.704.510/0001-92"/>
    <d v="2023-08-22T00:00:00"/>
    <n v="13650"/>
    <m/>
    <m/>
  </r>
  <r>
    <s v="EQU-359"/>
    <s v="IS000910"/>
    <m/>
    <n v="1503"/>
    <s v="Classe para Equip. Diversos Fz Grande Leste"/>
    <s v="SEM PLACA"/>
    <s v="SEM CHASSI"/>
    <x v="658"/>
    <s v="FOCUS DISTRIBUIDORA DE EQUIPAMENTOS LTDA"/>
    <s v="46.094.653/0001-88"/>
    <d v="2023-09-01T00:00:00"/>
    <n v="3210.8"/>
    <s v="OK"/>
    <m/>
  </r>
  <r>
    <s v="EQU-348"/>
    <s v="IS000911"/>
    <m/>
    <n v="270"/>
    <s v="Classe para Equip. Diversos Fz Santa Lucia"/>
    <s v="SEM PLACA"/>
    <s v="SEM CHASSI"/>
    <x v="659"/>
    <s v="ALVAALAB PRODUTOS E EQUIPAMENTOS PARA LABORATORIO LTDA"/>
    <s v="42.609.481/0001-87"/>
    <d v="2023-09-08T00:00:00"/>
    <n v="16321.5"/>
    <m/>
    <m/>
  </r>
  <r>
    <s v="MVU-180"/>
    <s v="IS000912"/>
    <m/>
    <n v="8404"/>
    <s v="Classe para Moveis e Utensilios Fz Santa Lucia"/>
    <s v="SEM PLACA"/>
    <s v="SEM CHASSI"/>
    <x v="660"/>
    <s v="CASA DO PICA PAU LTDA"/>
    <s v="50.223.823/0001-54"/>
    <d v="2023-09-11T00:00:00"/>
    <n v="1899"/>
    <m/>
    <m/>
  </r>
  <r>
    <s v="MVU-181"/>
    <s v="IS000913"/>
    <m/>
    <n v="8404"/>
    <s v="Classe para Moveis e Utensilios Fz Santa Lucia"/>
    <s v="SEM PLACA"/>
    <s v="SEM CHASSI"/>
    <x v="661"/>
    <s v="CASA DO PICA PAU LTDA"/>
    <s v="50.223.823/0001-54"/>
    <d v="2023-09-11T00:00:00"/>
    <n v="3134"/>
    <m/>
    <m/>
  </r>
  <r>
    <s v="MVU-182"/>
    <s v="IS000914"/>
    <m/>
    <n v="8404"/>
    <s v="Classe para Moveis e Utensilios Fz Santa Lucia"/>
    <s v="SEM PLACA"/>
    <s v="SEM CHASSI"/>
    <x v="662"/>
    <s v="CASA DO PICA PAU LTDA"/>
    <s v="50.223.823/0001-54"/>
    <d v="2023-09-11T00:00:00"/>
    <n v="8661.4699999999993"/>
    <m/>
    <m/>
  </r>
  <r>
    <s v="EQU-358"/>
    <s v="IS000915"/>
    <m/>
    <n v="177"/>
    <s v="Classe para equip. Diversos Fz Santo Expedito"/>
    <s v="SEM PLACA"/>
    <s v="SEM CHASSI"/>
    <x v="663"/>
    <s v="VERTO BRASIL LTDA"/>
    <s v="48.875.101/0001-32"/>
    <d v="2023-09-18T00:00:00"/>
    <n v="22717"/>
    <m/>
    <m/>
  </r>
  <r>
    <s v="MVU-184"/>
    <s v="IS000916"/>
    <m/>
    <n v="14952"/>
    <s v="Classe para Moveis e Utensilios Fz Grande Leste"/>
    <s v="SEM PLACA"/>
    <s v="SEM CHASSI"/>
    <x v="549"/>
    <s v="NOSSO LAR LOJAS DE DEPARTAMENTOS LTDA"/>
    <s v="00.607.587/0029-00"/>
    <d v="2023-09-19T00:00:00"/>
    <n v="1899"/>
    <m/>
    <m/>
  </r>
  <r>
    <s v="EQU-361"/>
    <s v="IS000917"/>
    <m/>
    <n v="123744"/>
    <s v="Classe para Equip. Diversos Fz Santa Lucia"/>
    <s v="SEM PLACA"/>
    <s v="SEM CHASSI"/>
    <x v="664"/>
    <s v="DEUSDETE SOUSA SANTIAGO E CIA LTDA"/>
    <s v="01.966.026/0001-51"/>
    <d v="2023-09-20T00:00:00"/>
    <n v="3617.66"/>
    <s v="OK"/>
    <s v="SANTA LUCIA"/>
  </r>
  <r>
    <s v="MAQ-018"/>
    <s v="IS000918"/>
    <m/>
    <n v="1406"/>
    <s v="Classe para Maquinas Implementos  Agricola Fz Santa Lucia"/>
    <s v="SEM PLACA"/>
    <s v="RAJ5DC7MPN3129161"/>
    <x v="573"/>
    <s v="TRATORMASTER TRATORES PECAS E SERVICOS LTDA"/>
    <s v="02.745.179/0006-46"/>
    <d v="2023-09-26T00:00:00"/>
    <n v="540000"/>
    <s v="OK"/>
    <m/>
  </r>
  <r>
    <s v="EQU-360"/>
    <s v="IS000919"/>
    <m/>
    <n v="16094"/>
    <s v="Classe para Equip. Oficina Fz Santa Lucia"/>
    <s v="SEM PLACA"/>
    <s v="SEM CHASSI"/>
    <x v="658"/>
    <s v="CASA DO FRENTISTA COMERCIO DE MAQUINAS LTDA"/>
    <s v="21.463.174/0001-60"/>
    <d v="2023-09-30T00:00:00"/>
    <n v="3141"/>
    <s v="OK"/>
    <m/>
  </r>
  <r>
    <s v="VEI-072"/>
    <s v="IS000920"/>
    <m/>
    <n v="33490"/>
    <s v="Classe para Veiculos Fz Santa Lucia"/>
    <s v="SJQ7A01"/>
    <s v="9BM951511PB323619"/>
    <x v="665"/>
    <s v="MAVEL MAQUINAS E VEICULOS LTDA"/>
    <s v="11.342.912/0019-97"/>
    <d v="2023-09-30T00:00:00"/>
    <n v="540500"/>
    <s v="OK"/>
    <s v="SANTA LUCIA"/>
  </r>
  <r>
    <s v="MVU-185"/>
    <s v="IS000921"/>
    <m/>
    <n v="81323"/>
    <s v="Classe para Moveis e Utensilios Fz Santo Expedito"/>
    <s v="SEM PLACA"/>
    <s v="SEM CHASSI"/>
    <x v="550"/>
    <s v="GERAIS ELETROMOVEIS LTDA"/>
    <s v="09.559.010/0001-36"/>
    <d v="2023-10-03T00:00:00"/>
    <n v="1876.64"/>
    <m/>
    <m/>
  </r>
  <r>
    <s v="MVU-186"/>
    <s v="IS000922"/>
    <m/>
    <n v="81323"/>
    <s v="Classe para Moveis e Utensilios Fz Santo Expedito"/>
    <s v="SEM PLACA"/>
    <s v="SEM CHASSI"/>
    <x v="549"/>
    <s v="GERAIS ELETROMOVEIS LTDA"/>
    <s v="09.559.010/0001-36"/>
    <d v="2023-10-03T00:00:00"/>
    <n v="2116.36"/>
    <m/>
    <m/>
  </r>
  <r>
    <s v="EQU-364"/>
    <s v="IS000923"/>
    <m/>
    <n v="11472"/>
    <s v="Classe para Equip. Diversos Fz Santa Lucia"/>
    <s v="SEM PLACA"/>
    <s v="SEM CHASSI"/>
    <x v="666"/>
    <s v="PROCER AUTOMACAO LTDA"/>
    <s v="13.649.003/0001-00"/>
    <d v="2023-10-04T00:00:00"/>
    <n v="32861.07"/>
    <m/>
    <s v="SANTA LUCIA"/>
  </r>
  <r>
    <s v="EQU-365"/>
    <s v="IS000924"/>
    <m/>
    <n v="751"/>
    <s v="Classe para Equip. Diversos Fz Santa Lucia"/>
    <s v="SEM PLACA"/>
    <s v="SEM CHASSI"/>
    <x v="667"/>
    <s v="DIVISA COMERCIO E SERVICOS LTDA"/>
    <s v="11.190.449/0001-86"/>
    <d v="2023-10-04T00:00:00"/>
    <n v="17500"/>
    <s v="OK"/>
    <s v="GRANDE LESTE"/>
  </r>
  <r>
    <s v="VEI-071"/>
    <s v="IS000925"/>
    <m/>
    <n v="202382"/>
    <s v="Classe para Veiculos Fz Santa Lucia"/>
    <s v="SEM PLACA"/>
    <s v="9C2KC2500RR005342"/>
    <x v="275"/>
    <s v="LUZ MOTOS COMERCIO SERVICOS E PECAS LTDA"/>
    <s v="08.074.058/0001-91"/>
    <d v="2023-10-06T00:00:00"/>
    <n v="16900"/>
    <s v="OK"/>
    <m/>
  </r>
  <r>
    <s v="MVU-187"/>
    <s v="IS000926"/>
    <m/>
    <n v="15765"/>
    <s v="Classe para Moveis e Utensilios Fz Santa Lucia"/>
    <s v="SEM PLACA"/>
    <s v="SEM CHASSI"/>
    <x v="668"/>
    <s v="NOSSO LAR LOJAS DE DEPARTAMENTOS LTDA"/>
    <s v="00.607.587/0029-00"/>
    <d v="2023-10-09T00:00:00"/>
    <n v="1999.9"/>
    <s v="OK"/>
    <m/>
  </r>
  <r>
    <s v="EQI-112"/>
    <s v="IS000927"/>
    <m/>
    <n v="469646"/>
    <s v="Classe para Informatica e Comunicaçao Fz St Expedito"/>
    <s v="SEM PLACA"/>
    <s v="SEM CHASSI"/>
    <x v="593"/>
    <s v="TEC PRINT SUPRIMENTOS E ASSISTENCIA TECNICA LTDA"/>
    <s v="05.654.516/0001-73"/>
    <d v="2023-10-10T00:00:00"/>
    <n v="1734.7"/>
    <s v="OK"/>
    <s v="JATOBA"/>
  </r>
  <r>
    <s v="EQU-366"/>
    <s v="IS000928"/>
    <m/>
    <n v="262"/>
    <s v="Classe para Equip. Oficina Fz Grande Leste"/>
    <s v="SEM PLACA"/>
    <s v="SEM CHASSI"/>
    <x v="669"/>
    <s v="GILMAR AFONSO KOLLN JUNIOR EIRELI"/>
    <s v="38.375.387/0001-33"/>
    <d v="2023-10-16T00:00:00"/>
    <n v="25000"/>
    <s v="OK"/>
    <m/>
  </r>
  <r>
    <s v="EQU-367"/>
    <s v="IS000929"/>
    <m/>
    <n v="261"/>
    <s v="Classe para Equip. Oficina Fz Santa Lucia"/>
    <s v="SEM PLACA"/>
    <s v="SEM CHASSI"/>
    <x v="670"/>
    <s v="GILMAR AFONSO KOLLN JUNIOR EIRELI"/>
    <s v="38.375.387/0001-33"/>
    <d v="2023-10-16T00:00:00"/>
    <n v="25000"/>
    <m/>
    <m/>
  </r>
  <r>
    <s v="IMP-260"/>
    <s v="IS000930"/>
    <m/>
    <n v="116096"/>
    <s v="Classe para Maquinas Implementos  Agricola Fz Jatoba"/>
    <s v="SEM PLACA"/>
    <s v="SEM CHASSI"/>
    <x v="671"/>
    <s v="IROPEL COMERCIAL AGRICOLA LTDA"/>
    <s v="96.819.032/0001-92"/>
    <d v="2023-10-16T00:00:00"/>
    <n v="128000"/>
    <s v="OK"/>
    <s v="JATOBA"/>
  </r>
  <r>
    <s v="EQU-350"/>
    <s v="IS000931"/>
    <m/>
    <n v="274"/>
    <s v="Classe para Equip. Diversos Fz Santa Lucia"/>
    <s v="SEM PLACA"/>
    <s v="SEM CHASSI"/>
    <x v="672"/>
    <s v="ALVAALAB PRODUTOS E EQUIPAMENTOS PARA LABORATORIO LTDA"/>
    <s v="42.609.481/0001-87"/>
    <d v="2023-10-20T00:00:00"/>
    <n v="7235.4"/>
    <m/>
    <m/>
  </r>
  <r>
    <s v="EQU-371"/>
    <s v="IS000932"/>
    <m/>
    <n v="120986"/>
    <s v="Classe para Equip. Diversos Fz Jatoba"/>
    <s v="SEM PLACA"/>
    <s v="SEM CHASSI"/>
    <x v="288"/>
    <s v="LUZ MOTOS COMERCIO SERVICOS E PECAS LTDA"/>
    <s v="08.074.058/0002-72"/>
    <d v="2023-10-30T00:00:00"/>
    <n v="2850"/>
    <s v="OK"/>
    <s v="JATOBA"/>
  </r>
  <r>
    <s v="EQI-111"/>
    <s v="IS000933"/>
    <m/>
    <n v="320719"/>
    <s v="Classe para Informatica e Comunicaçao"/>
    <s v="SEM PLACA"/>
    <s v="SEM CHASSI"/>
    <x v="673"/>
    <s v="HYPER CONFECCOES LTDA"/>
    <s v="44.970.709/0001-95"/>
    <d v="2023-10-31T00:00:00"/>
    <n v="8870"/>
    <m/>
    <m/>
  </r>
  <r>
    <s v="IMP-259"/>
    <s v="IS000934"/>
    <m/>
    <n v="4892"/>
    <s v="Classe para Maquinas Implementos  Agricola Fz Santa Lucia"/>
    <s v="SEM PLACA"/>
    <s v="SEM CHASSI"/>
    <x v="674"/>
    <s v="CAMPOESTE MAQUINAS BAHIA ROSARIO LTDA"/>
    <s v="40.355.474/0001-70"/>
    <d v="2023-10-31T00:00:00"/>
    <n v="345000"/>
    <s v="OK"/>
    <s v="JATOBA"/>
  </r>
  <r>
    <s v="MAQ-019"/>
    <s v="IS000935"/>
    <m/>
    <n v="124687"/>
    <s v="Classe para Maquinas Implementos  Agricola Fz Santa Lucia"/>
    <s v="SEM PLACA"/>
    <s v="LEP360-1624-11007CNF"/>
    <x v="675"/>
    <s v="CLARK MATERIAL HANDLING BRASIL S.A"/>
    <s v="07.105.510/0001-72"/>
    <d v="2023-10-31T00:00:00"/>
    <n v="265000"/>
    <s v="OK"/>
    <s v="JATOBA"/>
  </r>
  <r>
    <s v="EQU-349"/>
    <s v="IS000936"/>
    <m/>
    <n v="314"/>
    <s v="Classe para Equip. Diversos Fz Santa Lucia"/>
    <s v="SEM PLACA"/>
    <s v="SEM CHASSI"/>
    <x v="676"/>
    <s v="ALVAALAB PRODUTOS E EQUIPAMENTOS PARA LABORATORIO LTDA"/>
    <s v="42.609.481/0001-87"/>
    <d v="2023-11-01T00:00:00"/>
    <n v="7780"/>
    <m/>
    <m/>
  </r>
  <r>
    <s v="MVU-188"/>
    <s v="IS000937"/>
    <m/>
    <n v="14083"/>
    <s v="Classe para Moveis e Utensilios Fz Grande Leste"/>
    <s v="SEM PLACA"/>
    <s v="SEM CHASSI"/>
    <x v="677"/>
    <s v="CASA DO PICA PAU LTDA"/>
    <s v="50.223.823/0001-54"/>
    <d v="2023-11-01T00:00:00"/>
    <n v="2799"/>
    <s v="OK"/>
    <s v="GRANDE LESTE"/>
  </r>
  <r>
    <s v="VEI-075"/>
    <s v="IS000938"/>
    <m/>
    <n v="121150"/>
    <s v="Classe para Veiculos Fz Grande Leste"/>
    <s v="SEM PLACA"/>
    <s v="9C2K2500RR0062"/>
    <x v="275"/>
    <s v="LUZ MOTOS COMERCIO SERVICOS E PECAS LTDA"/>
    <s v="08.074.058/0002-72"/>
    <d v="2023-11-03T00:00:00"/>
    <n v="16900"/>
    <s v="OK"/>
    <s v="GRANDE LESTE"/>
  </r>
  <r>
    <s v="EQU-372"/>
    <s v="IS000939"/>
    <m/>
    <n v="126565"/>
    <s v="Classe para Equip. Diversos Fz Santa Lucia"/>
    <s v="SEM PLACA"/>
    <s v="SEM CHASSI"/>
    <x v="127"/>
    <s v="DEUSDETE SOUSA SANTIAGO E CIA LTDA"/>
    <s v="01.966.026/0001-51"/>
    <d v="2023-11-10T00:00:00"/>
    <n v="1799.22"/>
    <m/>
    <m/>
  </r>
  <r>
    <s v="EQU-368"/>
    <s v="IS000940"/>
    <m/>
    <n v="2812"/>
    <s v="Classe para Equip. Diversos Fz Grande Leste"/>
    <s v="SEM PLACA"/>
    <s v="SEM CHASSI"/>
    <x v="678"/>
    <s v="ALVORADA CARROCERIAS METALICAS LTDA"/>
    <s v="25.139.189/0001-29"/>
    <d v="2023-11-13T00:00:00"/>
    <n v="23000"/>
    <s v="OK"/>
    <m/>
  </r>
  <r>
    <s v="MVU-190"/>
    <s v="IS000941"/>
    <m/>
    <n v="82394"/>
    <s v="Classe para Moveis e Utensilios Fz Santo Expedito"/>
    <s v="SEM PLACA"/>
    <s v="SEM CHASSI"/>
    <x v="654"/>
    <s v="GERAIS ELETROMOVEIS LTDA"/>
    <s v="09.559.010/0001-36"/>
    <d v="2023-11-16T00:00:00"/>
    <n v="2880"/>
    <s v="OK"/>
    <s v="SANTO EXPEDITO"/>
  </r>
  <r>
    <s v="EQU-369"/>
    <s v="IS000942"/>
    <m/>
    <n v="2864"/>
    <s v="Classe para Equip. Diversos Fz Grande Leste"/>
    <s v="SEM PLACA"/>
    <s v="SEM CHASSI"/>
    <x v="679"/>
    <s v="CARROCERIAS IDEAL LTDA"/>
    <s v="01.037.506/0001-38"/>
    <d v="2023-11-17T00:00:00"/>
    <n v="28000"/>
    <s v="OK"/>
    <m/>
  </r>
  <r>
    <s v="VEI-073"/>
    <s v="IS000943"/>
    <m/>
    <n v="2094138"/>
    <s v="Classe para Veiculos Fz Santa Lucia"/>
    <s v="SJO1D12"/>
    <s v="9BM951104RB341815"/>
    <x v="680"/>
    <s v="MERCEDES BENZ DO BRASIL LTDA"/>
    <s v="59.104.273/0001-29"/>
    <d v="2023-11-17T00:00:00"/>
    <n v="359500"/>
    <s v="OK"/>
    <m/>
  </r>
  <r>
    <s v="EQU-370"/>
    <s v="IS000944"/>
    <m/>
    <n v="902803"/>
    <s v="Classe para Equip. Oficina Fz Santa Lucia"/>
    <s v="SEM PLACA"/>
    <s v="SEM CHASSI"/>
    <x v="681"/>
    <s v="IMPERIAL COM DE PARAFUSOS FERRAMENTAS E MAQUINAS LTDA"/>
    <s v="01.716.186/0001-42"/>
    <d v="2023-11-21T00:00:00"/>
    <n v="6700"/>
    <s v="OK"/>
    <s v="SANTA LUCIA"/>
  </r>
  <r>
    <s v="MVU-189"/>
    <s v="IS000945"/>
    <m/>
    <n v="23707"/>
    <s v="Classe para Moveis e Utensilios Fz Santo Expedito"/>
    <s v="SEM PLACA"/>
    <s v="SEM CHASSI"/>
    <x v="682"/>
    <s v="EXCLUSIVA UTILIDADES E EMBALAGENS LTDA EPP"/>
    <s v="04.023.539/0001-17"/>
    <d v="2023-11-23T00:00:00"/>
    <n v="5629"/>
    <s v="OK"/>
    <s v="SANTO EXPEDITO"/>
  </r>
  <r>
    <s v="VEI-076"/>
    <s v="IS000946"/>
    <m/>
    <n v="9381"/>
    <s v="Classe para Veiculos Fz Grande Leste"/>
    <s v="FWV2J86"/>
    <s v="9BM384078EB963061"/>
    <x v="683"/>
    <s v="SERRA TRANSPORTE E TURISMO LTDA"/>
    <s v="33.380.658/0001-25"/>
    <d v="2023-11-24T00:00:00"/>
    <n v="195000"/>
    <s v="OK"/>
    <m/>
  </r>
  <r>
    <s v="VEI-074"/>
    <s v="IS000947"/>
    <m/>
    <n v="9383"/>
    <s v="Classe para Veiculos Fz Santa Lucia"/>
    <s v="DPB9F96"/>
    <s v="9BM384078CB843705"/>
    <x v="684"/>
    <s v="SERRA TRANSPORTE E TURISMO LTDA"/>
    <s v="33.380.658/0001-25"/>
    <d v="2023-11-27T00:00:00"/>
    <n v="130000"/>
    <s v="OK"/>
    <m/>
  </r>
  <r>
    <s v="EQU-363"/>
    <s v="IS000948"/>
    <m/>
    <n v="4626"/>
    <s v="Classe para Equip. Diversos Fz Santa Lucia"/>
    <s v="SEM PLACA"/>
    <s v="SEM CHASSI"/>
    <x v="685"/>
    <s v="CIKLO INDUSTRIA E COMERCIO DE GERADORES LTDA"/>
    <s v="17.206.381/0001-62"/>
    <d v="2023-12-01T00:00:00"/>
    <n v="270000"/>
    <s v="OK"/>
    <m/>
  </r>
  <r>
    <s v="EQU-380"/>
    <s v="IS000949"/>
    <m/>
    <n v="760"/>
    <s v="Classe para Equip. Diversos Fz Jatoba"/>
    <s v="SEM PLACA"/>
    <s v="SEM CHASSI"/>
    <x v="686"/>
    <s v="DIVISA COMERCIO E SERVICOS LTDA"/>
    <s v="11.190.449/0001-86"/>
    <d v="2023-12-05T00:00:00"/>
    <n v="17500"/>
    <s v="OK"/>
    <s v="JATOBA"/>
  </r>
  <r>
    <s v="MVU-199"/>
    <s v="IS000950"/>
    <m/>
    <n v="17886"/>
    <s v="Classe para Moveis e Utensilios Fz Santo Expedito"/>
    <s v="SEM PLACA"/>
    <s v="SEM CHASSI"/>
    <x v="687"/>
    <s v="NOSSO LAR LOJAS DE DEPARTAMENTOS LTDA"/>
    <s v="00.607.587/0029-00"/>
    <d v="2023-12-07T00:00:00"/>
    <n v="1799.9"/>
    <m/>
    <m/>
  </r>
  <r>
    <s v="MVU-201"/>
    <s v="IS000951"/>
    <m/>
    <n v="127666"/>
    <s v="Classe para Moveis e Utensilios Fz Evangelista"/>
    <s v="SEM PLACA"/>
    <s v="SEM CHASSI"/>
    <x v="688"/>
    <s v="DEUSDETE SOUSA SANTIAGO E CIA LTDA"/>
    <s v="01.966.026/0001-51"/>
    <d v="2023-12-07T00:00:00"/>
    <n v="2578.48"/>
    <m/>
    <m/>
  </r>
  <r>
    <s v="MVU-194"/>
    <s v="IS000952"/>
    <m/>
    <n v="17442"/>
    <s v="Classe para Moveis e Utensilios Fz Evangelista"/>
    <s v="SEM PLACA"/>
    <s v="SEM CHASSI"/>
    <x v="689"/>
    <s v="NOSSO LAR LOJAS DE DEPARTAMENTOS LTDA"/>
    <s v="00.607.587/0029-00"/>
    <d v="2023-12-11T00:00:00"/>
    <n v="599.9"/>
    <m/>
    <m/>
  </r>
  <r>
    <s v="MVU-195"/>
    <s v="IS000953"/>
    <m/>
    <n v="17442"/>
    <s v="Classe para Moveis e Utensilios Fz Evangelista"/>
    <s v="SEM PLACA"/>
    <s v="SEM CHASSI"/>
    <x v="690"/>
    <s v="NOSSO LAR LOJAS DE DEPARTAMENTOS LTDA"/>
    <s v="00.607.587/0029-00"/>
    <d v="2023-12-11T00:00:00"/>
    <n v="1899.05"/>
    <m/>
    <m/>
  </r>
  <r>
    <s v="MVU-197"/>
    <s v="IS000954"/>
    <m/>
    <n v="17442"/>
    <s v="Classe para Moveis e Utensilios Fz Evangelista"/>
    <s v="SEM PLACA"/>
    <s v="SEM CHASSI"/>
    <x v="690"/>
    <s v="NOSSO LAR LOJAS DE DEPARTAMENTOS LTDA"/>
    <s v="00.607.587/0029-00"/>
    <d v="2023-12-11T00:00:00"/>
    <n v="1899.05"/>
    <m/>
    <m/>
  </r>
  <r>
    <s v="MVU-202"/>
    <s v="IS000955"/>
    <m/>
    <n v="17442"/>
    <s v="Classe para Moveis e Utensilios Fz Evangelista"/>
    <s v="SEM PLACA"/>
    <s v="SEM CHASSI"/>
    <x v="690"/>
    <s v="NOSSO LAR LOJAS DE DEPARTAMENTOS LTDA"/>
    <s v="00.607.587/0029-00"/>
    <d v="2023-12-11T00:00:00"/>
    <n v="2399"/>
    <m/>
    <m/>
  </r>
  <r>
    <s v="MVU-196"/>
    <s v="IS000956"/>
    <m/>
    <n v="3339"/>
    <s v="Classe para Moveis e Utensilios Fz Evangelista"/>
    <s v="SEM PLACA"/>
    <s v="SEM CHASSI"/>
    <x v="691"/>
    <s v="CLAUDINO S.A LOJAS DE DEPARTAMENTOS"/>
    <s v="06.862.627/0152-40"/>
    <d v="2023-12-18T00:00:00"/>
    <n v="4217.8"/>
    <m/>
    <m/>
  </r>
  <r>
    <s v="MVU-200"/>
    <s v="IS000957"/>
    <m/>
    <n v="127666"/>
    <s v="Classe para Moveis e Utensilios Fz Evangelista"/>
    <s v="SEM PLACA"/>
    <s v="SEM CHASSI"/>
    <x v="688"/>
    <s v="DEUSDETE SOUSA SANTIAGO E CIA LTDA"/>
    <s v="01.966.026/0001-51"/>
    <d v="2023-12-18T00:00:00"/>
    <n v="2771.15"/>
    <m/>
    <m/>
  </r>
  <r>
    <s v="EQU-373"/>
    <s v="IS000958"/>
    <m/>
    <n v="6502"/>
    <s v="Classe para Equip. Diversos Fz Santa Lucia"/>
    <s v="SEM PLACA"/>
    <s v="SEM CHASSI"/>
    <x v="692"/>
    <s v="PATRICIA SOLANO DE OLIVEIRA MATERIAS PARA LABORATORIOS"/>
    <s v="28.550.363/0001-10"/>
    <d v="2023-12-19T00:00:00"/>
    <n v="2871"/>
    <s v="OK"/>
    <s v="SANTO EXPEDITO"/>
  </r>
  <r>
    <s v="MVU-191"/>
    <s v="IS000959"/>
    <m/>
    <n v="16256"/>
    <s v="Classe para Moveis e Utensilios Fz Evangelista"/>
    <s v="SEM PLACA"/>
    <s v="SEM CHASSI"/>
    <x v="693"/>
    <s v="CASA DO PICA PAU LTDA"/>
    <s v="50.223.823/0001-54"/>
    <d v="2023-12-21T00:00:00"/>
    <n v="3599"/>
    <m/>
    <m/>
  </r>
  <r>
    <s v="MVU-192"/>
    <s v="IS000960"/>
    <m/>
    <n v="16256"/>
    <s v="Classe para Moveis e Utensilios Fz Evangelista"/>
    <s v="SEM PLACA"/>
    <s v="SEM CHASSI"/>
    <x v="694"/>
    <s v="CASA DO PICA PAU LTDA"/>
    <s v="50.223.823/0001-54"/>
    <d v="2023-12-21T00:00:00"/>
    <n v="3324.05"/>
    <m/>
    <m/>
  </r>
  <r>
    <s v="MVU-193"/>
    <s v="IS000961"/>
    <m/>
    <n v="16256"/>
    <s v="Classe para Moveis e Utensilios Fz Evangelista"/>
    <s v="SEM PLACA"/>
    <s v="SEM CHASSI"/>
    <x v="695"/>
    <s v="CASA DO PICA PAU LTDA"/>
    <s v="50.223.823/0001-54"/>
    <d v="2023-12-21T00:00:00"/>
    <n v="2642.13"/>
    <m/>
    <m/>
  </r>
  <r>
    <s v="IMP-261"/>
    <s v="IS000962"/>
    <m/>
    <n v="177543"/>
    <s v="Classe para Maquinas Implementos  Agricola Fz Santa Lucia"/>
    <s v="SJS8C36"/>
    <s v="9EP021020R1000597"/>
    <x v="325"/>
    <s v="NOMA DO BRASIL SOCIEDADE ANONIMA EM RECUPERACAO JUDICIAL"/>
    <s v="79.131.918/0001-20"/>
    <d v="2023-12-27T00:00:00"/>
    <n v="148000"/>
    <s v="OK"/>
    <s v="SANTA LUCIA"/>
  </r>
  <r>
    <s v="VEI-078"/>
    <s v="IS000963"/>
    <m/>
    <n v="985099"/>
    <s v="Classe para Veiculos Fz Santa Lucia"/>
    <s v="SJQ7F13"/>
    <s v="9BVRT60D3RE946957"/>
    <x v="696"/>
    <s v="VOLVO DO BRASIL VEICULOS LTDA"/>
    <s v="43.999.424/0001-14"/>
    <d v="2023-12-27T00:00:00"/>
    <n v="950000"/>
    <s v="OK"/>
    <s v="GRANDE LESTE"/>
  </r>
  <r>
    <s v="EQU-376"/>
    <s v="IS000964"/>
    <m/>
    <n v="6798"/>
    <s v="Classe para Moveis e Utensilios Fz Evangelista"/>
    <s v="SEM PLACA"/>
    <s v="SEM CHASSI"/>
    <x v="697"/>
    <s v="BC FERRAMENTARIA  C DE MAQUINAS FERRAMENTAS E UTILIDADES LTDA"/>
    <s v="31.539.004/0001-76"/>
    <d v="2023-12-28T00:00:00"/>
    <n v="2565.2800000000002"/>
    <m/>
    <m/>
  </r>
  <r>
    <s v="EQU-377"/>
    <s v="IS000965"/>
    <m/>
    <n v="6798"/>
    <s v="Classe para Moveis e Utensilios Fz Evangelista"/>
    <s v="SEM PLACA"/>
    <s v="SEM CHASSI"/>
    <x v="698"/>
    <s v="BC FERRAMENTARIA  C DE MAQUINAS FERRAMENTAS E UTILIDADES LTDA"/>
    <s v="31.539.004/0001-76"/>
    <d v="2023-12-28T00:00:00"/>
    <n v="7446.78"/>
    <m/>
    <m/>
  </r>
  <r>
    <s v="EQU-378"/>
    <s v="IS000966"/>
    <m/>
    <n v="3874"/>
    <s v="Classe para Equip. UBG - Secagem e Aramazenagem de Graos"/>
    <s v="SEM PLACA"/>
    <s v="SEM CHASSI"/>
    <x v="699"/>
    <s v="CASA DOS REDUTORES JAKIN LTDA"/>
    <s v="12.127.407/0001-63"/>
    <d v="2025-09-25T00:00:00"/>
    <n v="22500"/>
    <m/>
    <m/>
  </r>
  <r>
    <s v="IS000967"/>
    <s v="IS000967"/>
    <s v="4225 0914 7526 3300 0160 5500 1000 0063 5212 9826 5170"/>
    <n v="6352"/>
    <s v="Classe para Equip. Oficina Santa Lucia"/>
    <s v="SEM PLACA"/>
    <s v="SEM CHASSI"/>
    <x v="700"/>
    <s v="POC INDUSTRIA E COMERCIO DE FILTROS EIRELI"/>
    <s v="14.752.633/0001-60"/>
    <d v="2025-09-25T00:00:00"/>
    <n v="18000"/>
    <m/>
    <s v="SANTA LUCIA"/>
  </r>
  <r>
    <s v="EQU-388"/>
    <s v="IS000968"/>
    <m/>
    <n v="141361"/>
    <s v="Classe para Equip. Diversos Fz Grande Leste"/>
    <s v="SEM PLACA"/>
    <s v="SEM CHASSI"/>
    <x v="701"/>
    <s v="VALMONT INDUSTRIA E COMERCIO LTDA"/>
    <s v="01.669.679/0001-79"/>
    <d v="2023-12-28T00:00:00"/>
    <n v="1385000"/>
    <m/>
    <m/>
  </r>
  <r>
    <s v="EQU-389"/>
    <s v="IS000969"/>
    <m/>
    <n v="141379"/>
    <s v="Classe para Equip. Diversos Fz Grande Leste"/>
    <s v="SEM PLACA"/>
    <s v="SEM CHASSI"/>
    <x v="702"/>
    <s v="VALMONT INDUSTRIA E COMERCIO LTDA"/>
    <s v="01.669.679/0001-79"/>
    <d v="2023-12-28T00:00:00"/>
    <n v="1325000"/>
    <m/>
    <m/>
  </r>
  <r>
    <s v="EQU-390"/>
    <s v="IS000970"/>
    <m/>
    <n v="141382"/>
    <s v="Classe para Equip. Diversos Fz Grande Leste"/>
    <s v="SEM PLACA"/>
    <s v="SEM CHASSI"/>
    <x v="703"/>
    <s v="VALMONT INDUSTRIA E COMERCIO LTDA"/>
    <s v="01.669.679/0001-79"/>
    <d v="2023-12-28T00:00:00"/>
    <n v="1320000"/>
    <m/>
    <m/>
  </r>
  <r>
    <s v="EQU-391"/>
    <s v="IS000971"/>
    <m/>
    <n v="141377"/>
    <s v="Classe para Equip. Diversos Fz Grande Leste"/>
    <s v="SEM PLACA"/>
    <s v="SEM CHASSI"/>
    <x v="704"/>
    <s v="VALMONT INDUSTRIA E COMERCIO LTDA"/>
    <s v="01.669.679/0001-79"/>
    <d v="2023-12-28T00:00:00"/>
    <n v="1320000"/>
    <m/>
    <m/>
  </r>
  <r>
    <s v="EQU-392"/>
    <s v="IS000972"/>
    <m/>
    <n v="141393"/>
    <s v="Classe para Equip. Diversos Fz Grande Leste"/>
    <s v="SEM PLACA"/>
    <s v="SEM CHASSI"/>
    <x v="705"/>
    <s v="VALMONT INDUSTRIA E COMERCIO LTDA"/>
    <s v="01.669.679/0001-79"/>
    <d v="2023-12-28T00:00:00"/>
    <n v="1420000"/>
    <m/>
    <m/>
  </r>
  <r>
    <s v="EQU-393"/>
    <s v="IS000973"/>
    <m/>
    <n v="141059"/>
    <s v="Classe para Equip. Diversos Fz Grande Leste"/>
    <s v="SEM PLACA"/>
    <s v="SEM CHASSI"/>
    <x v="706"/>
    <s v="VALMONT INDUSTRIA E COMERCIO LTDA"/>
    <s v="01.669.679/0001-79"/>
    <d v="2023-12-28T00:00:00"/>
    <n v="1320000"/>
    <m/>
    <m/>
  </r>
  <r>
    <s v="EQU-394"/>
    <s v="IS000974"/>
    <m/>
    <n v="140983"/>
    <s v="Classe para Equip. Diversos Fz Grande Leste"/>
    <s v="SEM PLACA"/>
    <s v="SEM CHASSI"/>
    <x v="707"/>
    <s v="VALMONT INDUSTRIA E COMERCIO LTDA"/>
    <s v="01.669.679/0001-79"/>
    <d v="2023-12-28T00:00:00"/>
    <n v="1320000"/>
    <m/>
    <m/>
  </r>
  <r>
    <s v="EQU-395"/>
    <s v="IS000975"/>
    <m/>
    <n v="141136"/>
    <s v="Classe para Equip. Diversos Fz Grande Leste"/>
    <s v="SEM PLACA"/>
    <s v="SEM CHASSI"/>
    <x v="708"/>
    <s v="VALMONT INDUSTRIA E COMERCIO LTDA"/>
    <s v="01.669.679/0001-79"/>
    <d v="2023-12-28T00:00:00"/>
    <n v="1320000"/>
    <m/>
    <m/>
  </r>
  <r>
    <s v="EQU-396"/>
    <s v="IS000976"/>
    <m/>
    <n v="141097"/>
    <s v="Classe para Equip. Diversos Fz Grande Leste"/>
    <s v="SEM PLACA"/>
    <s v="SEM CHASSI"/>
    <x v="709"/>
    <s v="VALMONT INDUSTRIA E COMERCIO LTDA"/>
    <s v="01.669.679/0001-79"/>
    <d v="2023-12-28T00:00:00"/>
    <n v="1750000"/>
    <m/>
    <m/>
  </r>
  <r>
    <s v="EQU-397"/>
    <s v="IS000977"/>
    <m/>
    <n v="141057"/>
    <s v="Classe para Equip. Diversos Fz Grande Leste"/>
    <s v="SEM PLACA"/>
    <s v="SEM CHASSI"/>
    <x v="710"/>
    <s v="VALMONT INDUSTRIA E COMERCIO LTDA"/>
    <s v="01.669.679/0001-79"/>
    <d v="2023-12-28T00:00:00"/>
    <n v="1845000"/>
    <m/>
    <m/>
  </r>
  <r>
    <s v="VEI-077"/>
    <s v="IS000978"/>
    <m/>
    <n v="36865"/>
    <s v="Classe para Veiculos"/>
    <s v="SJP9H30"/>
    <s v="8AFBR01L5RJ368049"/>
    <x v="711"/>
    <s v="FORD MOTOR COMPANY BRASIL LTDA"/>
    <s v="03.470.727/0041-18"/>
    <d v="2023-12-28T00:00:00"/>
    <n v="284322.2"/>
    <m/>
    <m/>
  </r>
  <r>
    <s v="COL-017"/>
    <s v="IS000979"/>
    <m/>
    <n v="153856"/>
    <s v="Classe para Maquinas Implementos  Agricola Fz Santa Lucia"/>
    <s v="SEM PLACA"/>
    <s v="JHFY8250HPJB24367"/>
    <x v="712"/>
    <s v="MAXUM MAQUINAS E EQUIPAMENTOS LTDA"/>
    <s v="02.227.267/0001-41"/>
    <d v="2023-12-30T00:00:00"/>
    <n v="2220000"/>
    <s v="OK"/>
    <s v="JATOBA"/>
  </r>
  <r>
    <s v="EQU-383"/>
    <s v="IS000980"/>
    <m/>
    <n v="129519"/>
    <s v="Classe para Equip. Diversos Fz Santa Lucia"/>
    <s v="SEM PLACA"/>
    <s v="SEM CHASSI"/>
    <x v="127"/>
    <s v="DEUSDETE SOUSA SANTIAGO e CIA LTDA"/>
    <s v="01.966.026/0001-51"/>
    <d v="2023-12-29T00:00:00"/>
    <n v="2167.4699999999998"/>
    <m/>
    <m/>
  </r>
  <r>
    <s v="EQU-384"/>
    <s v="IS000981"/>
    <m/>
    <n v="129519"/>
    <s v="Classe para Equip. Diversos Fz Santa Lucia"/>
    <s v="SEM PLACA"/>
    <s v="SEM CHASSI"/>
    <x v="127"/>
    <s v="DEUSDETE SOUSA SANTIAGO e CIA LTDA"/>
    <s v="01.966.026/0001-52"/>
    <d v="2023-12-29T00:00:00"/>
    <n v="2167.4699999999998"/>
    <m/>
    <m/>
  </r>
  <r>
    <s v="EQU-381"/>
    <s v="IS000982"/>
    <m/>
    <n v="918384"/>
    <s v="Classe para Equip. Oficina Fz Santa Lucia"/>
    <s v="SEM PLACA"/>
    <s v="SEM CHASSI"/>
    <x v="713"/>
    <s v="IMPERIAL COM. DE PARAF. FER. E MAQ. LTDA"/>
    <s v="01.716.186/0001-42"/>
    <d v="2023-12-26T00:00:00"/>
    <n v="18800"/>
    <s v="OK"/>
    <m/>
  </r>
  <r>
    <s v="EQU-386"/>
    <s v="IS000983"/>
    <m/>
    <n v="130318"/>
    <s v="Classe para Equip. Diversos Fz Grande Leste"/>
    <s v="SEM PLACA"/>
    <s v="SEM CHASSI"/>
    <x v="332"/>
    <s v="DEUSDETE SOUSA SANTIAGO e CIA LTDA"/>
    <s v="01.966.026/0001-51"/>
    <d v="2024-01-16T00:00:00"/>
    <n v="3161.29"/>
    <m/>
    <m/>
  </r>
  <r>
    <s v="EQU-387"/>
    <s v="IS000984"/>
    <m/>
    <n v="187619"/>
    <s v="Classe para Equip. Diversos Fz Grande Leste"/>
    <s v="SEM PLACA"/>
    <s v="SEM CHASSI"/>
    <x v="714"/>
    <s v="LEM COMERCIO DE EPIS LTDA"/>
    <s v="13.168.084/0001-19"/>
    <d v="2024-01-22T00:00:00"/>
    <n v="3678.8"/>
    <s v="OK"/>
    <s v="GRANDE LESTE"/>
  </r>
  <r>
    <s v="IS000985"/>
    <s v="IS000985"/>
    <m/>
    <n v="73700"/>
    <s v="Classe para Equip. Oficina Fz Santa Lucia"/>
    <s v="SEM PLACA"/>
    <s v="SEM CHASSI"/>
    <x v="715"/>
    <s v="PORTO BRASIL AGRICOLA EIRELI"/>
    <s v="34.054.429/0002-64"/>
    <d v="2025-05-26T00:00:00"/>
    <n v="9454"/>
    <m/>
    <m/>
  </r>
  <r>
    <s v="COL-018"/>
    <s v="IS000986"/>
    <m/>
    <n v="153855"/>
    <s v="Classe para Maquinas Implementos  Agricola Fz Jatoba"/>
    <s v="SEM PLACA"/>
    <s v="JHFY8250PPJB24391"/>
    <x v="712"/>
    <s v="MAXUM MAQUINAS E EQUIPAMENTOS LTDA"/>
    <s v="02.227.267/0001-41"/>
    <d v="2023-12-30T00:00:00"/>
    <n v="2220000"/>
    <s v="OK"/>
    <s v="JATOBA"/>
  </r>
  <r>
    <s v="EQI-116"/>
    <s v="IS000987"/>
    <m/>
    <n v="57927"/>
    <s v="Classe para Informatica e Comunicaçao Fz St Expedito"/>
    <s v="SEM PLACA"/>
    <s v="SEM CHASSI"/>
    <x v="716"/>
    <s v="STANDBYTE INFORMATICA EIRELI"/>
    <s v="04.127.630/0001-82"/>
    <d v="2024-02-06T00:00:00"/>
    <n v="580"/>
    <s v="OK"/>
    <s v="SANTO EXPEDITO"/>
  </r>
  <r>
    <s v="EQU-374"/>
    <s v="IS000988"/>
    <m/>
    <n v="27247"/>
    <s v="Classe para Equip. Diversos Ubs Fz Santa lucia"/>
    <s v="SEM PLACA"/>
    <s v="SEM CHASSI"/>
    <x v="717"/>
    <s v="Tropical Estufas Agricolas Ltda."/>
    <s v="01.473.805/0001-15"/>
    <d v="2024-01-22T00:00:00"/>
    <n v="4604.1499999999996"/>
    <m/>
    <m/>
  </r>
  <r>
    <s v="EQU-375"/>
    <s v="IS000989"/>
    <m/>
    <n v="63539"/>
    <s v="Classe para Equip. Diversos Fz Santa Lucia"/>
    <s v="SEM PLACA"/>
    <s v="SEM CHASSI"/>
    <x v="718"/>
    <s v="PORTO BRASIL MOTORES E FERRAMENTAS LTDA"/>
    <s v="34.054.429/0002-64"/>
    <d v="2024-03-04T00:00:00"/>
    <n v="2815.2"/>
    <m/>
    <s v="JATOBA"/>
  </r>
  <r>
    <s v="IMP-264"/>
    <s v="IS000990"/>
    <m/>
    <n v="153857"/>
    <s v="Classe para Maquinas Implementos  Agricola Fz Santa Lucia"/>
    <s v="SEM PLACA"/>
    <s v="HCCB40FCTPCK23541"/>
    <x v="719"/>
    <s v="MAXUM MAQUINAS E EQUIPAMENTOS LTDA"/>
    <s v="02.227.267/0001-41"/>
    <d v="2023-12-30T00:00:00"/>
    <n v="500000"/>
    <s v="OK"/>
    <s v="SANTA LUCIA"/>
  </r>
  <r>
    <s v="EQI-113"/>
    <s v="IS000991"/>
    <m/>
    <n v="1624"/>
    <s v="Classe para Informatica e Comunicaçao Fz Santa Lucia"/>
    <s v="SEM PLACA"/>
    <s v="SEM CHASSI"/>
    <x v="720"/>
    <s v="OPTSIS SISTEMAS DE AUTOMACAO LTDA"/>
    <s v="32.813.710/0001-27"/>
    <d v="2024-01-31T00:00:00"/>
    <n v="5633.31"/>
    <s v="OK"/>
    <s v="SANTA LUCIA"/>
  </r>
  <r>
    <s v="VEI-079"/>
    <s v="IS000992"/>
    <m/>
    <n v="123646"/>
    <s v="Classe para Veiculos Fz Evangelista"/>
    <s v="SEM PLACA"/>
    <s v="9C2KC2500RR032937"/>
    <x v="275"/>
    <s v="LUZ MOTOS, COMERCIO, SERVICOS E PECAS LTDA"/>
    <s v="08.074.058/0002-72"/>
    <d v="2024-01-19T00:00:00"/>
    <n v="16900"/>
    <s v="OK"/>
    <s v="SANTO EXPEDITO"/>
  </r>
  <r>
    <s v="EQU-409"/>
    <s v="IS000993"/>
    <m/>
    <n v="3023"/>
    <s v="Classe para Equip. Diversos Fz Evangelista"/>
    <s v="SEM PLACA"/>
    <s v="SEM CHASSI"/>
    <x v="721"/>
    <s v="A FERRAMENTARIA COMERCIO E REPRESENTACOES DE MAQUINAS E FERR"/>
    <s v="38.925.602/0001-22"/>
    <d v="2024-01-31T00:00:00"/>
    <n v="1926.92"/>
    <m/>
    <m/>
  </r>
  <r>
    <s v="VEI-080"/>
    <s v="IS000994"/>
    <m/>
    <n v="84521"/>
    <s v="Classe para Veiculos"/>
    <s v="NZV1645"/>
    <s v="3C6RRBDT9PG528114"/>
    <x v="722"/>
    <s v="FCA FIAT CHRYSLER AUTOMOVEIS BRASIL LTDA"/>
    <s v="16.701.716/0025-23"/>
    <d v="2024-02-26T00:00:00"/>
    <n v="325376.07"/>
    <m/>
    <m/>
  </r>
  <r>
    <s v="IS000995"/>
    <s v="IS000995"/>
    <m/>
    <n v="291767"/>
    <s v="Classe para Veiculos"/>
    <s v="THD3H30"/>
    <s v="8AJDA3CDXS1851622"/>
    <x v="723"/>
    <s v="Toyota do Brasil Ltda"/>
    <s v="59.104.760/0005-15"/>
    <d v="2025-09-05T00:00:00"/>
    <n v="227897.74"/>
    <m/>
    <s v="ESCRITORIO CENTRAL"/>
  </r>
  <r>
    <s v="EQU-385"/>
    <s v="IS000996"/>
    <m/>
    <n v="129755"/>
    <s v="Classe para Equip. Diversos Fz Grande Leste"/>
    <s v="SEM PLACA"/>
    <s v="SEM CHASSI"/>
    <x v="724"/>
    <s v="DEUSDETE SOUSA SANTIAGO e CIA LTDA"/>
    <s v="01.966.026/0001-51"/>
    <d v="2024-01-05T00:00:00"/>
    <n v="17442.11"/>
    <s v="OK"/>
    <m/>
  </r>
  <r>
    <s v="EQU-398"/>
    <s v="IS000997"/>
    <m/>
    <m/>
    <s v="Classe para equip. Diversos Fz Santo Expedito"/>
    <s v="SEM PLACA"/>
    <s v="SEM CHASSI"/>
    <x v="725"/>
    <m/>
    <m/>
    <m/>
    <s v="_"/>
    <m/>
    <m/>
  </r>
  <r>
    <s v="EQU-399"/>
    <s v="IS000998"/>
    <m/>
    <m/>
    <s v="Classe para Equip. Diversos Fz Evangelista"/>
    <s v="SEM PLACA"/>
    <s v="SEM CHASSI"/>
    <x v="725"/>
    <m/>
    <m/>
    <m/>
    <n v="0"/>
    <m/>
    <m/>
  </r>
  <r>
    <s v="EQU-400"/>
    <s v="IS000999"/>
    <m/>
    <n v="26844"/>
    <s v="Classe para Equip. Oficina Fz Santa Lucia"/>
    <s v="SEM PLACA"/>
    <s v="SEM CHASSI"/>
    <x v="726"/>
    <s v="INDUSTRIAS NARDINI S/A"/>
    <s v="43.244.565/0001-27"/>
    <d v="2024-05-23T00:00:00"/>
    <n v="444138"/>
    <s v="OK"/>
    <m/>
  </r>
  <r>
    <s v="EQU-401"/>
    <s v="IS001000"/>
    <m/>
    <n v="664"/>
    <s v="Classe para Equip. Diversos Fz Grande Leste"/>
    <s v="SEM PLACA"/>
    <s v="SEM CHASSI"/>
    <x v="727"/>
    <s v="BRASMAQUINAS COMERCIO DE MAQUINAS AGRICOLAS E IRRIGACAO LTDA"/>
    <s v="00.145.531/0004-15"/>
    <d v="2025-11-12T00:00:00"/>
    <n v="5618"/>
    <s v="OK"/>
    <s v="GRANDE LESTE"/>
  </r>
  <r>
    <s v="EQU-402"/>
    <s v="IS001001"/>
    <m/>
    <n v="20307"/>
    <s v="Classe para Equip. Diversos Fz Santa Lucia"/>
    <s v="SEM PLACA"/>
    <s v="SEM CHASSI"/>
    <x v="728"/>
    <s v="CASA DO PICAPAU LTDA"/>
    <s v="50.223.823/0001-54"/>
    <d v="2024-02-22T00:00:00"/>
    <n v="6519"/>
    <m/>
    <m/>
  </r>
  <r>
    <s v="EQU-403"/>
    <s v="IS001002"/>
    <m/>
    <n v="933601"/>
    <s v="Classe para Equip. Oficina Fz Santa Lucia"/>
    <s v="SEM PLACA"/>
    <s v="SEM CHASSI"/>
    <x v="697"/>
    <s v="IMPERIAL COM. DE PARAF. FER. E MAQ. LTDA"/>
    <s v="01.716.186/0001-42"/>
    <d v="2024-02-24T00:00:00"/>
    <n v="2400"/>
    <m/>
    <m/>
  </r>
  <r>
    <s v="EQU-404"/>
    <s v="IS001003"/>
    <m/>
    <n v="933601"/>
    <s v="Classe para Equip. Oficina Fz Santa Lucia"/>
    <s v="SEM PLACA"/>
    <s v="SEM CHASSI"/>
    <x v="729"/>
    <s v="IMPERIAL COM. DE PARAF. FER. E MAQ. LTDA"/>
    <s v="01.716.186/0001-42"/>
    <d v="2024-02-24T00:00:00"/>
    <n v="6999"/>
    <m/>
    <m/>
  </r>
  <r>
    <s v="EQU-405"/>
    <s v="IS001004"/>
    <m/>
    <n v="933601"/>
    <s v="Classe para Equip. Oficina Fz Santa Lucia"/>
    <s v="SEM PLACA"/>
    <s v="SEM CHASSI"/>
    <x v="730"/>
    <s v="IMPERIAL COM. DE PARAF. FER. E MAQ. LTDA"/>
    <s v="01.716.186/0001-42"/>
    <d v="2024-02-24T00:00:00"/>
    <n v="2044"/>
    <m/>
    <m/>
  </r>
  <r>
    <s v="EQU-406"/>
    <s v="IS001005"/>
    <m/>
    <n v="933601"/>
    <s v="Classe para Equip. Oficina Fz Santa Lucia"/>
    <s v="SEM PLACA"/>
    <s v="SEM CHASSI"/>
    <x v="730"/>
    <s v="IMPERIAL COM. DE PARAF. FER. E MAQ. LTDA"/>
    <s v="01.716.186/0001-42"/>
    <d v="2024-02-24T00:00:00"/>
    <n v="2044"/>
    <m/>
    <m/>
  </r>
  <r>
    <s v="EQU-407"/>
    <s v="IS001006"/>
    <m/>
    <n v="275"/>
    <s v="Classe para Equip. Diversos Fz Santa Lucia"/>
    <s v="SEM PLACA"/>
    <s v="SEM CHASSI"/>
    <x v="731"/>
    <s v="GILMAR AFONSO KOLLN JUNIOR EIRELI"/>
    <s v="38.375.387/0001-33"/>
    <d v="2024-02-12T00:00:00"/>
    <n v="4900"/>
    <m/>
    <m/>
  </r>
  <r>
    <s v="EQU-408"/>
    <s v="IS001007"/>
    <m/>
    <n v="3240"/>
    <s v="Classe para Equip. Diversos Fz Santa Lucia"/>
    <s v="SEM PLACA"/>
    <s v="SEM CHASSI"/>
    <x v="732"/>
    <s v="A FERRAMENTARIA COMERCIO E REPRESENTACOES DE MAQUINAS E FERR"/>
    <s v="38.925.602/0001-22"/>
    <d v="2024-03-06T00:00:00"/>
    <n v="9489.48"/>
    <m/>
    <m/>
  </r>
  <r>
    <s v="EQU-410"/>
    <s v="IS001008"/>
    <m/>
    <n v="10030"/>
    <s v="Classe para Equip. Diversos Fz Santa Lucia"/>
    <s v="SEM PLACA"/>
    <s v="SEM CHASSI"/>
    <x v="733"/>
    <s v="BC FERRAMENTARIA"/>
    <s v="31.539.004/0001-76"/>
    <d v="2024-02-26T00:00:00"/>
    <n v="1983.29"/>
    <m/>
    <m/>
  </r>
  <r>
    <s v="EQU-411"/>
    <s v="IS001009"/>
    <m/>
    <n v="770"/>
    <s v="Classe para Equip. Diversos Fz Santa Lucia"/>
    <s v="SEM PLACA"/>
    <s v="SEM CHASSI"/>
    <x v="734"/>
    <s v="DIVISA COMERCIO E SERVICOS LTDA"/>
    <s v="11.190.449/0001-86"/>
    <d v="2024-02-23T00:00:00"/>
    <n v="20000"/>
    <s v="OK"/>
    <s v="SANTO EXPEDITO"/>
  </r>
  <r>
    <s v="IS001010"/>
    <s v="IS001010"/>
    <m/>
    <n v="2026"/>
    <s v="Classe para Informatica e Comunicaçao Fz Jatoba"/>
    <s v="SEM PLACA"/>
    <s v="SEM CHASSI"/>
    <x v="48"/>
    <s v="MELLO E MELLO TECNOLOGIA LTDA"/>
    <s v="24.923.049/0001-84"/>
    <d v="2025-02-05T00:00:00"/>
    <n v="4620"/>
    <s v="OK"/>
    <s v="JATOBA"/>
  </r>
  <r>
    <s v="IMP-226"/>
    <s v="IS001011"/>
    <m/>
    <n v="80873"/>
    <s v="Classe para Maquinas Implementos  Agricola Fz St Expedito"/>
    <s v="SEM PLACA"/>
    <s v="SEM CHASSI"/>
    <x v="735"/>
    <s v="BAMAGRIL - BARCELLOS MAQUINAS AGRICOLAS BAHIA LTDA"/>
    <s v="04.428.098/0001-33"/>
    <d v="2024-07-03T00:00:00"/>
    <n v="27300"/>
    <s v="OK"/>
    <s v="JATOBA"/>
  </r>
  <r>
    <s v="IS001012"/>
    <s v="IS001012"/>
    <m/>
    <n v="55418"/>
    <s v="Classe para Maq. Imp Agricola"/>
    <s v="SEM PLACA"/>
    <s v="SEM CHASSI"/>
    <x v="476"/>
    <s v="BC FERRAMENTARIA COMERCIO DE MAQUINAS FERRAMENTAS E UTILIDADES LTDA"/>
    <s v="31.539.004/0001-76"/>
    <d v="2025-02-25T00:00:00"/>
    <n v="2383.15"/>
    <m/>
    <s v="JATOBA"/>
  </r>
  <r>
    <s v="IS001013"/>
    <s v="IS001013"/>
    <m/>
    <m/>
    <s v="Classe para Maq. Imp Agricola"/>
    <s v="SEM PLACA"/>
    <s v="0411-01432"/>
    <x v="736"/>
    <m/>
    <m/>
    <m/>
    <n v="90000"/>
    <s v="OK"/>
    <s v="GRANDE LESTE"/>
  </r>
  <r>
    <s v="IMP-242"/>
    <s v="IS001014"/>
    <m/>
    <n v="321617"/>
    <s v="Classe para Veiculos Fz Santa Lucia"/>
    <s v="RPF3F84"/>
    <s v="94BC2133NNV004489"/>
    <x v="737"/>
    <s v="FACCHINI S.A"/>
    <s v="03.509.978/0016-58"/>
    <d v="2022-06-15T00:00:00"/>
    <n v="410000"/>
    <s v="OK"/>
    <s v="SANTA LUCIA"/>
  </r>
  <r>
    <s v="IMP-263"/>
    <s v="IS001015"/>
    <m/>
    <m/>
    <s v="Classe para Maquinas Implementos  Agricola Fz Santa Lucia"/>
    <s v="SEM PLACA"/>
    <s v="SEM CHASSI"/>
    <x v="655"/>
    <m/>
    <m/>
    <m/>
    <n v="0"/>
    <m/>
    <m/>
  </r>
  <r>
    <s v="IS001016"/>
    <s v="IS001016"/>
    <m/>
    <n v="1273"/>
    <s v="Classe para Informatica e Comunicaçao Fz Jatoba"/>
    <s v="SEM PLACA"/>
    <s v="SEM CHASSI"/>
    <x v="738"/>
    <s v="DJG GROUP TECNOLOGIA LTDA"/>
    <s v="58.193.477/0001-10"/>
    <d v="2025-07-07T00:00:00"/>
    <n v="4550"/>
    <m/>
    <s v="JATOBA"/>
  </r>
  <r>
    <s v="MAQ-020"/>
    <s v="IS001017"/>
    <m/>
    <n v="201162"/>
    <s v="Classe para Equip. Diversos Ubs Fz Santa lucia"/>
    <s v="SEM PLACA"/>
    <s v="SEM CHASSI"/>
    <x v="739"/>
    <s v="Kepler Weber Industrial S/A"/>
    <s v="87.288.940/0031-21"/>
    <d v="2024-01-25T00:00:00"/>
    <n v="281432"/>
    <m/>
    <m/>
  </r>
  <r>
    <s v="MAQ-021"/>
    <s v="IS001018"/>
    <m/>
    <n v="201162"/>
    <s v="Classe para Equip. Diversos Ubs Fz Santa lucia"/>
    <s v="SEM PLACA"/>
    <s v="SEM CHASSI"/>
    <x v="740"/>
    <s v="Kepler Weber Industrial S/A"/>
    <s v="87.288.940/0031-21"/>
    <d v="2024-01-25T00:00:00"/>
    <n v="518568"/>
    <m/>
    <m/>
  </r>
  <r>
    <s v="IS001019"/>
    <s v="IS001019"/>
    <m/>
    <n v="2784"/>
    <s v="Classe para Informatica e Comunicaçao"/>
    <s v="SEM PLACA"/>
    <s v="SEM CHASSI"/>
    <x v="48"/>
    <s v="MELLO E MELLO TECNOLOGIA LTDA."/>
    <s v="24.923.049/0001-84"/>
    <d v="2025-08-28T00:00:00"/>
    <n v="1750"/>
    <m/>
    <m/>
  </r>
  <r>
    <s v="IS001020"/>
    <s v="IS001020"/>
    <m/>
    <n v="2094"/>
    <s v="Classe para Moveis e Utensilios Fz Grande Leste"/>
    <s v="SEM PLACA"/>
    <s v="SEM CHASSI"/>
    <x v="520"/>
    <s v="DJG GROUP TECNOLOGIA LTDA"/>
    <s v="58.193.477/0001-10"/>
    <d v="2025-08-28T00:00:00"/>
    <n v="3400"/>
    <m/>
    <s v="GRANDE LESTE"/>
  </r>
  <r>
    <s v="IS001021"/>
    <s v="IS001021"/>
    <m/>
    <n v="2094"/>
    <s v="Classe para Moveis e Utensilios Fz Grande Leste"/>
    <s v="SEM PLACA"/>
    <s v="SEM CHASSI"/>
    <x v="520"/>
    <s v="DJG GROUP TECNOLOGIA LTDA"/>
    <s v="58.193.477/0001-10"/>
    <d v="2025-08-28T00:00:00"/>
    <n v="3400"/>
    <m/>
    <s v="GRANDE LESTE"/>
  </r>
  <r>
    <s v="IS001022"/>
    <s v="IS001022"/>
    <m/>
    <n v="452"/>
    <s v="Classe para Equip. Diversos"/>
    <s v="SEM PLACA"/>
    <s v="SEM CHASSI"/>
    <x v="403"/>
    <s v="METALURGICA LORENZI LTDA"/>
    <s v="38.375.387/0001-33"/>
    <d v="2025-07-09T00:00:00"/>
    <n v="27800"/>
    <m/>
    <s v="ESCRITORIO CENTRAL"/>
  </r>
  <r>
    <s v="MVU-120"/>
    <s v="IS001023"/>
    <m/>
    <n v="117"/>
    <s v="Classe para Moveis e Utensilios Fz Santa Lucia"/>
    <s v="SEM PLACA"/>
    <s v="SEM CHASSI"/>
    <x v="741"/>
    <s v="BMV COMERCIO DE MOVEIS EIRELI"/>
    <s v="34.861.590/0001-69"/>
    <d v="2022-07-26T00:00:00"/>
    <n v="12700"/>
    <m/>
    <m/>
  </r>
  <r>
    <s v="IS001024"/>
    <s v="IS001024"/>
    <m/>
    <n v="2094"/>
    <s v="Classe para Moveis e Utensilios Fz Grande Leste"/>
    <s v="SEM PLACA"/>
    <s v="SEM CHASSI"/>
    <x v="520"/>
    <s v="DJG GROUP TECNOLOGIA LTDA"/>
    <s v="58.193.477/0001-10"/>
    <d v="2025-08-28T00:00:00"/>
    <n v="3400"/>
    <m/>
    <s v="GRANDE LESTE"/>
  </r>
  <r>
    <s v="MVU-203"/>
    <s v="IS001025"/>
    <m/>
    <n v="19725"/>
    <s v="Classe para Moveis e Utensilios Fz Grande Leste"/>
    <s v="SEM PLACA"/>
    <s v="SEM CHASSI"/>
    <x v="742"/>
    <s v="CASA DO PICAPAU LTDA"/>
    <s v="50.223.823/0001-54"/>
    <d v="2024-02-09T00:00:00"/>
    <n v="3999"/>
    <s v="OK"/>
    <s v="GRANDE LESTE"/>
  </r>
  <r>
    <s v="MVU-204"/>
    <s v="IS001026"/>
    <m/>
    <n v="21238"/>
    <s v="Classe para Moveis e Utensilios Fz Evangelista"/>
    <s v="SEM PLACA"/>
    <s v="SEM CHASSI"/>
    <x v="654"/>
    <s v="Nosso Lar Lojas de Departamentos Ltda-Lj111"/>
    <s v="00.607.587/0029-00"/>
    <d v="2024-03-01T00:00:00"/>
    <n v="2399"/>
    <m/>
    <m/>
  </r>
  <r>
    <s v="MVU-205"/>
    <s v="IS001027"/>
    <m/>
    <n v="21834"/>
    <s v="Classe para Moveis e Utensilios Fz Grande Leste"/>
    <s v="SEM PLACA"/>
    <s v="SEM CHASSI"/>
    <x v="520"/>
    <s v="Nosso Lar Lojas de Departamentos Ltda-Lj111"/>
    <s v="00.607.587/0029-00"/>
    <d v="2024-03-14T00:00:00"/>
    <n v="2399"/>
    <m/>
    <m/>
  </r>
  <r>
    <s v="MVU-206"/>
    <s v="IS001028"/>
    <m/>
    <n v="20307"/>
    <s v="Classe para Moveis e Utensilios Fz Santa Lucia"/>
    <s v="SEM PLACA"/>
    <s v="SEM CHASSI"/>
    <x v="743"/>
    <s v="CASA DO PICAPAU LTDA"/>
    <s v="50.223.823/0001-54"/>
    <d v="2024-02-22T00:00:00"/>
    <n v="3298.4"/>
    <s v="OK"/>
    <m/>
  </r>
  <r>
    <s v="MVU-207"/>
    <s v="IS001029"/>
    <m/>
    <n v="21834"/>
    <s v="Classe para Moveis e Utensilios Fz Grande Leste"/>
    <s v="SEM PLACA"/>
    <s v="SEM CHASSI"/>
    <x v="744"/>
    <s v="Nosso Lar Lojas de Departamentos Ltda-Lj111"/>
    <s v="00.607.587/0029-00"/>
    <d v="2024-03-14T00:00:00"/>
    <n v="2399"/>
    <m/>
    <m/>
  </r>
  <r>
    <s v="MVU-208"/>
    <s v="IS001030"/>
    <m/>
    <n v="21834"/>
    <s v="Classe para Moveis e Utensilios Fz Grande Leste"/>
    <s v="SEM PLACA"/>
    <s v="SEM CHASSI"/>
    <x v="744"/>
    <s v="Nosso Lar Lojas de Departamentos Ltda-Lj111"/>
    <s v="00.607.587/0029-01"/>
    <d v="2024-03-14T00:00:00"/>
    <n v="2399"/>
    <m/>
    <m/>
  </r>
  <r>
    <s v="MVU-209"/>
    <s v="IS001031"/>
    <m/>
    <n v="47668"/>
    <s v="Classe para Moveis e Utensilios Fz Santo Expedito"/>
    <s v="SEM PLACA"/>
    <s v="SEM CHASSI"/>
    <x v="744"/>
    <s v="Nosso Lar Lojas de Departamentos Ltda-Lj111"/>
    <s v="00.607.587/0029-00"/>
    <d v="2025-11-21T00:00:00"/>
    <n v="2499.9"/>
    <m/>
    <m/>
  </r>
  <r>
    <s v="MVU-210"/>
    <s v="IS001032"/>
    <m/>
    <n v="21834"/>
    <s v="Classe para Moveis e Utensilios Fz Grande Leste"/>
    <s v="SEM PLACA"/>
    <s v="SEM CHASSI"/>
    <x v="745"/>
    <s v="Nosso Lar Lojas de Departamentos Ltda-Lj111"/>
    <s v="00.607.587/0029-03"/>
    <d v="2024-03-14T00:00:00"/>
    <n v="2399"/>
    <m/>
    <m/>
  </r>
  <r>
    <s v="IS001033"/>
    <s v="IS001033"/>
    <m/>
    <n v="61982"/>
    <s v="Classe para Maq. Imp Agricola"/>
    <s v="SEM PLACA"/>
    <s v="91V07144SSC218409"/>
    <x v="746"/>
    <s v="GUERRA IMPLEMENTOS RODOVIARIOS S/A"/>
    <s v="31.008.318/0004-95"/>
    <d v="2025-02-28T00:00:00"/>
    <n v="210000"/>
    <m/>
    <s v="SANTA LUCIA"/>
  </r>
  <r>
    <s v="EQU-412"/>
    <s v="IS001034"/>
    <m/>
    <n v="10586"/>
    <s v="Classe para Equip. Oficina Fz Santo Expedito"/>
    <s v="SEM PLACA"/>
    <s v="SEM CHASSI"/>
    <x v="747"/>
    <s v="BC FERRAMENTARIA"/>
    <s v="31.539.004/0001-76"/>
    <d v="2024-03-06T00:00:00"/>
    <n v="2260.69"/>
    <m/>
    <m/>
  </r>
  <r>
    <s v="EQU-413"/>
    <s v="IS001035"/>
    <m/>
    <n v="26932"/>
    <s v="Classe para Equip. Oficina Fz Santo Expedito"/>
    <s v="SEM PLACA"/>
    <s v="SEM CHASSI"/>
    <x v="476"/>
    <s v="BASE MSG LTDA"/>
    <s v="24.272.128/0001-72"/>
    <d v="2025-08-21T00:00:00"/>
    <n v="2325"/>
    <m/>
    <s v="SANTA LUCIA"/>
  </r>
  <r>
    <s v="EQU-414"/>
    <s v="IS001036"/>
    <m/>
    <n v="3131"/>
    <s v="Classe para Equip. Diversos Fz Santa Lucia"/>
    <s v="SEM PLACA"/>
    <s v="SEM CHASSI"/>
    <x v="748"/>
    <s v="BIO JET MAQUINAS E EQUIPAMENTOS LTDA"/>
    <s v="41.061.119/0001-51"/>
    <d v="2024-03-05T00:00:00"/>
    <n v="5504.66"/>
    <m/>
    <m/>
  </r>
  <r>
    <s v="EQU-415"/>
    <s v="IS001037"/>
    <m/>
    <n v="118881"/>
    <s v="Classe para Equip. Diversos Fz Santa Lucia"/>
    <s v="SEM PLACA"/>
    <s v="SEM CHASSI"/>
    <x v="749"/>
    <s v="Grimaldi Ind. de Equip. para Transportes Ltda"/>
    <s v="52.771.540/0001-72"/>
    <d v="2024-01-11T00:00:00"/>
    <n v="31000"/>
    <m/>
    <m/>
  </r>
  <r>
    <s v="EQU-416"/>
    <s v="IS001038"/>
    <m/>
    <n v="133405"/>
    <s v="Classe para Equip. Oficina Fz Santa Lucia"/>
    <s v="SEM PLACA"/>
    <s v="SEM CHASSI"/>
    <x v="492"/>
    <s v="DEUSDETE SOUSA SANTIAGO e CIA LTDA"/>
    <s v="01.966.026/0001-51"/>
    <d v="2024-03-11T00:00:00"/>
    <n v="2420.63"/>
    <s v="OK"/>
    <s v="SANTA LUCIA"/>
  </r>
  <r>
    <s v="IMP-266"/>
    <s v="IS001039"/>
    <m/>
    <n v="78650"/>
    <s v="Classe para Maquinas Implementos  Agricola Fz Jatoba"/>
    <s v="SEM PLACA"/>
    <n v="60200592207"/>
    <x v="750"/>
    <s v="BAMAGRIL - BARCELLOS MAQUINAS AGRICOLAS BAHIA LTDA"/>
    <s v="04.428.098/0001-33"/>
    <d v="2024-03-25T00:00:00"/>
    <n v="29700"/>
    <s v="OK"/>
    <m/>
  </r>
  <r>
    <s v="IMP-267"/>
    <s v="IS001040"/>
    <m/>
    <n v="689"/>
    <s v="Classe para Maquinas Implementos  Agricola Fz Jatoba"/>
    <s v="SEM PLACA"/>
    <s v="2024CSC2400JM230F"/>
    <x v="751"/>
    <s v="CSC INDUSTRIA DE MAQUINAS EQUIPAMENTOS "/>
    <s v="03.637.657/0001-52"/>
    <d v="2024-02-26T00:00:00"/>
    <n v="680000"/>
    <s v="OK"/>
    <m/>
  </r>
  <r>
    <s v="IMP-268"/>
    <s v="IS001041"/>
    <m/>
    <n v="689"/>
    <s v="Classe para Maquinas Implementos  Agricola Fz Jatoba"/>
    <s v="SEM PLACA"/>
    <s v="2024CSC2400JM231F"/>
    <x v="751"/>
    <s v="CSC INDUSTRIA DE MAQUINAS EQUIPAMENTOS "/>
    <s v="03.637.657/0001-52"/>
    <d v="2024-02-26T00:00:00"/>
    <n v="680000"/>
    <s v="OK"/>
    <m/>
  </r>
  <r>
    <s v="IMP-269"/>
    <s v="IS001042"/>
    <m/>
    <m/>
    <s v="Classe para Maquinas Implementos  Agricola Fz Santa Lucia"/>
    <s v="SEM PLACA"/>
    <s v="SEM CHASSI"/>
    <x v="752"/>
    <m/>
    <m/>
    <m/>
    <n v="23814"/>
    <m/>
    <m/>
  </r>
  <r>
    <s v="IMP-270"/>
    <s v="IS001043"/>
    <m/>
    <n v="118493"/>
    <s v="Classe para Equip. Diversos Fz Santa Lucia"/>
    <s v="SEM PLACA"/>
    <s v="SEM CHASSI"/>
    <x v="753"/>
    <s v="Grimaldi Ind. de Equip. para Transportes Ltd"/>
    <s v="52.771.540/0001-72"/>
    <d v="2023-12-14T00:00:00"/>
    <n v="115700"/>
    <m/>
    <m/>
  </r>
  <r>
    <s v="IMP-271"/>
    <s v="IS001044"/>
    <m/>
    <n v="689"/>
    <s v="Classe para Maquinas Implementos  Agricola Fz Jatoba"/>
    <s v="SEM PLACA"/>
    <s v="2024CSC2400JM232F"/>
    <x v="751"/>
    <s v="CSC INDUSTRIA DE MAQUINAS EQUIPAMENTOS "/>
    <s v="03.637.657/0001-52"/>
    <d v="2024-02-26T00:00:00"/>
    <n v="680000"/>
    <s v="OK"/>
    <m/>
  </r>
  <r>
    <s v="IMP-272"/>
    <s v="IS001045"/>
    <m/>
    <n v="689"/>
    <s v="Classe para Maquinas Implementos  Agricola Fz Jatoba"/>
    <s v="SEM PLACA"/>
    <s v="2024CSC2400JM233F"/>
    <x v="751"/>
    <s v="CSC INDUSTRIA DE MAQUINAS EQUIPAMENTOS "/>
    <s v="03.637.657/0001-52"/>
    <d v="2024-02-26T00:00:00"/>
    <n v="680000"/>
    <s v="OK"/>
    <m/>
  </r>
  <r>
    <s v="MVU-211"/>
    <s v="IS001046"/>
    <m/>
    <n v="256744"/>
    <s v="Classe para Moveis e Utensilios Fz Santa Lucia"/>
    <s v="SEM PLACA"/>
    <s v="SEM CHASSI"/>
    <x v="754"/>
    <s v="CATRAL REFRIGERACAO E ELETRODOMESTICOS LTDA"/>
    <s v="02.375.921/0011-36"/>
    <d v="2024-03-13T00:00:00"/>
    <n v="10694.97"/>
    <s v="OK"/>
    <m/>
  </r>
  <r>
    <s v="MVU-212"/>
    <s v="IS001047"/>
    <m/>
    <n v="256744"/>
    <s v="Classe para Moveis e Utensilios Fz Santa Lucia"/>
    <s v="SEM PLACA"/>
    <s v="SEM CHASSI"/>
    <x v="755"/>
    <s v="CATRAL REFRIGERACAO E ELETRODOMESTICOS LTDA"/>
    <s v="02.375.921/0011-37"/>
    <d v="2024-03-13T00:00:00"/>
    <n v="4448.68"/>
    <s v="OK"/>
    <m/>
  </r>
  <r>
    <s v="MVU-213"/>
    <s v="IS001048"/>
    <m/>
    <n v="256744"/>
    <s v="Classe para Moveis e Utensilios Fz Santa Lucia"/>
    <s v="SEM PLACA"/>
    <s v="SEM CHASSI"/>
    <x v="756"/>
    <s v="CATRAL REFRIGERACAO E ELETRODOMESTICOS LTDA"/>
    <s v="02.375.921/0011-38"/>
    <d v="2024-03-13T00:00:00"/>
    <n v="3003.14"/>
    <s v="OK"/>
    <m/>
  </r>
  <r>
    <s v="MVU-214"/>
    <s v="IS001049"/>
    <m/>
    <n v="256744"/>
    <s v="Classe para Moveis e Utensilios Fz Santa Lucia"/>
    <s v="SEM PLACA"/>
    <s v="SEM CHASSI"/>
    <x v="757"/>
    <s v="CATRAL REFRIGERACAO E ELETRODOMESTICOS LTDA"/>
    <s v="02.375.921/0011-39"/>
    <d v="2024-03-13T00:00:00"/>
    <n v="1987.57"/>
    <s v="OK"/>
    <m/>
  </r>
  <r>
    <s v="MVU-215"/>
    <s v="IS001050"/>
    <m/>
    <n v="256744"/>
    <s v="Classe para Moveis e Utensilios Fz Santa Lucia"/>
    <s v="SEM PLACA"/>
    <s v="SEM CHASSI"/>
    <x v="758"/>
    <s v="CATRAL REFRIGERACAO E ELETRODOMESTICOS LTDA"/>
    <s v="02.375.921/0011-40"/>
    <d v="2024-03-13T00:00:00"/>
    <n v="1727.59"/>
    <s v="OK"/>
    <m/>
  </r>
  <r>
    <s v="MVU-216"/>
    <s v="IS001051"/>
    <m/>
    <n v="256744"/>
    <s v="Classe para Moveis e Utensilios Fz Santa Lucia"/>
    <s v="SEM PLACA"/>
    <s v="SEM CHASSI"/>
    <x v="759"/>
    <s v="CATRAL REFRIGERACAO E ELETRODOMESTICOS LTDA"/>
    <s v="02.375.921/0011-41"/>
    <d v="2024-03-13T00:00:00"/>
    <n v="2357.37"/>
    <m/>
    <m/>
  </r>
  <r>
    <s v="MVU-217"/>
    <s v="IS001052"/>
    <m/>
    <n v="256744"/>
    <s v="Classe para Moveis e Utensilios Fz Santa Lucia"/>
    <s v="SEM PLACA"/>
    <s v="SEM CHASSI"/>
    <x v="760"/>
    <s v="CATRAL REFRIGERACAO E ELETRODOMESTICOS LTDA"/>
    <s v="02.375.921/0011-42"/>
    <d v="2024-03-13T00:00:00"/>
    <n v="8405.75"/>
    <s v="OK"/>
    <m/>
  </r>
  <r>
    <s v="MVU-218"/>
    <s v="IS001053"/>
    <m/>
    <n v="256744"/>
    <s v="Classe para Moveis e Utensilios Fz Santa Lucia"/>
    <s v="SEM PLACA"/>
    <s v="SEM CHASSI"/>
    <x v="761"/>
    <s v="CATRAL REFRIGERACAO E ELETRODOMESTICOS LTDA"/>
    <s v="02.375.921/0011-43"/>
    <d v="2024-03-13T00:00:00"/>
    <n v="2569.66"/>
    <s v="OK"/>
    <m/>
  </r>
  <r>
    <s v="MVU-219"/>
    <s v="IS001054"/>
    <m/>
    <n v="256744"/>
    <s v="Classe para Moveis e Utensilios Fz Santa Lucia"/>
    <s v="SEM PLACA"/>
    <s v="SEM CHASSI"/>
    <x v="762"/>
    <s v="CATRAL REFRIGERACAO E ELETRODOMESTICOS LTDA"/>
    <s v="02.375.921/0011-44"/>
    <d v="2024-03-13T00:00:00"/>
    <n v="4342.46"/>
    <m/>
    <m/>
  </r>
  <r>
    <s v="MVU-220"/>
    <s v="IS001055"/>
    <m/>
    <n v="256744"/>
    <s v="Classe para Moveis e Utensilios Fz Santa Lucia"/>
    <s v="SEM PLACA"/>
    <s v="SEM CHASSI"/>
    <x v="763"/>
    <s v="CATRAL REFRIGERACAO E ELETRODOMESTICOS LTDA"/>
    <s v="02.375.921/0011-45"/>
    <d v="2024-03-13T00:00:00"/>
    <n v="2143.87"/>
    <s v="OK"/>
    <m/>
  </r>
  <r>
    <s v="MVU-221"/>
    <s v="IS001056"/>
    <m/>
    <n v="257083"/>
    <s v="Classe para Moveis e Utensilios Fz Santa Lucia"/>
    <s v="SEM PLACA"/>
    <s v="SEM CHASSI"/>
    <x v="755"/>
    <s v="CATRAL REFRIGERACAO E ELETRODOMESTICOS LTDA"/>
    <s v="02.375.921/0011-36"/>
    <d v="2024-03-18T00:00:00"/>
    <n v="4699"/>
    <s v="OK"/>
    <m/>
  </r>
  <r>
    <s v="IS001057"/>
    <s v="IS001057"/>
    <m/>
    <n v="31928"/>
    <s v="Classe para Informatica e Comunicaçao Fz St Expedito"/>
    <s v="SEM PLACA"/>
    <s v="SEM CHASSI"/>
    <x v="48"/>
    <s v="TECNOSUL COMPANY LTDA"/>
    <s v="26.037.394/0001-46"/>
    <d v="2025-08-18T00:00:00"/>
    <n v="1899.9"/>
    <m/>
    <s v="SANTO EXPEDITO"/>
  </r>
  <r>
    <s v="VEI-046"/>
    <s v="IS001058"/>
    <m/>
    <m/>
    <s v="Classe para Veiculos"/>
    <s v="RCU9D58"/>
    <s v="8AJKA3CD1L3081971"/>
    <x v="764"/>
    <m/>
    <m/>
    <m/>
    <n v="169293.3"/>
    <s v="OK"/>
    <s v="JATOBA"/>
  </r>
  <r>
    <s v="IS001059"/>
    <s v="IS001059"/>
    <m/>
    <n v="1479"/>
    <s v="Classe para equip. Diversos Fz Santo Expedito"/>
    <s v="SEM PLACA"/>
    <s v="SEM CHASSI"/>
    <x v="765"/>
    <s v="DELTA AGRO COMERCIO E REPRESENTACOES LTDA"/>
    <s v="17.321.807/0001-29"/>
    <d v="2024-03-14T00:00:00"/>
    <n v="7651"/>
    <m/>
    <m/>
  </r>
  <r>
    <s v="IS001060"/>
    <s v="IS001060"/>
    <m/>
    <n v="15356323"/>
    <s v="Classe para Moveis e Utensilios Fz Santa Lucia"/>
    <s v="SEM PLACA"/>
    <s v="SEM CHASSI"/>
    <x v="766"/>
    <s v="GRUPO CASAS BAHIA SA"/>
    <s v="33.041.260/0486-04"/>
    <d v="2024-04-12T00:00:00"/>
    <n v="2999"/>
    <s v="OK"/>
    <m/>
  </r>
  <r>
    <s v="IS001061"/>
    <s v="IS001061"/>
    <m/>
    <n v="257747"/>
    <s v="Classe para Moveis e Utensilios Fz Santa Lucia"/>
    <s v="SEM PLACA"/>
    <s v="SEM CHASSI"/>
    <x v="767"/>
    <s v="CATRAL REFRIGERACAO E ELETRODOMESTICOS LTDA"/>
    <s v="02.375.921/0011-36"/>
    <d v="2024-03-26T00:00:00"/>
    <n v="5300"/>
    <m/>
    <m/>
  </r>
  <r>
    <s v="IS001062"/>
    <s v="IS001062"/>
    <m/>
    <n v="9818"/>
    <s v="Classe para Veiculos Fz Santa Lucia"/>
    <s v="OLX6I69"/>
    <s v="9532L82W6CR236017"/>
    <x v="768"/>
    <s v="DANIEL FRANCIOSI"/>
    <s v="544.053.510-15"/>
    <d v="2024-05-10T00:00:00"/>
    <n v="220000"/>
    <s v="OK"/>
    <s v="SANTA LUCIA"/>
  </r>
  <r>
    <s v="IS001063"/>
    <s v="IS001063"/>
    <m/>
    <n v="689"/>
    <s v="Classe para Maquinas Implementos  Agricola Fz Jatoba"/>
    <s v="SEM PLACA"/>
    <s v="2024CSC2400JM234F"/>
    <x v="751"/>
    <s v="CSC INDUSTRIA DE MAQUINAS EQUIPAMENTOS "/>
    <s v="03.637.657/0001-52"/>
    <d v="2024-02-26T00:00:00"/>
    <n v="680000"/>
    <s v="OK"/>
    <m/>
  </r>
  <r>
    <s v="IS001064"/>
    <s v="IS001064"/>
    <m/>
    <n v="689"/>
    <s v="Classe para Maquinas Implementos  Agricola Fz Jatoba"/>
    <s v="SEM PLACA"/>
    <s v="2024CSC2400JM235F"/>
    <x v="751"/>
    <s v="CSC INDUSTRIA DE MAQUINAS EQUIPAMENTOS "/>
    <s v="03.637.657/0001-52"/>
    <d v="2024-03-26T00:00:00"/>
    <n v="680000"/>
    <s v="OK"/>
    <m/>
  </r>
  <r>
    <s v="IS001065"/>
    <s v="IS001065"/>
    <m/>
    <s v="TERRAS "/>
    <s v="Classe para Terras"/>
    <s v="SEM PLACA"/>
    <s v="SEM CHASSI"/>
    <x v="769"/>
    <m/>
    <m/>
    <d v="2023-12-31T00:00:00"/>
    <n v="615411.60000000009"/>
    <s v="IMOVEL RURAL E INSTALAÇÕES "/>
    <m/>
  </r>
  <r>
    <s v="IS001066"/>
    <s v="IS001066"/>
    <m/>
    <m/>
    <s v="Classe para Equip. Diversos"/>
    <m/>
    <m/>
    <x v="770"/>
    <s v="SACI SOLUCOES AMOSTRAGEM E COLETA DE INFORMACOES LTDA"/>
    <s v="11.484.421/0001-51"/>
    <d v="2023-12-31T00:00:00"/>
    <n v="63068"/>
    <s v="IMOVEL RURAL E INSTALAÇÕES "/>
    <m/>
  </r>
  <r>
    <s v="IS001067"/>
    <s v="IS001067"/>
    <m/>
    <s v="TERRAS "/>
    <s v="Classe para Terras"/>
    <m/>
    <m/>
    <x v="771"/>
    <s v="ESTEVES ENGENHARIA LTDA"/>
    <s v="41.096.085/0001-30"/>
    <d v="2023-12-31T00:00:00"/>
    <n v="246976.24"/>
    <s v="IMOVEL RURAL E INSTALAÇÕES "/>
    <s v="GRANDE LESTE"/>
  </r>
  <r>
    <s v="IS001068"/>
    <s v="IS001068"/>
    <m/>
    <s v="TERRAS "/>
    <s v="Classe para Terras"/>
    <m/>
    <m/>
    <x v="772"/>
    <s v="ESTEVES ENGENHARIA LTDA"/>
    <s v="41.096.085/0001-30"/>
    <d v="2023-12-31T00:00:00"/>
    <n v="262508.02999999997"/>
    <s v="IMOVEL RURAL E INSTALAÇÕES "/>
    <s v="SANTA LUCIA"/>
  </r>
  <r>
    <s v="IS001069"/>
    <s v="IS001069"/>
    <m/>
    <s v="IMOVEIS"/>
    <s v="Classe para imoveis, construcoes"/>
    <s v="SEM PLACA"/>
    <s v="SEM CHASSI"/>
    <x v="773"/>
    <m/>
    <m/>
    <m/>
    <n v="0"/>
    <s v="IMOVEL RURAL E INSTALAÇÕES "/>
    <s v="SANTA LUCIA"/>
  </r>
  <r>
    <s v="IS001070"/>
    <s v="IS001070"/>
    <m/>
    <m/>
    <s v="Classe para Equip. Diversos"/>
    <m/>
    <m/>
    <x v="774"/>
    <s v="JOSE DENICIO DOS SANTOS"/>
    <s v="13.350.728/0001-95"/>
    <m/>
    <n v="36932.959999999999"/>
    <m/>
    <s v="SANTA LUCIA"/>
  </r>
  <r>
    <s v="IS001071"/>
    <s v="IS001071"/>
    <m/>
    <n v="2080"/>
    <s v="Classe para Equip. Diversos Fz Santa Lucia"/>
    <s v="SEM PLACA"/>
    <s v="SEM CHASSI"/>
    <x v="775"/>
    <s v="KOLLN ESTRUTURAS E SERVICOS LTDA"/>
    <s v="79.205.530/0001-26"/>
    <d v="2025-08-21T00:00:00"/>
    <n v="19900"/>
    <m/>
    <s v="SANTA LUCIA"/>
  </r>
  <r>
    <s v="IS001072"/>
    <s v="IS001072"/>
    <m/>
    <n v="24806"/>
    <s v="Classe para Moveis e Utensilios Fz Santa Lucia"/>
    <s v="SEM PLACA"/>
    <s v="SEM CHASSI"/>
    <x v="776"/>
    <s v="BASE MSG LTDA"/>
    <s v="24.272.128/0001-72"/>
    <d v="2025-06-11T00:00:00"/>
    <n v="6100"/>
    <m/>
    <s v="SANTA LUCIA"/>
  </r>
  <r>
    <s v="IS001073"/>
    <s v="IS001073"/>
    <m/>
    <s v="TERRAS "/>
    <s v="Classe para Terras"/>
    <m/>
    <m/>
    <x v="777"/>
    <s v="JOSE DENICIO DOS SANTOS"/>
    <s v="13.350.728/0001-95"/>
    <d v="2023-12-31T00:00:00"/>
    <n v="149014.56999999998"/>
    <s v="IMOVEL RURAL E INSTALAÇÕES "/>
    <s v="SANTA LUCIA"/>
  </r>
  <r>
    <s v="IS001074"/>
    <s v="IS001074"/>
    <m/>
    <s v="TERRAS "/>
    <s v="Classe para Terras"/>
    <m/>
    <m/>
    <x v="778"/>
    <m/>
    <m/>
    <d v="2024-09-30T00:00:00"/>
    <n v="29204"/>
    <s v="IMOVEL RURAL E INSTALAÇÕES "/>
    <s v="SANTA LUCIA"/>
  </r>
  <r>
    <s v="IS001075"/>
    <s v="IS001075"/>
    <m/>
    <s v="TERRAS "/>
    <s v="Classe para Terras"/>
    <m/>
    <m/>
    <x v="779"/>
    <m/>
    <m/>
    <d v="2024-09-30T00:00:00"/>
    <n v="59852"/>
    <s v="IMOVEL RURAL E INSTALAÇÕES "/>
    <s v="GRANDE LESTE"/>
  </r>
  <r>
    <s v="IS001076"/>
    <s v="IS001076"/>
    <m/>
    <m/>
    <s v="Classe para Equip. Diversos"/>
    <m/>
    <m/>
    <x v="780"/>
    <m/>
    <m/>
    <m/>
    <n v="6073"/>
    <s v="IMOVEL RURAL E INSTALAÇÕES "/>
    <s v="GRANDE LESTE"/>
  </r>
  <r>
    <s v="IS001077"/>
    <s v="IS001077"/>
    <m/>
    <s v="TERRAS "/>
    <s v="Classe para Terras"/>
    <m/>
    <m/>
    <x v="781"/>
    <m/>
    <m/>
    <d v="2024-09-30T00:00:00"/>
    <n v="834862"/>
    <s v="IMOVEL RURAL E INSTALAÇÕES "/>
    <s v="SANTA LUCIA"/>
  </r>
  <r>
    <s v="PUL-010"/>
    <s v="IS001078"/>
    <m/>
    <n v="6962"/>
    <s v="Classe para Maquinas Implementos  Agricola Fz Jatoba"/>
    <s v="SEM PLACA"/>
    <s v="PRCYP350ALPC04161"/>
    <x v="246"/>
    <s v="MAXUM MAQUINAS E EQUIPAMENTOS LTDA"/>
    <s v="02.227.267/0001-42"/>
    <d v="2020-09-22T00:00:00"/>
    <n v="825000"/>
    <s v="OK"/>
    <m/>
  </r>
  <r>
    <s v="IS001079"/>
    <s v="IS001079"/>
    <m/>
    <m/>
    <s v="Classe para Equip. Diversos"/>
    <s v="SEM PLACA"/>
    <s v="SEM CHASSI"/>
    <x v="782"/>
    <s v="DANIEL FRANCIOSI"/>
    <s v="544.053.510-15"/>
    <m/>
    <n v="178304.83"/>
    <s v="IMOVEL RURAL E INSTALAÇÕES "/>
    <s v="GRANDE LESTE"/>
  </r>
  <r>
    <s v="IS001080"/>
    <s v="IS001080"/>
    <m/>
    <m/>
    <s v="Classe para Equip. Diversos"/>
    <s v="SEM PLACA"/>
    <s v="SEM CHASSI"/>
    <x v="783"/>
    <s v="DANIEL FRANCIOSI"/>
    <s v="544.053.510-15"/>
    <m/>
    <n v="1252253"/>
    <s v="IMOVEL RURAL E INSTALAÇÕES "/>
    <s v="SANTA LUCIA"/>
  </r>
  <r>
    <s v="IS001081"/>
    <s v="IS001081"/>
    <m/>
    <m/>
    <s v="Classe para Equip. Diversos"/>
    <m/>
    <m/>
    <x v="784"/>
    <m/>
    <m/>
    <d v="2024-09-30T00:00:00"/>
    <n v="54541"/>
    <s v="IMOVEL RURAL E INSTALAÇÕES "/>
    <s v="GRANDE LESTE"/>
  </r>
  <r>
    <s v="IS001082"/>
    <s v="IS001082"/>
    <m/>
    <s v="TERRAS "/>
    <s v="Classe para Terras"/>
    <m/>
    <m/>
    <x v="785"/>
    <m/>
    <m/>
    <d v="2024-09-30T00:00:00"/>
    <n v="151676"/>
    <s v="IMOVEL RURAL E INSTALAÇÕES "/>
    <s v="SANTO EXPEDITO"/>
  </r>
  <r>
    <s v="IS001083"/>
    <s v="IS001083"/>
    <m/>
    <s v="TERRAS "/>
    <s v="Classe para Terras"/>
    <m/>
    <m/>
    <x v="786"/>
    <m/>
    <m/>
    <d v="2024-09-30T00:00:00"/>
    <n v="60448"/>
    <s v="IMOVEL RURAL E INSTALAÇÕES "/>
    <s v="GRANDE LESTE"/>
  </r>
  <r>
    <s v="IS001084"/>
    <s v="IS001084"/>
    <m/>
    <s v="TERRAS "/>
    <s v="Classe para Terras"/>
    <m/>
    <m/>
    <x v="787"/>
    <s v="JOSE DENICIO DOS SANTOS"/>
    <s v="13.350.728/0001-95"/>
    <d v="2023-12-31T00:00:00"/>
    <n v="193822.67"/>
    <s v="IMOVEL RURAL E INSTALAÇÕES "/>
    <s v="SANTA LUCIA"/>
  </r>
  <r>
    <s v="IS001085"/>
    <s v="IS001085"/>
    <m/>
    <s v="TERRAS "/>
    <s v="Classe para Terras"/>
    <m/>
    <m/>
    <x v="788"/>
    <m/>
    <m/>
    <d v="2024-09-30T00:00:00"/>
    <n v="94898"/>
    <s v="IMOVEL RURAL E INSTALAÇÕES "/>
    <s v="GRANDE LESTE"/>
  </r>
  <r>
    <s v="IS001086"/>
    <s v="IS001086"/>
    <m/>
    <s v="TERRAS "/>
    <s v="Classe para Terras"/>
    <m/>
    <m/>
    <x v="789"/>
    <m/>
    <m/>
    <d v="2024-09-30T00:00:00"/>
    <n v="0"/>
    <s v="IMOVEL RURAL E INSTALAÇÕES "/>
    <s v="SANTO EXPEDITO"/>
  </r>
  <r>
    <s v="IS001087"/>
    <s v="IS001087"/>
    <m/>
    <s v="TERRAS "/>
    <s v="Classe para Terras"/>
    <m/>
    <m/>
    <x v="790"/>
    <m/>
    <m/>
    <d v="2024-09-30T00:00:00"/>
    <n v="0"/>
    <s v="IMOVEL RURAL E INSTALAÇÕES "/>
    <s v="SANTO EXPEDITO"/>
  </r>
  <r>
    <s v="IS001088"/>
    <s v="IS001088"/>
    <m/>
    <s v="TERRAS "/>
    <s v="Classe para Terras"/>
    <m/>
    <m/>
    <x v="791"/>
    <m/>
    <m/>
    <d v="2024-09-30T00:00:00"/>
    <n v="521898"/>
    <s v="IMOVEL RURAL E INSTALAÇÕES "/>
    <s v="SANTO EXPEDITO"/>
  </r>
  <r>
    <s v="IS001089"/>
    <s v="IS001089"/>
    <m/>
    <s v="TERRAS "/>
    <s v="Classe para Terras"/>
    <m/>
    <m/>
    <x v="792"/>
    <m/>
    <m/>
    <d v="2024-09-30T00:00:00"/>
    <n v="200535"/>
    <s v="IMOVEL RURAL E INSTALAÇÕES "/>
    <s v="SANTO EXPEDITO"/>
  </r>
  <r>
    <s v="IS001090"/>
    <s v="IS001090"/>
    <m/>
    <s v="TERRAS "/>
    <s v="Classe para Terras"/>
    <s v="SEM PLACA"/>
    <s v="SEM CHASSI"/>
    <x v="793"/>
    <m/>
    <m/>
    <m/>
    <n v="396209"/>
    <s v="IMOVEL RURAL E INSTALAÇÕES "/>
    <s v="JATOBA"/>
  </r>
  <r>
    <s v="IS001091"/>
    <s v="IS001091"/>
    <m/>
    <s v="TERRAS "/>
    <s v="Classe para Terras"/>
    <m/>
    <m/>
    <x v="794"/>
    <m/>
    <m/>
    <d v="2024-09-30T00:00:00"/>
    <n v="138402"/>
    <s v="IMOVEL RURAL E INSTALAÇÕES "/>
    <s v="SANTO EXPEDITO"/>
  </r>
  <r>
    <s v="IS001092"/>
    <s v="IS001092"/>
    <m/>
    <s v="TERRAS "/>
    <s v="Classe para Terras"/>
    <m/>
    <m/>
    <x v="795"/>
    <m/>
    <m/>
    <d v="2024-09-30T00:00:00"/>
    <n v="0"/>
    <s v="IMOVEL RURAL E INSTALAÇÕES "/>
    <s v="SANTO EXPEDITO"/>
  </r>
  <r>
    <s v="IS001093"/>
    <s v="IS001093"/>
    <m/>
    <s v="TERRAS "/>
    <s v="Classe para Terras"/>
    <s v="SEM PLACA"/>
    <s v="SEM CHASSI"/>
    <x v="796"/>
    <m/>
    <m/>
    <m/>
    <n v="23015"/>
    <s v="IMOVEL RURAL E INSTALAÇÕES "/>
    <s v="GRANDE LESTE"/>
  </r>
  <r>
    <s v="IS001094"/>
    <s v="IS001094"/>
    <m/>
    <s v="TERRAS "/>
    <s v="Classe para Terras"/>
    <s v="SEM PLACA"/>
    <s v="SEM CHASSI"/>
    <x v="797"/>
    <m/>
    <m/>
    <m/>
    <n v="19680"/>
    <s v="IMOVEL RURAL E INSTALAÇÕES "/>
    <s v="GRANDE LESTE"/>
  </r>
  <r>
    <s v="IS001095"/>
    <s v="IS001095"/>
    <m/>
    <m/>
    <s v="Classe para Terras"/>
    <s v="SEM PLACA"/>
    <s v="SEM CHASSI"/>
    <x v="798"/>
    <m/>
    <m/>
    <m/>
    <m/>
    <m/>
    <m/>
  </r>
  <r>
    <s v="IS001096"/>
    <s v="IS001096"/>
    <m/>
    <n v="135497"/>
    <s v="Classe para Equip. Diversos Fz Santa Lucia"/>
    <s v="SEM PLACA"/>
    <s v="SEM CHASSI"/>
    <x v="799"/>
    <s v="DEUSDETE SOUSA SANTIAGO e CIA LTDA"/>
    <s v="01.966.026/0001-51"/>
    <d v="2024-04-18T00:00:00"/>
    <n v="3923.01"/>
    <m/>
    <m/>
  </r>
  <r>
    <s v="IS001097"/>
    <s v="IS001097"/>
    <m/>
    <n v="689"/>
    <s v="Classe para Maquinas Implementos  Agricola Fz Jatoba"/>
    <s v="SEM PLACA"/>
    <s v="2024CSC2400JM236F"/>
    <x v="751"/>
    <s v="CSC INDUSTRIA DE MAQUINAS EQUIPAMENTOS "/>
    <s v="03.637.657/0001-52"/>
    <d v="2024-02-26T00:00:00"/>
    <n v="680000"/>
    <s v="OK"/>
    <s v="JATOBA"/>
  </r>
  <r>
    <s v="IS001098"/>
    <s v="IS001098"/>
    <m/>
    <n v="689"/>
    <s v="Classe para Maquinas Implementos  Agricola Fz Jatoba"/>
    <s v="SEM PLACA"/>
    <s v="2024CSC2400JM237F"/>
    <x v="751"/>
    <s v="CSC INDUSTRIA DE MAQUINAS EQUIPAMENTOS "/>
    <s v="03.637.657/0001-52"/>
    <d v="2024-02-26T00:00:00"/>
    <n v="680000"/>
    <s v="OK"/>
    <s v="JATOBA"/>
  </r>
  <r>
    <s v="IS001099"/>
    <s v="IS001099"/>
    <m/>
    <n v="689"/>
    <s v="Classe para Maquinas Implementos  Agricola Fz Jatoba"/>
    <s v="SEM PLACA"/>
    <s v="2024CSC2400JM238F"/>
    <x v="751"/>
    <s v="CSC INDUSTRIA DE MAQUINAS EQUIPAMENTOS "/>
    <s v="03.637.657/0001-52"/>
    <d v="2024-02-26T00:00:00"/>
    <n v="680000"/>
    <m/>
    <m/>
  </r>
  <r>
    <s v="IS001100"/>
    <s v="IS001100"/>
    <m/>
    <n v="689"/>
    <s v="Classe para Maquinas Implementos  Agricola Fz Jatoba"/>
    <s v="SEM PLACA"/>
    <s v="2024CSC2400JM239F"/>
    <x v="751"/>
    <s v="CSC INDUSTRIA DE MAQUINAS EQUIPAMENTOS "/>
    <s v="03.637.657/0001-52"/>
    <d v="2024-02-26T00:00:00"/>
    <n v="680000"/>
    <s v="OK"/>
    <m/>
  </r>
  <r>
    <s v="IS001101"/>
    <s v="IS001101"/>
    <m/>
    <n v="1794"/>
    <s v="Classe para Moveis e Utensilios Fz Grande Leste"/>
    <s v="SEM PLACA"/>
    <s v="SEM CHASSI"/>
    <x v="520"/>
    <s v="CASA DO PICAPAU LTDA"/>
    <s v="50.223.823/0005-88"/>
    <d v="2024-05-06T00:00:00"/>
    <n v="2514.5300000000002"/>
    <m/>
    <m/>
  </r>
  <r>
    <s v="IS001102"/>
    <s v="IS001102"/>
    <m/>
    <n v="1794"/>
    <s v="Classe para Moveis e Utensilios Fz Grande Leste"/>
    <s v="SEM PLACA"/>
    <s v="SEM CHASSI"/>
    <x v="520"/>
    <s v="CASA DO PICAPAU LTDA"/>
    <s v="50.223.823/0005-89"/>
    <d v="2024-05-07T00:00:00"/>
    <n v="2514.5300000000002"/>
    <m/>
    <m/>
  </r>
  <r>
    <s v="IS001103"/>
    <s v="IS001103"/>
    <m/>
    <n v="1794"/>
    <s v="Classe para Moveis e Utensilios Fz Grande Leste"/>
    <s v="SEM PLACA"/>
    <s v="SEM CHASSI"/>
    <x v="520"/>
    <s v="CASA DO PICAPAU LTDA"/>
    <s v="50.223.823/0005-90"/>
    <d v="2024-05-08T00:00:00"/>
    <n v="2514.5300000000002"/>
    <m/>
    <m/>
  </r>
  <r>
    <s v="IS001104"/>
    <s v="IS001104"/>
    <m/>
    <n v="10766"/>
    <s v="Classe para Equip. Diversos Armazem Fz Santa lucia"/>
    <s v="SEM PLACA"/>
    <s v="SEM CHASSI"/>
    <x v="800"/>
    <s v="MRC COM. LOC. CAL. E MAN. EQUIPAMENTOS LTDA-ME"/>
    <s v="20.550.060/0001-95"/>
    <d v="2024-07-08T00:00:00"/>
    <n v="2772.85"/>
    <m/>
    <m/>
  </r>
  <r>
    <s v="IS001105"/>
    <s v="IS001105"/>
    <m/>
    <n v="202703"/>
    <s v="Classe para equip. Diversos Fz Santo Expedito"/>
    <s v="SEM PLACA"/>
    <s v="SEM CHASSI"/>
    <x v="801"/>
    <s v="LEM COMERCIO DE EPIS LTDA"/>
    <s v="13.168.084/0001-19"/>
    <d v="2024-04-24T00:00:00"/>
    <n v="1395"/>
    <m/>
    <m/>
  </r>
  <r>
    <s v="IS001106"/>
    <s v="IS001106"/>
    <m/>
    <n v="135707"/>
    <s v="Classe para equip. Diversos Fz Santo Expedito"/>
    <s v="SEM PLACA"/>
    <s v="SEM CHASSI"/>
    <x v="802"/>
    <s v="DEUSDETE SOUSA SANTIAGO e CIA LTDA"/>
    <s v="01.966.026/0001-51"/>
    <d v="2024-04-22T00:00:00"/>
    <n v="2766.59"/>
    <s v="OK"/>
    <s v="SANTO EXPEDITO"/>
  </r>
  <r>
    <s v="IS001107"/>
    <s v="IS001107"/>
    <m/>
    <n v="4590"/>
    <s v="Classe para Maquinas Implementos  Agricola Fz Jatoba"/>
    <s v="SEM PLACA"/>
    <s v="ALE1240340"/>
    <x v="803"/>
    <s v="Mori Ind. e Com. de Implementos Agricolas Ltda"/>
    <s v="04.799.096/0001-50"/>
    <d v="2024-04-10T00:00:00"/>
    <n v="142000"/>
    <s v="OK"/>
    <s v="JATOBA"/>
  </r>
  <r>
    <s v="IS001108"/>
    <s v="IS001108"/>
    <m/>
    <n v="4590"/>
    <s v="Classe para Maquinas Implementos  Agricola Fz Jatoba"/>
    <s v="SEM PLACA"/>
    <s v="CFFL240344"/>
    <x v="804"/>
    <s v="Mori Ind. e Com. de Implementos Agricolas Ltda"/>
    <s v="04.799.096/0001-50"/>
    <d v="2024-04-10T00:00:00"/>
    <n v="250000"/>
    <s v="OK"/>
    <s v="JATOBA"/>
  </r>
  <r>
    <s v="IS001109"/>
    <s v="IS001109"/>
    <m/>
    <n v="4590"/>
    <s v="Classe para Maquinas Implementos  Agricola Fz Jatoba"/>
    <s v="SEM PLACA"/>
    <s v="ALE1240341"/>
    <x v="805"/>
    <s v="Mori Ind. e Com. de Implementos Agricolas Ltda"/>
    <s v="04.799.096/0001-50"/>
    <d v="2024-04-10T00:00:00"/>
    <n v="230000"/>
    <s v="OK"/>
    <s v="JATOBA"/>
  </r>
  <r>
    <s v="IS001110"/>
    <s v="IS001110"/>
    <m/>
    <m/>
    <s v="Classe para Maquinas Implementos  Agricola Fz Jatoba"/>
    <s v="SEM PLACA"/>
    <s v="61151515003001"/>
    <x v="806"/>
    <m/>
    <m/>
    <m/>
    <s v="_"/>
    <m/>
    <s v="JATOBA"/>
  </r>
  <r>
    <s v="IS001111"/>
    <s v="IS001111"/>
    <m/>
    <n v="159163"/>
    <s v="Classe para Maquinas Implementos  Agricola Fz Jatoba"/>
    <s v="SEM PLACA"/>
    <s v="HCCZFA10LRCJ68680"/>
    <x v="807"/>
    <s v="MAXUM MAQUINAS E EQUIPAMENTOS LTDA"/>
    <s v="02.227.267/0001-41"/>
    <d v="2024-05-30T00:00:00"/>
    <n v="275000"/>
    <s v="OK"/>
    <s v="SANTO EXPEDITO"/>
  </r>
  <r>
    <s v="IS001112"/>
    <s v="IS001112"/>
    <m/>
    <n v="159160"/>
    <s v="Classe para Maquinas Implementos  Agricola Fz Jatoba"/>
    <s v="SEM PLACA"/>
    <s v="HCCZFA10VRCJ68692"/>
    <x v="807"/>
    <s v="MAXUM MAQUINAS E EQUIPAMENTOS LTDA"/>
    <s v="02.227.267/0001-41"/>
    <d v="2024-05-31T00:00:00"/>
    <n v="275000"/>
    <s v="OK"/>
    <m/>
  </r>
  <r>
    <s v="IS001113"/>
    <s v="IS001113"/>
    <m/>
    <n v="159166"/>
    <s v="Classe para Maquinas Implementos  Agricola Fz Jatoba"/>
    <s v="SEM PLACA"/>
    <s v="HCCZFA10PRCJ68668"/>
    <x v="807"/>
    <s v="MAXUM MAQUINAS E EQUIPAMENTOS LTDA"/>
    <s v="02.227.267/0001-41"/>
    <d v="2024-05-31T00:00:00"/>
    <n v="275000"/>
    <s v="OK"/>
    <m/>
  </r>
  <r>
    <s v="IS001114"/>
    <s v="IS001114"/>
    <m/>
    <n v="159159"/>
    <s v="Classe para Maquinas Implementos  Agricola Fz Jatoba"/>
    <s v="SEM PLACA"/>
    <s v="HCCZFA10LRCJ68694"/>
    <x v="807"/>
    <s v="MAXUM MAQUINAS E EQUIPAMENTOS LTDA"/>
    <s v="02.227.267/0001-41"/>
    <d v="2024-05-31T00:00:00"/>
    <n v="275000"/>
    <s v="OK"/>
    <m/>
  </r>
  <r>
    <s v="IS001115"/>
    <s v="IS001115"/>
    <m/>
    <n v="159162"/>
    <s v="Classe para Maquinas Implementos  Agricola Fz Jatoba"/>
    <s v="SEM PLACA"/>
    <s v="HCCZFA10ARCJ68631"/>
    <x v="807"/>
    <s v="MAXUM MAQUINAS E EQUIPAMENTOS LTDA"/>
    <s v="02.227.267/0001-41"/>
    <d v="2024-05-31T00:00:00"/>
    <n v="275000"/>
    <m/>
    <m/>
  </r>
  <r>
    <s v="IS001116"/>
    <s v="IS001116"/>
    <m/>
    <n v="235282"/>
    <s v="Classe para Equip. Diversos Fz Jatoba"/>
    <s v="SEM PLACA"/>
    <s v="SEM CHASSI"/>
    <x v="808"/>
    <s v="GURGELMIX MAQUINAS E FERRAMENTAS S.A"/>
    <s v="29.302.348/0003-87"/>
    <d v="2024-04-30T00:00:00"/>
    <n v="4433.2299999999996"/>
    <m/>
    <m/>
  </r>
  <r>
    <s v="IS001117"/>
    <s v="IS001117"/>
    <m/>
    <n v="1883"/>
    <s v="Classe para Equip. Diversos Fz Jatoba"/>
    <s v="SEM PLACA"/>
    <s v="SEM CHASSI"/>
    <x v="809"/>
    <s v="COMPOSITIS COMERCIO DE EQUIPAMENTOS EIRELI"/>
    <s v="30.407.297/0001-75"/>
    <d v="2024-05-14T00:00:00"/>
    <n v="2060"/>
    <s v="OK"/>
    <s v="SANTA LUCIA"/>
  </r>
  <r>
    <s v="IS001119"/>
    <s v="IS001118"/>
    <m/>
    <n v="159173"/>
    <s v="Classe para Maquinas Implementos  Agricola Fz St Expedito"/>
    <s v="SEM PLACA"/>
    <s v="HCCZ3F11LPCG66490"/>
    <x v="810"/>
    <s v="MAXUM MAQUINAS E EQUIPAMENTOS LTDA"/>
    <s v="02.227.267/0001-41"/>
    <d v="2024-05-31T00:00:00"/>
    <n v="460000"/>
    <s v="OK"/>
    <s v="JATOBA"/>
  </r>
  <r>
    <s v="IS001118"/>
    <s v="IS001119"/>
    <m/>
    <n v="159169"/>
    <s v="Classe para Maquinas Implementos  Agricola Fz St Expedito"/>
    <s v="SEM PLACA"/>
    <s v="HCCZ3F11JPCG66449"/>
    <x v="810"/>
    <s v="MAXUM MAQUINAS E EQUIPAMENTOS LTDA"/>
    <s v="02.227.267/0001-41"/>
    <d v="2024-05-31T00:00:00"/>
    <n v="460000"/>
    <s v="OK"/>
    <s v="SANTO EXPEDITO"/>
  </r>
  <r>
    <s v="IS001120"/>
    <s v="IS001120"/>
    <m/>
    <n v="159168"/>
    <s v="Classe para Maquinas Implementos  Agricola Fz St Expedito"/>
    <s v="SEM PLACA"/>
    <s v="HCCZ3F11LPCG66537"/>
    <x v="810"/>
    <s v="MAXUM MAQUINAS E EQUIPAMENTOS LTDA"/>
    <s v="02.227.267/0001-41"/>
    <d v="2024-05-31T00:00:00"/>
    <n v="460000"/>
    <s v="OK"/>
    <s v="JATOBA"/>
  </r>
  <r>
    <s v="IS001121"/>
    <s v="IS001121"/>
    <m/>
    <n v="7288"/>
    <s v="Classe para Maquinas Implementos  Agricola Fz Jatoba"/>
    <s v="SEM PLACA"/>
    <s v="SEM CHASSI"/>
    <x v="811"/>
    <s v="AGRICOLA SIMABA LTDA"/>
    <s v="04.815.160/0001-40"/>
    <d v="2024-04-23T00:00:00"/>
    <n v="110000"/>
    <m/>
    <m/>
  </r>
  <r>
    <s v="IS001122"/>
    <s v="IS001122"/>
    <m/>
    <n v="4009"/>
    <s v="Classe para Moveis e Utensilios Fz Jatoba"/>
    <s v="SEM PLACA"/>
    <s v="SEM CHASSI"/>
    <x v="812"/>
    <s v="DEBORA DOS SANTOS RIBEIRO"/>
    <s v="15.353.848/0001-71"/>
    <d v="2024-05-02T00:00:00"/>
    <n v="5237.1000000000004"/>
    <m/>
    <m/>
  </r>
  <r>
    <s v="IS001123"/>
    <s v="IS001123"/>
    <m/>
    <n v="36543"/>
    <s v="Classe para Equip. Diversos Fz Santa Lucia"/>
    <s v="SEM PLACA"/>
    <s v="SEM CHASSI"/>
    <x v="813"/>
    <s v="PINHALENSE S/A MAQUINAS AGRICOLAS"/>
    <s v="54.224.423/0002-03"/>
    <d v="2024-04-01T00:00:00"/>
    <n v="223522"/>
    <m/>
    <m/>
  </r>
  <r>
    <s v="IS001124"/>
    <s v="IS001124"/>
    <m/>
    <n v="1166349"/>
    <s v="Classe para Moveis e Utensilios Fz Santa Lucia"/>
    <s v="SEM PLACA"/>
    <s v="SEM CHASSI"/>
    <x v="814"/>
    <s v="Brasil Inter Comex Eletronicos e Informatica EIRELI"/>
    <s v="17.642.282/0001-23"/>
    <d v="2024-04-04T00:00:00"/>
    <n v="3399.9"/>
    <s v="OK"/>
    <s v="SANTA LUCIA"/>
  </r>
  <r>
    <s v="IS001125"/>
    <s v="IS001125"/>
    <m/>
    <n v="236400"/>
    <s v="Classe para Equip. Diversos Fz Jatoba"/>
    <s v="SEM PLACA"/>
    <s v="SEM CHASSI"/>
    <x v="815"/>
    <s v="GURGELMIX MAQUINAS E FERRAMENTAS S.A"/>
    <s v="29.302.348/0003-87"/>
    <d v="2024-05-07T00:00:00"/>
    <n v="4887.78"/>
    <s v="OK"/>
    <s v="JATOBA"/>
  </r>
  <r>
    <s v="IS001126"/>
    <s v="IS001126"/>
    <m/>
    <n v="260830"/>
    <s v="Classe para Moveis e Utensilios Fz Santa Lucia"/>
    <s v="SEM PLACA"/>
    <s v="SEM CHASSI"/>
    <x v="816"/>
    <s v="CATRAL REFRIGERACAO E ELETRODOMESTICOS LTDA"/>
    <s v="02.375.921/0011-36"/>
    <d v="2024-05-13T00:00:00"/>
    <n v="2824.68"/>
    <s v="OK"/>
    <m/>
  </r>
  <r>
    <s v="IS001127"/>
    <s v="IS001127"/>
    <m/>
    <n v="260830"/>
    <s v="Classe para Moveis e Utensilios Fz Santa Lucia"/>
    <s v="SEM PLACA"/>
    <s v="SEM CHASSI"/>
    <x v="817"/>
    <s v="CATRAL REFRIGERACAO E ELETRODOMESTICOS LTDA"/>
    <s v="02.375.921/0011-36"/>
    <d v="2024-05-13T00:00:00"/>
    <n v="3383.32"/>
    <s v="OK"/>
    <m/>
  </r>
  <r>
    <s v="IS001128"/>
    <s v="IS001128"/>
    <m/>
    <n v="1016"/>
    <s v="Classe para Equip. Diversos Fz Jatoba"/>
    <s v="SEM PLACA"/>
    <s v="SEM CHASSI"/>
    <x v="544"/>
    <s v="MELLO E MELLO TECNOLOGIA LTDA"/>
    <s v="24.923.049/0001-84"/>
    <d v="2024-04-23T00:00:00"/>
    <n v="1698"/>
    <m/>
    <m/>
  </r>
  <r>
    <s v="IS001129"/>
    <s v="IS001129"/>
    <m/>
    <n v="3071"/>
    <s v="Classe para Maquinas Implementos  Agricola Fz Jatoba"/>
    <s v="SEM PLACA"/>
    <s v="RAJ5DC7MCP3258985"/>
    <x v="573"/>
    <s v="TRATORMASTER TRATORES PECAS E SERVICOS LTDA"/>
    <s v="02.745.179/0006-46"/>
    <d v="2024-07-29T00:00:00"/>
    <n v="530000"/>
    <s v="OK"/>
    <s v="JATOBA"/>
  </r>
  <r>
    <s v="IS001130"/>
    <s v="IS001130"/>
    <m/>
    <n v="2256"/>
    <s v="Classe para Informatica e Comunicaçao"/>
    <s v="SEM PLACA"/>
    <s v="SEM CHASSI"/>
    <x v="818"/>
    <s v="MELLO E MELLO TECNOLOGIA LTDA"/>
    <s v="24.923.049/0001-84"/>
    <d v="2025-04-08T00:00:00"/>
    <n v="1350"/>
    <s v="OK"/>
    <s v="ESCRITORIO CENTRAL"/>
  </r>
  <r>
    <s v="IS001131"/>
    <s v="IS001131"/>
    <m/>
    <n v="8176096"/>
    <s v="Classe para Moveis e Utensilios Fz Santa Lucia"/>
    <s v="SEM PLACA"/>
    <s v="SEM CHASSI"/>
    <x v="620"/>
    <s v="CARREFOUR COMERCIO E INDUSTRIA LTDA"/>
    <s v="45.543.915/0846-95"/>
    <d v="2024-04-04T00:00:00"/>
    <n v="4079.9"/>
    <s v="OK"/>
    <s v="SANTA LUCIA"/>
  </r>
  <r>
    <s v="IS001132"/>
    <s v="IS001132"/>
    <m/>
    <m/>
    <s v="Classe para Moveis e Utensilios Fz Jatoba"/>
    <s v="SEM PLACA"/>
    <s v="SEM CHASSI"/>
    <x v="819"/>
    <m/>
    <m/>
    <m/>
    <n v="3000"/>
    <s v="OK"/>
    <s v="JATOBA"/>
  </r>
  <r>
    <s v="IS001133"/>
    <s v="IS001133"/>
    <m/>
    <n v="31929"/>
    <s v="Classe para Informatica e Comunicaçao Fz Santa Lucia"/>
    <s v="SEM PLACA"/>
    <s v="SEM CHASSI"/>
    <x v="48"/>
    <s v="TECNOSUL COMPANY LTDA"/>
    <s v="26.037.394/0001-46"/>
    <d v="2025-08-18T00:00:00"/>
    <n v="1705.2"/>
    <m/>
    <s v="SANTA LUCIA"/>
  </r>
  <r>
    <s v="IS001134"/>
    <s v="IS001134"/>
    <m/>
    <n v="159172"/>
    <s v="Classe para Maquinas Implementos  Agricola Fz Jatoba"/>
    <s v="SEM PLACA"/>
    <s v="HCCZ3F11JPCG66631"/>
    <x v="810"/>
    <s v="MAXUM MAQUINAS E EQUIPAMENTOS LTDA"/>
    <s v="02.227.267/0001-41"/>
    <d v="2024-05-31T00:00:00"/>
    <n v="460000"/>
    <s v="OK"/>
    <s v="JATOBA"/>
  </r>
  <r>
    <s v="IS001135"/>
    <s v="IS001135"/>
    <m/>
    <n v="159171"/>
    <s v="Classe para Maquinas Implementos  Agricola Fz Jatoba"/>
    <s v="SEM PLACA"/>
    <s v="HCCZ3F11CPCG65831"/>
    <x v="810"/>
    <s v="MAXUM MAQUINAS E EQUIPAMENTOS LTDA"/>
    <s v="02.227.267/0001-41"/>
    <d v="2024-05-31T00:00:00"/>
    <n v="460000"/>
    <s v="OK"/>
    <s v="SANTO EXPEDITO"/>
  </r>
  <r>
    <s v="IS001136"/>
    <s v="IS001136"/>
    <m/>
    <n v="159170"/>
    <s v="Classe para Maquinas Implementos  Agricola Fz Jatoba"/>
    <s v="SEM PLACA"/>
    <s v="HCCZ3F11LRCG69666"/>
    <x v="810"/>
    <s v="MAXUM MAQUINAS E EQUIPAMENTOS LTDA"/>
    <s v="02.227.267/0001-41"/>
    <d v="2024-05-31T00:00:00"/>
    <n v="460000"/>
    <s v="OK"/>
    <s v="GRANDE LESTE"/>
  </r>
  <r>
    <s v="IS001137"/>
    <s v="IS001137"/>
    <m/>
    <n v="159167"/>
    <s v="Classe para Maquinas Implementos  Agricola Fz Jatoba"/>
    <s v="SEM PLACA"/>
    <s v="HCCZ3F11KPCG65767"/>
    <x v="810"/>
    <s v="MAXUM MAQUINAS E EQUIPAMENTOS LTDA"/>
    <s v="02.227.267/0001-41"/>
    <d v="2024-05-31T00:00:00"/>
    <n v="460000"/>
    <s v="OK"/>
    <m/>
  </r>
  <r>
    <s v="IS001138"/>
    <s v="IS001138"/>
    <m/>
    <n v="159161"/>
    <s v="Classe para Maquinas Implementos  Agricola Fz Jatoba"/>
    <s v="SEM PLACA"/>
    <s v="HCCZFA10VRCJ68644"/>
    <x v="807"/>
    <s v="MAXUM MAQUINAS E EQUIPAMENTOS LTDA"/>
    <s v="02.227.267/0001-41"/>
    <d v="2024-05-31T00:00:00"/>
    <n v="275000"/>
    <s v="OK"/>
    <m/>
  </r>
  <r>
    <s v="IS001139"/>
    <s v="IS001139"/>
    <m/>
    <n v="159158"/>
    <s v="Classe para Maquinas Implementos  Agricola Fz Jatoba"/>
    <s v="SEM PLACA"/>
    <s v="HCCZFA10PPCJ64312"/>
    <x v="807"/>
    <s v="MAXUM MAQUINAS E EQUIPAMENTOS LTDA"/>
    <s v="02.227.267/0001-41"/>
    <d v="2024-05-31T00:00:00"/>
    <n v="275000"/>
    <s v="OK"/>
    <m/>
  </r>
  <r>
    <s v="IS001140"/>
    <s v="IS001140"/>
    <m/>
    <n v="159165"/>
    <s v="Classe para Maquinas Implementos  Agricola Fz Jatoba"/>
    <s v="SEM PLACA"/>
    <s v="HCCZFA10JRCJ68674"/>
    <x v="807"/>
    <s v="MAXUM MAQUINAS E EQUIPAMENTOS LTDA"/>
    <s v="02.227.267/0001-41"/>
    <d v="2024-05-31T00:00:00"/>
    <n v="275000"/>
    <s v="OK"/>
    <m/>
  </r>
  <r>
    <s v="IS001141"/>
    <s v="IS001141"/>
    <m/>
    <n v="4512"/>
    <s v="Classe para Equip. Diversos Fz Jatoba"/>
    <s v="SEM PLACA"/>
    <s v="SEM CHASSI"/>
    <x v="820"/>
    <s v="J S DE ALMEIDA PERFILADOS ME"/>
    <s v="19.034.268/0001-72"/>
    <d v="2024-05-03T00:00:00"/>
    <n v="30000"/>
    <m/>
    <m/>
  </r>
  <r>
    <s v="IS001142"/>
    <s v="IS001142"/>
    <m/>
    <n v="1085"/>
    <s v="Classe para equip. Diversos Fz Santo Expedito"/>
    <s v="SEM PLACA"/>
    <s v="SEM CHASSI"/>
    <x v="544"/>
    <s v="MELLO E MELLO TECNOLOGIA LTDA"/>
    <s v="24.923.049/0001-84"/>
    <d v="2024-05-21T00:00:00"/>
    <n v="1698"/>
    <m/>
    <m/>
  </r>
  <r>
    <s v="IS001143"/>
    <s v="IS001143"/>
    <m/>
    <n v="4590"/>
    <s v="Classe para Maquinas Implementos  Agricola Fz Jatoba"/>
    <s v="SEM PLACA"/>
    <s v="SEM CHASSI"/>
    <x v="821"/>
    <s v="Mori Ind. e Com. de Implementos Agricolas Ltda"/>
    <s v="04.799.096/0001-50"/>
    <d v="2024-04-10T00:00:00"/>
    <n v="250000"/>
    <s v="OK"/>
    <s v="JATOBA"/>
  </r>
  <r>
    <s v="IS001144"/>
    <s v="IS001144"/>
    <m/>
    <n v="1908359"/>
    <s v="Classe para Moveis e Utensilios Fz Jatoba"/>
    <s v="SEM PLACA"/>
    <s v="SEM CHASSI"/>
    <x v="822"/>
    <s v="2ELETRO COMERCIO E DISTRIBUICAO DE PRODUTOS DE INFORMATICA L"/>
    <s v="34.036.601/0005-08"/>
    <d v="2024-05-15T00:00:00"/>
    <n v="1680.12"/>
    <s v="OK"/>
    <s v="JATOBA"/>
  </r>
  <r>
    <s v="IS001145"/>
    <s v="IS001145"/>
    <m/>
    <n v="1908357"/>
    <s v="Classe para Moveis e Utensilios Fz Jatoba"/>
    <s v="SEM PLACA"/>
    <s v="SEM CHASSI"/>
    <x v="822"/>
    <s v="2ELETRO COMERCIO E DISTRIBUICAO DE PRODUTOS DE INFORMATICA L"/>
    <s v="34.036.601/0005-09"/>
    <d v="2024-05-16T00:00:00"/>
    <n v="1680.12"/>
    <s v="OK"/>
    <s v="JATOBA"/>
  </r>
  <r>
    <s v="IS001146"/>
    <s v="IS001146"/>
    <m/>
    <n v="3484"/>
    <s v="Classe para Moveis e Utensilios Fz Jatoba"/>
    <s v="SEM PLACA"/>
    <s v="SEM CHASSI"/>
    <x v="823"/>
    <s v="CLAUDINO S A LOJAS DE DEPARTAMENTOS"/>
    <s v="06.862.627/0152-40"/>
    <d v="2024-05-10T00:00:00"/>
    <n v="3499"/>
    <m/>
    <m/>
  </r>
  <r>
    <s v="IS001147"/>
    <s v="IS001147"/>
    <m/>
    <n v="9726"/>
    <s v="Classe para Equip. Diversos Fz Grande Leste"/>
    <s v="SEM PLACA"/>
    <s v="SEM CHASSI"/>
    <x v="591"/>
    <s v="EAGRI INDUSTRIA E COMERCIO DE MAQUINAS E EQUIPAMENTOS LTDA"/>
    <s v="05.795.785/0001-50"/>
    <d v="2024-06-11T00:00:00"/>
    <n v="8900"/>
    <s v="OK"/>
    <s v="GRANDE LESTE"/>
  </r>
  <r>
    <s v="IS001148"/>
    <s v="IS001148"/>
    <m/>
    <n v="9726"/>
    <s v="Classe para Equip. Diversos Fz Grande Leste"/>
    <s v="SEM PLACA"/>
    <s v="SEM CHASSI"/>
    <x v="824"/>
    <s v="EAGRI INDUSTRIA E COMERCIO DE MAQUINAS E EQUIPAMENTOS LTDA"/>
    <s v="05.795.785/0001-50"/>
    <d v="2024-06-11T00:00:00"/>
    <n v="1100"/>
    <m/>
    <s v="GRANDE LESTE"/>
  </r>
  <r>
    <s v="IS001149"/>
    <s v="IS001149"/>
    <m/>
    <n v="75506"/>
    <s v="Classe para Veiculos"/>
    <s v="THB3C36"/>
    <s v="8AFBR01N2TJ473883"/>
    <x v="825"/>
    <s v="FORD MOTOR COMPANY BRASIL LTDA"/>
    <s v="03.470.727/0041-18"/>
    <d v="2025-06-30T00:00:00"/>
    <n v="208230.63"/>
    <m/>
    <s v="ESCRITORIO CENTRAL"/>
  </r>
  <r>
    <s v="IS001150"/>
    <s v="IS001150"/>
    <m/>
    <n v="1903"/>
    <s v="Classe para Equip. Diversos Fz Grande Leste"/>
    <s v="SEM PLACA"/>
    <s v="SEM CHASSI"/>
    <x v="826"/>
    <s v="COMPOSITIS COMERCIO DE EQUIPAMENTOS EIRELI"/>
    <s v="30.407.297/0001-75"/>
    <d v="2024-05-29T00:00:00"/>
    <n v="2060"/>
    <s v="OK"/>
    <s v="GRANDE LESTE"/>
  </r>
  <r>
    <s v="IS001151"/>
    <s v="IS001151"/>
    <m/>
    <n v="4047"/>
    <s v="Classe para Equip. Diversos Fz Grande Leste"/>
    <s v="SEM PLACA"/>
    <s v="SEM CHASSI"/>
    <x v="827"/>
    <s v="DEBORA DOS SANTOS RIBEIRO"/>
    <s v="15.353.848/0001-71"/>
    <d v="2024-05-22T00:00:00"/>
    <n v="5190"/>
    <s v="OK"/>
    <s v="GRANDE LESTE"/>
  </r>
  <r>
    <s v="IS001152"/>
    <s v="IS001152"/>
    <m/>
    <n v="241977"/>
    <s v="Classe para Equip. Oficina Fz Grande Leste"/>
    <s v="SEM PLACA"/>
    <s v="SEM CHASSI"/>
    <x v="828"/>
    <s v="GURGELMIX MAQUINAS E FERRAMENTAS S.A."/>
    <s v="29.302.348/0003-87"/>
    <d v="2024-06-05T00:00:00"/>
    <n v="2954.5"/>
    <s v="OK"/>
    <m/>
  </r>
  <r>
    <s v="IS001153"/>
    <s v="IS001153"/>
    <m/>
    <n v="76426"/>
    <s v="Classe para Equip. Oficina Fz Grande Leste"/>
    <s v="SEM PLACA"/>
    <s v="SEM CHASSI"/>
    <x v="829"/>
    <s v="PORTO BRASIL MOTORES E FERRAMENTAS LTDA"/>
    <s v="34.054.429/0002-64"/>
    <d v="2025-09-09T00:00:00"/>
    <n v="5348.2"/>
    <m/>
    <m/>
  </r>
  <r>
    <s v="IS001154"/>
    <s v="IS001154"/>
    <m/>
    <n v="138214"/>
    <s v="Classe para Equip. Oficina Fz Jatoba"/>
    <s v="SEM PLACA"/>
    <s v="SEM CHASSI"/>
    <x v="830"/>
    <s v="DEUSDETE SOUSA SANTIAGO e CIA LTDA"/>
    <s v="01.966.026/0001-51"/>
    <d v="2024-06-03T00:00:00"/>
    <n v="1861.27"/>
    <m/>
    <m/>
  </r>
  <r>
    <s v="IS001155"/>
    <s v="IS001155"/>
    <m/>
    <n v="138214"/>
    <s v="Classe para Equip. Oficina Fz Jatoba"/>
    <s v="SEM PLACA"/>
    <s v="SEM CHASSI"/>
    <x v="830"/>
    <s v="DEUSDETE SOUSA SANTIAGO e CIA LTDA"/>
    <s v="01.966.026/0001-51"/>
    <d v="2024-06-03T00:00:00"/>
    <n v="1861.28"/>
    <m/>
    <m/>
  </r>
  <r>
    <s v="IS001156"/>
    <s v="IS001156"/>
    <m/>
    <n v="68558"/>
    <s v="Classe para Moveis e Utensilios Fz Santo Expedito"/>
    <s v="SEM PLACA"/>
    <s v="SEM CHASSI"/>
    <x v="831"/>
    <s v="CASA DO PICA-PAU HIDROLANDIA"/>
    <s v="50.223.823/0007-40"/>
    <d v="2024-06-20T00:00:00"/>
    <n v="2133.0300000000002"/>
    <m/>
    <m/>
  </r>
  <r>
    <s v="IS001157"/>
    <s v="IS001157"/>
    <m/>
    <n v="68558"/>
    <s v="Classe para Moveis e Utensilios Fz Santo Expedito"/>
    <s v="SEM PLACA"/>
    <s v="SEM CHASSI"/>
    <x v="831"/>
    <s v="CASA DO PICA-PAU HIDROLANDIA"/>
    <s v="50.223.823/0007-40"/>
    <d v="2024-06-20T00:00:00"/>
    <n v="2133.0300000000002"/>
    <m/>
    <m/>
  </r>
  <r>
    <s v="IS001158"/>
    <s v="IS001158"/>
    <m/>
    <n v="68558"/>
    <s v="Classe para Moveis e Utensilios Fz Santo Expedito"/>
    <s v="SEM PLACA"/>
    <s v="SEM CHASSI"/>
    <x v="831"/>
    <s v="CASA DO PICA-PAU HIDROLANDIA"/>
    <s v="50.223.823/0007-40"/>
    <d v="2024-06-20T00:00:00"/>
    <n v="2133.0300000000002"/>
    <m/>
    <m/>
  </r>
  <r>
    <s v="IS001159"/>
    <s v="IS001159"/>
    <m/>
    <n v="2842"/>
    <s v="Classe para Equip. Oficina Fz Santa Lucia"/>
    <s v="SEM PLACA"/>
    <s v="SEM CHASSI"/>
    <x v="254"/>
    <s v="IROPEL COMERCIAL AGRICOLA LTDA"/>
    <s v="96.819.032/0003-54"/>
    <d v="2024-06-19T00:00:00"/>
    <n v="8404"/>
    <m/>
    <m/>
  </r>
  <r>
    <s v="IS001160"/>
    <s v="IS001160"/>
    <m/>
    <n v="98215"/>
    <s v="Classe para Informatica e Comunicaçao"/>
    <s v="SEM PLACA"/>
    <s v="SEM CHASSI"/>
    <x v="832"/>
    <s v="Telefonica Brasil S.A."/>
    <s v="02.558.157/0821-18"/>
    <d v="2024-04-18T00:00:00"/>
    <n v="5299"/>
    <m/>
    <m/>
  </r>
  <r>
    <s v="IS001161"/>
    <s v="IS001161"/>
    <m/>
    <n v="447308"/>
    <s v="Classe para Maquinas Implementos  Agricola Fz Santa Lucia"/>
    <s v="SEM PLACA"/>
    <s v="HCCZM340TRCM68318"/>
    <x v="833"/>
    <s v="CNH Industrial Brasil LTDA"/>
    <s v="01.844.555/0023-98"/>
    <d v="2024-05-29T00:00:00"/>
    <n v="1408000"/>
    <s v="OK"/>
    <m/>
  </r>
  <r>
    <s v="IS001162"/>
    <s v="IS001162"/>
    <m/>
    <n v="139467"/>
    <s v="Classe para Equip. Oficina Fz Grande Leste"/>
    <s v="SEM PLACA"/>
    <s v="SEM CHASSI"/>
    <x v="332"/>
    <s v="DEUSDETE SOUSA SANTIAGO e CIA LTDA"/>
    <s v="01.966.026/0001-51"/>
    <d v="2024-06-25T00:00:00"/>
    <n v="3181.93"/>
    <s v="OK"/>
    <s v="GRANDE LESTE"/>
  </r>
  <r>
    <s v="IS001163"/>
    <s v="IS001163"/>
    <m/>
    <n v="1571"/>
    <s v="Classe para Equip. Oficina Fz Santa Lucia"/>
    <s v="SEM PLACA"/>
    <s v="SEM CHASSI"/>
    <x v="834"/>
    <s v="AGROLIMP COM DE PROD DE LIMP, PECAS E SERV LTDA"/>
    <s v="43.305.923/0001-64"/>
    <d v="2024-06-25T00:00:00"/>
    <n v="21000"/>
    <s v="OK"/>
    <m/>
  </r>
  <r>
    <s v="IS001164"/>
    <s v="IS001164"/>
    <m/>
    <n v="264563"/>
    <s v="Classe para Moveis e Utensilios Fz Santo Expedito"/>
    <s v="SEM PLACA"/>
    <s v="SEM CHASSI"/>
    <x v="745"/>
    <s v="CATRAL REFRIGERACAO E ELETRODOMESTICOS LTDA"/>
    <s v="02.375.921/0011-36"/>
    <d v="2024-07-08T00:00:00"/>
    <n v="2663.33"/>
    <m/>
    <m/>
  </r>
  <r>
    <s v="IS001165"/>
    <s v="IS001165"/>
    <m/>
    <n v="264563"/>
    <s v="Classe para Moveis e Utensilios Fz Santo Expedito"/>
    <s v="SEM PLACA"/>
    <s v="SEM CHASSI"/>
    <x v="745"/>
    <s v="CATRAL REFRIGERACAO E ELETRODOMESTICOS LTDA"/>
    <s v="02.375.921/0011-36"/>
    <d v="2024-07-08T00:00:00"/>
    <n v="2663.33"/>
    <m/>
    <m/>
  </r>
  <r>
    <s v="IS001166"/>
    <s v="IS001166"/>
    <m/>
    <n v="264563"/>
    <s v="Classe para Moveis e Utensilios Fz Santo Expedito"/>
    <s v="SEM PLACA"/>
    <s v="SEM CHASSI"/>
    <x v="745"/>
    <s v="CATRAL REFRIGERACAO E ELETRODOMESTICOS LTDA"/>
    <s v="02.375.921/0011-36"/>
    <d v="2024-07-08T00:00:00"/>
    <n v="2663.33"/>
    <m/>
    <m/>
  </r>
  <r>
    <s v="IS001167"/>
    <s v="IS001167"/>
    <m/>
    <n v="264563"/>
    <s v="Classe para Moveis e Utensilios Fz Santo Expedito"/>
    <s v="SEM PLACA"/>
    <s v="SEM CHASSI"/>
    <x v="745"/>
    <s v="CATRAL REFRIGERACAO E ELETRODOMESTICOS LTDA"/>
    <s v="02.375.921/0011-36"/>
    <d v="2024-07-08T00:00:00"/>
    <n v="2663.33"/>
    <m/>
    <m/>
  </r>
  <r>
    <s v="IS001168"/>
    <s v="IS001168"/>
    <m/>
    <n v="264563"/>
    <s v="Classe para Moveis e Utensilios Fz Santo Expedito"/>
    <s v="SEM PLACA"/>
    <s v="SEM CHASSI"/>
    <x v="745"/>
    <s v="CATRAL REFRIGERACAO E ELETRODOMESTICOS LTDA"/>
    <s v="02.375.921/0011-36"/>
    <d v="2024-07-08T00:00:00"/>
    <n v="2663.33"/>
    <m/>
    <m/>
  </r>
  <r>
    <s v="IS001169"/>
    <s v="IS001169"/>
    <m/>
    <n v="264563"/>
    <s v="Classe para Moveis e Utensilios Fz Santo Expedito"/>
    <s v="SEM PLACA"/>
    <s v="SEM CHASSI"/>
    <x v="745"/>
    <s v="CATRAL REFRIGERACAO E ELETRODOMESTICOS LTDA"/>
    <s v="02.375.921/0011-36"/>
    <d v="2024-07-08T00:00:00"/>
    <n v="2663.33"/>
    <m/>
    <m/>
  </r>
  <r>
    <s v="IS001170"/>
    <s v="IS001170"/>
    <m/>
    <n v="356"/>
    <s v="Classe para Equip. Diversos Fz Grande Leste"/>
    <s v="SEM PLACA"/>
    <s v="SEM CHASSI"/>
    <x v="835"/>
    <s v="MARCELO LUIZ CAETANO ALVIM ME"/>
    <s v="40.803.185/0001-97"/>
    <d v="2024-06-26T00:00:00"/>
    <n v="18899.990000000002"/>
    <m/>
    <m/>
  </r>
  <r>
    <s v="IS001171"/>
    <s v="IS001171"/>
    <m/>
    <n v="81607"/>
    <s v="Classe para Maquinas Implementos  Agricola Fz Jatoba"/>
    <s v="SEM PLACA"/>
    <n v="1047840"/>
    <x v="388"/>
    <s v="MEPEL MAQUINAS E EQUIPAMENTOS LTDA"/>
    <s v="90.157.108/0001-85"/>
    <d v="2024-06-18T00:00:00"/>
    <n v="154000"/>
    <s v="OK"/>
    <s v="GRANDE LESTE"/>
  </r>
  <r>
    <s v="IS001172"/>
    <s v="IS001172"/>
    <m/>
    <n v="148511"/>
    <s v="Classe para Equip. Diversos Fz Grande Leste"/>
    <s v="SEM PLACA"/>
    <s v="SEM CHASSI"/>
    <x v="836"/>
    <s v="VALMONT INDUSTRIA E COMERCIO LTDA"/>
    <s v="01.669.679/0001-79"/>
    <d v="2024-05-25T00:00:00"/>
    <n v="454000"/>
    <m/>
    <m/>
  </r>
  <r>
    <s v="IS001173"/>
    <s v="IS001173"/>
    <m/>
    <n v="291769"/>
    <s v="Classe para Veiculos"/>
    <s v="THD7C33"/>
    <s v="8AJDA3CD3S1851574"/>
    <x v="723"/>
    <s v="Toyota do Brasil Ltda"/>
    <s v="59.104.760/0005-15"/>
    <d v="2025-09-05T00:00:00"/>
    <n v="227897.74"/>
    <m/>
    <s v="ESCRITORIO CENTRAL"/>
  </r>
  <r>
    <s v="IS001174"/>
    <s v="IS001174"/>
    <m/>
    <n v="2791"/>
    <s v="Classe para Informatica e Comunicaçao"/>
    <s v="SEM PLACA"/>
    <s v="SEM CHASSI"/>
    <x v="818"/>
    <s v="MELLO E MELLO TECNOLOGIA LTDA."/>
    <s v="24.923.049/0001-84"/>
    <d v="2025-08-29T00:00:00"/>
    <n v="1300"/>
    <m/>
    <s v="ESCRITORIO CENTRAL"/>
  </r>
  <r>
    <s v="IS001175"/>
    <s v="IS001175"/>
    <m/>
    <n v="118881"/>
    <s v="Classe para Equip. Diversos Fz Santa Lucia"/>
    <s v="SEM PLACA"/>
    <s v="SEM CHASSI"/>
    <x v="749"/>
    <s v="Grimaldi Ind. de Equip. para Transportes Ltda"/>
    <s v="52.771.540/0001-72"/>
    <d v="2024-01-11T00:00:00"/>
    <n v="31000"/>
    <m/>
    <m/>
  </r>
  <r>
    <s v="IS001176"/>
    <s v="IS001176"/>
    <m/>
    <n v="21834"/>
    <s v="Classe para Moveis e Utensilios Fz Grande Leste"/>
    <s v="SEM PLACA"/>
    <s v="SEM CHASSI"/>
    <x v="745"/>
    <s v="Nosso Lar Lojas de Departamentos Ltda-Lj108"/>
    <s v="00.607.587/0029-00"/>
    <d v="2024-03-14T00:00:00"/>
    <n v="2399"/>
    <m/>
    <m/>
  </r>
  <r>
    <s v="IS001177"/>
    <s v="IS001177"/>
    <m/>
    <n v="21834"/>
    <s v="Classe para Moveis e Utensilios Fz Grande Leste"/>
    <s v="SEM PLACA"/>
    <s v="SEM CHASSI"/>
    <x v="745"/>
    <s v="Nosso Lar Lojas de Departamentos Ltda-Lj109"/>
    <s v="00.607.587/0029-01"/>
    <d v="2024-03-15T00:00:00"/>
    <n v="2399"/>
    <m/>
    <m/>
  </r>
  <r>
    <s v="IS001178"/>
    <s v="IS001178"/>
    <m/>
    <n v="21834"/>
    <s v="Classe para Moveis e Utensilios Fz Grande Leste"/>
    <s v="SEM PLACA"/>
    <s v="SEM CHASSI"/>
    <x v="745"/>
    <s v="Nosso Lar Lojas de Departamentos Ltda-Lj110"/>
    <s v="00.607.587/0029-02"/>
    <d v="2024-03-16T00:00:00"/>
    <n v="2399"/>
    <m/>
    <m/>
  </r>
  <r>
    <s v="IS001179"/>
    <s v="IS001179"/>
    <m/>
    <n v="21834"/>
    <s v="Classe para Moveis e Utensilios Fz Grande Leste"/>
    <s v="SEM PLACA"/>
    <s v="SEM CHASSI"/>
    <x v="745"/>
    <s v="Nosso Lar Lojas de Departamentos Ltda-Lj111"/>
    <s v="00.607.587/0029-03"/>
    <d v="2024-03-17T00:00:00"/>
    <n v="2399"/>
    <m/>
    <m/>
  </r>
  <r>
    <s v="IS001180"/>
    <s v="IS001180"/>
    <m/>
    <n v="256744"/>
    <s v="Classe para Moveis e Utensilios Fz Santa Lucia"/>
    <s v="SEM PLACA"/>
    <s v="SEM CHASSI"/>
    <x v="755"/>
    <s v="CATRAL REFRIGERACAO E ELETRODOMESTICOS LTDA"/>
    <s v="02.375.921/0011-45"/>
    <d v="2024-03-13T00:00:00"/>
    <n v="4448.6899999999996"/>
    <s v="OK"/>
    <m/>
  </r>
  <r>
    <s v="IS001181"/>
    <s v="IS001181"/>
    <m/>
    <n v="256744"/>
    <s v="Classe para Moveis e Utensilios Fz Santa Lucia"/>
    <s v="SEM PLACA"/>
    <s v="SEM CHASSI"/>
    <x v="762"/>
    <s v="CATRAL REFRIGERACAO E ELETRODOMESTICOS LTDA"/>
    <s v="02.375.921/0011-45"/>
    <d v="2024-03-13T00:00:00"/>
    <n v="4342.46"/>
    <s v="OK"/>
    <m/>
  </r>
  <r>
    <s v="IS001182"/>
    <s v="IS001182"/>
    <m/>
    <n v="271"/>
    <s v="Classe para Maquinas Implementos  Agricola Fz Santa Lucia"/>
    <s v="SEM PLACA"/>
    <s v="IN07760XCE0050082"/>
    <x v="837"/>
    <s v="JOAO ANTONIO FRANCIOSI"/>
    <s v="391.632.610-49"/>
    <d v="2025-07-10T00:00:00"/>
    <n v="1552906.82"/>
    <s v="OK"/>
    <s v="SANTA LUCIA"/>
  </r>
  <r>
    <s v="IS001183"/>
    <s v="IS001183"/>
    <m/>
    <n v="4988"/>
    <s v="Classe para Maquinas Implementos  Agricola Fz Jatoba"/>
    <s v="SEM PLACA"/>
    <s v="SEM CHASSI"/>
    <x v="805"/>
    <s v="Mori Ind. e Com. de Implementos Agricolas Ltda"/>
    <s v="04.799.096/0001-50"/>
    <d v="2024-08-15T00:00:00"/>
    <n v="82500"/>
    <s v="OK"/>
    <s v="JATOBA"/>
  </r>
  <r>
    <s v="IS001184"/>
    <s v="IS001184"/>
    <m/>
    <n v="4988"/>
    <s v="Classe para Maquinas Implementos  Agricola Fz Jatoba"/>
    <s v="SEM PLACA"/>
    <s v="SEM CHASSI"/>
    <x v="805"/>
    <s v="Mori Ind. e Com. de Implementos Agricolas Ltda"/>
    <s v="04.799.096/0001-50"/>
    <d v="2024-08-15T00:00:00"/>
    <n v="82500"/>
    <s v="OK"/>
    <s v="JATOBA"/>
  </r>
  <r>
    <s v="IS001185"/>
    <s v="IS001185"/>
    <m/>
    <n v="4988"/>
    <s v="Classe para Maquinas Implementos  Agricola Fz Jatoba"/>
    <s v="SEM PLACA"/>
    <s v="SEM CHASSI"/>
    <x v="805"/>
    <s v="Mori Ind. e Com. de Implementos Agricolas Ltda"/>
    <s v="04.799.096/0001-50"/>
    <d v="2024-08-15T00:00:00"/>
    <n v="82500"/>
    <s v="OK"/>
    <s v="JATOBA"/>
  </r>
  <r>
    <s v="IS001186"/>
    <s v="IS001186"/>
    <m/>
    <n v="4988"/>
    <s v="Classe para Maquinas Implementos  Agricola Fz Jatoba"/>
    <s v="SEM PLACA"/>
    <s v="SEM CHASSI"/>
    <x v="805"/>
    <s v="Mori Ind. e Com. de Implementos Agricolas Ltda"/>
    <s v="04.799.096/0001-50"/>
    <d v="2024-08-15T00:00:00"/>
    <n v="82500"/>
    <s v="OK"/>
    <s v="JATOBA"/>
  </r>
  <r>
    <s v="IS001187"/>
    <s v="IS001187"/>
    <m/>
    <n v="20232"/>
    <s v="Classe para Veiculos Fz Santa Lucia"/>
    <s v="SKF0F97"/>
    <s v="93KKZ60D8RE198539"/>
    <x v="838"/>
    <s v="VOLVO DO BRASIL VEICULOS LTDA"/>
    <s v="43.999.424/0001-14"/>
    <d v="2024-05-29T00:00:00"/>
    <n v="750000"/>
    <s v="OK"/>
    <s v="SANTA LUCIA"/>
  </r>
  <r>
    <s v="IS001188"/>
    <s v="IS001188"/>
    <m/>
    <s v="TERRAS "/>
    <s v="Classe para Terras"/>
    <m/>
    <m/>
    <x v="839"/>
    <m/>
    <m/>
    <m/>
    <n v="900765.78"/>
    <s v="IMOVEL RURAL E INSTALAÇÕES "/>
    <m/>
  </r>
  <r>
    <s v="IS001189"/>
    <s v="IS001189"/>
    <m/>
    <n v="43809"/>
    <s v="Classe para Maquinas Implementos  Agricola Fz St Expedito"/>
    <s v="SEM PLACA"/>
    <n v="5224"/>
    <x v="840"/>
    <s v="AGRIMEC AGRO INDUSTRIAL E MECANICA LTDA"/>
    <s v="88.093.141/0001-47"/>
    <d v="2024-06-27T00:00:00"/>
    <n v="378625"/>
    <s v="OK"/>
    <s v="SANTA LUCIA"/>
  </r>
  <r>
    <s v="IS001190"/>
    <s v="IS001190"/>
    <m/>
    <n v="375"/>
    <s v="Classe para Moveis e Utensilios Fz Santa Lucia"/>
    <s v="SEM PLACA"/>
    <s v="SEM CHASSI"/>
    <x v="841"/>
    <s v="SERGIO ROGERIO FINOTTI LIMITADA"/>
    <s v="47.629.194/0001-52"/>
    <d v="2024-05-14T00:00:00"/>
    <n v="15136.82"/>
    <m/>
    <m/>
  </r>
  <r>
    <s v="IS001191"/>
    <s v="IS001191"/>
    <m/>
    <n v="375"/>
    <s v="Classe para Moveis e Utensilios Fz Santa Lucia"/>
    <s v="SEM PLACA"/>
    <s v="SEM CHASSI"/>
    <x v="842"/>
    <s v="SERGIO ROGERIO FINOTTI LIMITADA"/>
    <s v="47.629.194/0001-52"/>
    <d v="2024-05-14T00:00:00"/>
    <n v="7000"/>
    <m/>
    <m/>
  </r>
  <r>
    <s v="IS001192"/>
    <s v="IS001192"/>
    <m/>
    <n v="375"/>
    <s v="Classe para Moveis e Utensilios Fz Santa Lucia"/>
    <s v="SEM PLACA"/>
    <s v="SEM CHASSI"/>
    <x v="843"/>
    <s v="SERGIO ROGERIO FINOTTI LIMITADA"/>
    <s v="47.629.194/0001-52"/>
    <d v="2024-05-14T00:00:00"/>
    <n v="6568.41"/>
    <m/>
    <s v="SANTA LUCIA"/>
  </r>
  <r>
    <s v="IS001193"/>
    <s v="IS001193"/>
    <m/>
    <n v="375"/>
    <s v="Classe para Moveis e Utensilios Fz Santa Lucia"/>
    <s v="SEM PLACA"/>
    <s v="SEM CHASSI"/>
    <x v="844"/>
    <s v="SERGIO ROGERIO FINOTTI LIMITADA"/>
    <s v="47.629.194/0001-52"/>
    <d v="2024-05-14T00:00:00"/>
    <n v="29868"/>
    <m/>
    <m/>
  </r>
  <r>
    <s v="IS001194"/>
    <s v="IS001194"/>
    <m/>
    <n v="375"/>
    <s v="Classe para Moveis e Utensilios Fz Santa Lucia"/>
    <s v="SEM PLACA"/>
    <s v="SEM CHASSI"/>
    <x v="845"/>
    <s v="SERGIO ROGERIO FINOTTI LIMITADA"/>
    <s v="47.629.194/0001-52"/>
    <d v="2024-05-14T00:00:00"/>
    <n v="9000"/>
    <m/>
    <m/>
  </r>
  <r>
    <s v="IS001195"/>
    <s v="IS001195"/>
    <m/>
    <n v="2912"/>
    <s v="Classe para Informatica e Comunicaçao Fz Grande Leste"/>
    <s v="SEM PLACA"/>
    <s v="SEM CHASSI"/>
    <x v="544"/>
    <s v="MELLO E MELLO TECNOLOGIA LTDA."/>
    <s v="24.923.049/0001-84"/>
    <d v="2025-09-29T00:00:00"/>
    <n v="1971"/>
    <m/>
    <s v="GRANDE LESTE"/>
  </r>
  <r>
    <s v="IS001196"/>
    <s v="IS001196"/>
    <m/>
    <n v="7901"/>
    <s v="Classe para Maquinas Implementos  Agricola Fz Jatoba"/>
    <s v="SEM PLACA"/>
    <n v="611348880002001"/>
    <x v="846"/>
    <s v="AGRICOLA SIMABA LTDA"/>
    <s v="04.815.160/0001-40"/>
    <d v="2024-07-12T00:00:00"/>
    <n v="42000"/>
    <s v="OK"/>
    <s v="GRANDE LESTE"/>
  </r>
  <r>
    <s v="IS001197"/>
    <s v="IS001197"/>
    <m/>
    <n v="3074"/>
    <s v="Classe para Maquinas Implementos  Agricola Fz Jatoba"/>
    <s v="SEM PLACA"/>
    <n v="3258984"/>
    <x v="847"/>
    <s v="TRATORMASTER TRATORES PECAS E SERVICOS LTDA"/>
    <s v="02.745.179/0006-47"/>
    <d v="2024-07-30T00:00:00"/>
    <n v="530000"/>
    <s v="OK"/>
    <m/>
  </r>
  <r>
    <s v="IS001198"/>
    <s v="IS001198"/>
    <m/>
    <n v="82148"/>
    <s v="Classe para Maquinas Implementos  Agricola Fz Jatoba"/>
    <s v="SEM PLACA"/>
    <s v="10.47.880"/>
    <x v="848"/>
    <s v="MEPEL MAQUINAS E EQUIPAMENTOS LTDA"/>
    <s v="90.157.108/0001-85"/>
    <d v="2024-07-12T00:00:00"/>
    <n v="154000"/>
    <m/>
    <m/>
  </r>
  <r>
    <s v="IS001199"/>
    <s v="IS001199"/>
    <m/>
    <n v="1212"/>
    <s v="Classe para Veiculos Fz Grande Leste"/>
    <s v="SEM PLACA"/>
    <s v="9A9R32DPX71AH8232"/>
    <x v="849"/>
    <s v="SEM NF"/>
    <s v="544.053.510-15"/>
    <d v="2024-10-24T00:00:00"/>
    <n v="97500"/>
    <m/>
    <m/>
  </r>
  <r>
    <s v="IS001200"/>
    <s v="IS001200"/>
    <m/>
    <n v="1212"/>
    <s v="Classe para Veiculos Fz Grande Leste"/>
    <s v="SEM PLACA"/>
    <s v="9A9S12DPS71AH8228"/>
    <x v="850"/>
    <s v="SEM NF"/>
    <s v="544.053.510-15"/>
    <d v="2024-10-24T00:00:00"/>
    <n v="97500"/>
    <m/>
    <m/>
  </r>
  <r>
    <s v="IS001201"/>
    <s v="IS001201"/>
    <m/>
    <n v="24733"/>
    <s v="Classe para Informatica e Comunicaçao Fz Santa Lucia"/>
    <s v="SEM PLACA"/>
    <s v="SEM CHASSI"/>
    <x v="851"/>
    <s v="LUCIANO WIBRANTZ LTDA"/>
    <s v="26.037.394/0001-46"/>
    <d v="2024-07-15T00:00:00"/>
    <n v="3500"/>
    <s v="OK"/>
    <s v="GRANDE LESTE"/>
  </r>
  <r>
    <s v="IS001202"/>
    <s v="IS001202"/>
    <m/>
    <n v="24734"/>
    <s v="Classe para Informatica e Comunicaçao Fz Santa Lucia"/>
    <s v="SEM PLACA"/>
    <s v="SEM CHASSI"/>
    <x v="851"/>
    <s v="LUCIANO WIBRANTZ LTDA"/>
    <s v="26.037.394/0001-46"/>
    <d v="2024-07-15T00:00:00"/>
    <n v="3500"/>
    <s v="OK"/>
    <s v="GRANDE LESTE"/>
  </r>
  <r>
    <s v="IS001203"/>
    <s v="IS001203"/>
    <m/>
    <n v="399449"/>
    <s v="Classe para Moveis e Utensilios Fz Santa Lucia"/>
    <s v="SEM PLACA"/>
    <s v="SEM CHASSI"/>
    <x v="852"/>
    <s v="FRIGELAR COMERCIO E INDUSTRIA LTDA"/>
    <s v="92.660.406/0035-68"/>
    <d v="2024-02-09T00:00:00"/>
    <n v="2180.31"/>
    <s v="OK"/>
    <m/>
  </r>
  <r>
    <s v="IS001204"/>
    <s v="IS001204"/>
    <m/>
    <n v="399449"/>
    <s v="Classe para Moveis e Utensilios Fz Santa Lucia"/>
    <s v="SEM PLACA"/>
    <s v="SEM CHASSI"/>
    <x v="744"/>
    <s v="FRIGELAR COMERCIO E INDUSTRIA LTDA"/>
    <s v="92.660.406/0035-68"/>
    <d v="2024-02-09T00:00:00"/>
    <n v="2469.0500000000002"/>
    <m/>
    <m/>
  </r>
  <r>
    <s v="IS001205"/>
    <s v="IS001205"/>
    <m/>
    <n v="399449"/>
    <s v="Classe para Moveis e Utensilios Fz Santa Lucia"/>
    <s v="SEM PLACA"/>
    <s v="SEM CHASSI"/>
    <x v="853"/>
    <s v="FRIGELAR COMERCIO E INDUSTRIA LTDA"/>
    <s v="92.660.406/0035-68"/>
    <d v="2024-02-09T00:00:00"/>
    <n v="3766.71"/>
    <s v="OK"/>
    <m/>
  </r>
  <r>
    <s v="IS001206"/>
    <s v="IS001206"/>
    <m/>
    <n v="399449"/>
    <s v="Classe para Moveis e Utensilios Fz Santa Lucia"/>
    <s v="SEM PLACA"/>
    <s v="SEM CHASSI"/>
    <x v="854"/>
    <s v="FRIGELAR COMERCIO E INDUSTRIA LTDA"/>
    <s v="92.660.406/0035-68"/>
    <d v="2024-02-09T00:00:00"/>
    <n v="6705.44"/>
    <s v="OK"/>
    <m/>
  </r>
  <r>
    <s v="IS001207"/>
    <s v="IS001207"/>
    <m/>
    <n v="1326"/>
    <s v="Classe para Informatica e Comunicaçao"/>
    <s v="SEM PLACA"/>
    <s v="SEM CHASSI"/>
    <x v="855"/>
    <s v="MELLO E MELLO TECNOLOGIA LTDA."/>
    <s v="24.923.049/0001-84"/>
    <d v="2024-08-05T00:00:00"/>
    <n v="1692"/>
    <s v="OK"/>
    <m/>
  </r>
  <r>
    <s v="IS001208"/>
    <s v="IS001208"/>
    <m/>
    <n v="3099"/>
    <s v="Classe para Maquinas Implementos  Agricola Fz St Expedito"/>
    <s v="SEM PLACA"/>
    <s v="SEM CHASSI"/>
    <x v="856"/>
    <s v="TRATORMASTER TRATORES PECAS E SERVICOS LTDA"/>
    <s v="02.745.179/0006-46"/>
    <d v="2024-07-31T00:00:00"/>
    <n v="14500"/>
    <m/>
    <m/>
  </r>
  <r>
    <s v="IS001209"/>
    <s v="IS001209"/>
    <m/>
    <n v="515830"/>
    <s v="Classe para Equip. Oficina Fz Santa Lucia"/>
    <s v="SEM PLACA"/>
    <s v="SEM CHASSI"/>
    <x v="857"/>
    <s v="SCHULZ COMPRESSORES LTDA"/>
    <s v="23.635.798/0001-43"/>
    <d v="2024-07-30T00:00:00"/>
    <n v="75000"/>
    <m/>
    <m/>
  </r>
  <r>
    <s v="IS001210"/>
    <s v="IS001210"/>
    <m/>
    <n v="515830"/>
    <s v="Classe para Equip. Oficina Fz Santa Lucia"/>
    <s v="SEM PLACA"/>
    <s v="SEM CHASSI"/>
    <x v="858"/>
    <s v="SCHULZ COMPRESSORES LTDA"/>
    <s v="23.635.798/0001-43"/>
    <d v="2024-07-30T00:00:00"/>
    <n v="4123.04"/>
    <m/>
    <m/>
  </r>
  <r>
    <s v="IS001211"/>
    <s v="IS001211"/>
    <m/>
    <n v="84"/>
    <s v="Classe para Maquinas Implementos  Agricola Fz Jatoba"/>
    <s v="SEM PLACA"/>
    <s v="SEM CHASSI"/>
    <x v="859"/>
    <s v="SOMAQ MAQUINAS E EQUIPAMENTOS LTDA"/>
    <s v="50.647.402/0001-50"/>
    <d v="2024-08-01T00:00:00"/>
    <n v="24000"/>
    <s v="OK"/>
    <s v="GRANDE LESTE"/>
  </r>
  <r>
    <s v="IS001212"/>
    <s v="IS001212"/>
    <m/>
    <n v="399449"/>
    <s v="Classe para Moveis e Utensilios Fz Santa Lucia"/>
    <s v="SEM PLACA"/>
    <s v="SEM CHASSI"/>
    <x v="854"/>
    <s v="FRIGELAR COMERCIO E INDUSTRIA LTDA"/>
    <s v="92.660.406/0035-68"/>
    <d v="2024-02-09T00:00:00"/>
    <n v="6998.34"/>
    <s v="OK"/>
    <m/>
  </r>
  <r>
    <s v="IS001213"/>
    <s v="IS001213"/>
    <m/>
    <n v="399449"/>
    <s v="Classe para Moveis e Utensilios Fz Santa Lucia"/>
    <s v="SEM PLACA"/>
    <s v="SEM CHASSI"/>
    <x v="744"/>
    <s v="FRIGELAR COMERCIO E INDUSTRIA LTDA"/>
    <s v="92.660.406/0035-68"/>
    <d v="2024-02-09T00:00:00"/>
    <n v="2576.91"/>
    <s v="OK"/>
    <m/>
  </r>
  <r>
    <s v="IS001214"/>
    <s v="IS001214"/>
    <m/>
    <n v="663857"/>
    <s v="Classe para Equip. Oficina Fz Santa Lucia"/>
    <s v="SEM PLACA"/>
    <s v="SEM CHASSI"/>
    <x v="860"/>
    <s v="CELMAR COML E IMPORT. LTDA. (MATRIZ)"/>
    <s v="61.936.522/0001-94"/>
    <d v="2024-07-12T00:00:00"/>
    <n v="125000"/>
    <m/>
    <m/>
  </r>
  <r>
    <s v="IS001215"/>
    <s v="IS001215"/>
    <m/>
    <n v="122644"/>
    <s v="Classe para Maquinas Implementos  Agricola Fz Santa Lucia"/>
    <s v="SEM PLACA"/>
    <s v="PRCYP350HRPC07285"/>
    <x v="861"/>
    <s v="CNH Industrial Brasil LTDA"/>
    <s v="01.844.555/0028-00"/>
    <d v="2024-07-31T00:00:00"/>
    <n v="1300000"/>
    <s v="OK"/>
    <s v="GRANDE LESTE"/>
  </r>
  <r>
    <s v="IS001216"/>
    <s v="IS001216"/>
    <m/>
    <n v="25881"/>
    <s v="Classe para Informatica e Comunicaçao Fz St Expedito"/>
    <s v="SEM PLACA"/>
    <s v="SEM CHASSI"/>
    <x v="862"/>
    <s v="LUCIANO WIBRANTZ LTDA"/>
    <s v="26.037.394/0001-46"/>
    <d v="2024-09-19T00:00:00"/>
    <n v="3790"/>
    <s v="OK"/>
    <s v="GRANDE LESTE"/>
  </r>
  <r>
    <s v="IS001217"/>
    <s v="IS001217"/>
    <m/>
    <n v="25881"/>
    <s v="Classe para Informatica e Comunicaçao Fz St Expedito"/>
    <s v="SEM PLACA"/>
    <s v="SEM CHASSI"/>
    <x v="862"/>
    <s v="LUCIANO WIBRANTZ LTDA"/>
    <s v="26.037.394/0001-46"/>
    <d v="2024-09-19T00:00:00"/>
    <n v="3790"/>
    <s v="OK"/>
    <s v="GRANDE LESTE"/>
  </r>
  <r>
    <s v="IS001218"/>
    <s v="IS001218"/>
    <m/>
    <n v="25881"/>
    <s v="Classe para Informatica e Comunicaçao Fz St Expedito"/>
    <s v="SEM PLACA"/>
    <s v="SEM CHASSI"/>
    <x v="862"/>
    <s v="LUCIANO WIBRANTZ LTDA"/>
    <s v="26.037.394/0001-46"/>
    <d v="2024-09-19T00:00:00"/>
    <n v="3790"/>
    <s v="OK"/>
    <s v="GRANDE LESTE"/>
  </r>
  <r>
    <s v="IS001219"/>
    <s v="IS001219"/>
    <m/>
    <n v="1396"/>
    <s v="Classe para Informatica e Comunicaçao"/>
    <s v="SEM PLACA"/>
    <s v="SEM CHASSI"/>
    <x v="863"/>
    <s v="MELLO E MELLO TECNOLOGIA LTDA."/>
    <s v="24.923.049/0001-84"/>
    <d v="2024-08-26T00:00:00"/>
    <n v="1779"/>
    <s v="OK"/>
    <m/>
  </r>
  <r>
    <s v="IS001220"/>
    <s v="IS001220"/>
    <m/>
    <n v="1395"/>
    <s v="Classe para Informatica e Comunicaçao"/>
    <s v="SEM PLACA"/>
    <s v="SEM CHASSI"/>
    <x v="863"/>
    <s v="MELLO E MELLO TECNOLOGIA LTDA."/>
    <s v="24.923.049/0001-84"/>
    <d v="2024-08-26T00:00:00"/>
    <n v="1779"/>
    <s v="OK"/>
    <m/>
  </r>
  <r>
    <s v="IS001221"/>
    <s v="IS001221"/>
    <m/>
    <n v="6318"/>
    <s v="Classe para Moveis e Utensilios Fz Jatoba"/>
    <s v="SEM PLACA"/>
    <s v="SEM CHASSI"/>
    <x v="864"/>
    <s v="LG DIST E COMERCIO DE AUTOPECAS E ACESSORIOS LTDA"/>
    <s v="10.303.994/0005-00"/>
    <d v="2024-08-26T00:00:00"/>
    <n v="6500"/>
    <m/>
    <m/>
  </r>
  <r>
    <s v="PUL-009"/>
    <s v="IS001222"/>
    <m/>
    <n v="6963"/>
    <s v="Classe para Maquinas Implementos  Agricola Fz St Expedito"/>
    <s v="SEM PLACA"/>
    <s v="PRCYP350PLPC04147"/>
    <x v="246"/>
    <s v="MAXUM MAQUINAS E EQUIPAMENTOS LTDA"/>
    <s v="02.227.267/0001-41"/>
    <d v="2020-09-22T00:00:00"/>
    <n v="825000"/>
    <m/>
    <m/>
  </r>
  <r>
    <s v="TRA-072"/>
    <s v="IS001223"/>
    <m/>
    <n v="160728"/>
    <s v="Classe para Maquinas Implementos  Agricola Fz St Expedito"/>
    <s v="SEM PLACA"/>
    <s v="JEEZC580CPF508938"/>
    <x v="865"/>
    <s v="MAXUM MAQUINAS E EQUIPAMENTOS LTDA"/>
    <s v="02.227.267/0001-41"/>
    <d v="2024-07-30T00:00:00"/>
    <n v="2700000"/>
    <s v="OK"/>
    <s v="JATOBA"/>
  </r>
  <r>
    <s v="IS001224"/>
    <s v="IS001224"/>
    <m/>
    <n v="1452"/>
    <s v="Classe para Moveis e Utensilios"/>
    <s v="SEM PLACA"/>
    <s v="SEM CHASSI"/>
    <x v="866"/>
    <s v="MELLO E MELLO TECNOLOGIA LTDA."/>
    <s v="24.923.049/0001-84"/>
    <d v="2024-09-10T00:00:00"/>
    <n v="2829"/>
    <m/>
    <m/>
  </r>
  <r>
    <s v="IS001225"/>
    <s v="IS001225"/>
    <m/>
    <n v="56"/>
    <s v="Classe para Informatica e Comunicaçao Fz Grande Leste"/>
    <s v="SEM PLACA"/>
    <s v="8219347NA936"/>
    <x v="867"/>
    <s v="VITAGRAN COMERCIAL AGRICOLA LTDA"/>
    <s v="04.945.827/0001-29"/>
    <d v="2024-09-19T00:00:00"/>
    <n v="235000"/>
    <m/>
    <m/>
  </r>
  <r>
    <s v="IS001226"/>
    <s v="IS001226"/>
    <m/>
    <n v="222722"/>
    <s v="Classe para Equip. Oficina Fz Grande Leste"/>
    <s v="SEM PLACA"/>
    <s v="SEM CHASSI"/>
    <x v="868"/>
    <s v="LEM COMERCIO DE EPIS LTDA"/>
    <s v="13.168.084/0001-19"/>
    <d v="2024-09-12T00:00:00"/>
    <n v="18999.990000000002"/>
    <s v="OK"/>
    <s v="SANTA LUCIA"/>
  </r>
  <r>
    <s v="IS001227"/>
    <s v="IS001227"/>
    <m/>
    <n v="67586"/>
    <s v="Classe para Equip. Oficina Fz Grande Leste"/>
    <s v="SEM PLACA"/>
    <s v="SEM CHASSI"/>
    <x v="869"/>
    <s v="PORTO BRASIL MOTORES E FERRAMENTAS LTDA"/>
    <s v="34.054.429/0002-64"/>
    <d v="2024-09-17T00:00:00"/>
    <n v="1839.08"/>
    <s v="OK"/>
    <s v="GRANDE LESTE"/>
  </r>
  <r>
    <s v="IS001228"/>
    <s v="IS001228"/>
    <m/>
    <n v="189"/>
    <s v="Classe para Maquinas Implementos  Agricola Fz Jatoba"/>
    <s v="SEM PLACA"/>
    <s v="SEM CHASSI"/>
    <x v="870"/>
    <s v="LUIZ FERNANDO RODRIGUES 15970586889"/>
    <s v="31.087.003/0001-38"/>
    <d v="2024-09-17T00:00:00"/>
    <n v="120000"/>
    <s v="OK"/>
    <s v="SANTO EXPEDITO"/>
  </r>
  <r>
    <s v="IS001229"/>
    <s v="IS001229"/>
    <m/>
    <s v="IMOVEIS"/>
    <s v="Classe para imoveis, construcoes"/>
    <s v="SEM PLACA"/>
    <s v="SEM CHASSI"/>
    <x v="871"/>
    <m/>
    <m/>
    <m/>
    <n v="3708239.61"/>
    <s v="IMOVEL RURAL E INSTALAÇÕES "/>
    <s v="SANTA LUCIA"/>
  </r>
  <r>
    <s v="IS001230"/>
    <s v="IS001230"/>
    <m/>
    <n v="67776"/>
    <s v="Classe para Equip. Oficina Fz Santa Lucia"/>
    <s v="SEM PLACA"/>
    <s v="SEM CHASSI"/>
    <x v="238"/>
    <s v="PORTO BRASIL MOTORES E FERRAMENTAS LTDA"/>
    <s v="34.054.429/0002-64"/>
    <d v="2024-09-25T00:00:00"/>
    <n v="2047"/>
    <s v="OK"/>
    <s v="SANTA LUCIA"/>
  </r>
  <r>
    <s v="IS001231"/>
    <s v="IS001231"/>
    <m/>
    <n v="57"/>
    <s v="Classe para Equip. Diversos Fz Grande Leste"/>
    <s v="SEM PLACA"/>
    <s v="SEM CHASSI"/>
    <x v="872"/>
    <s v="VITAGRAN COMERCIAL AGRICOLA LTDA"/>
    <s v="04.945.827/0001-29"/>
    <d v="2024-09-20T00:00:00"/>
    <n v="14500"/>
    <s v="OK"/>
    <m/>
  </r>
  <r>
    <s v="IS001232"/>
    <s v="IS001232"/>
    <m/>
    <n v="1559"/>
    <s v="Classe para Informatica e Comunicaçao Fz Santa Lucia"/>
    <s v="SEM PLACA"/>
    <s v="SEM CHASSI"/>
    <x v="873"/>
    <s v="MELLO E MELLO TECNOLOGIA LTDA."/>
    <s v="24.923.049/0001-84"/>
    <d v="2024-10-04T00:00:00"/>
    <n v="1926"/>
    <s v="OK"/>
    <m/>
  </r>
  <r>
    <s v="IS001233"/>
    <s v="IS001233"/>
    <m/>
    <n v="1561"/>
    <s v="Classe para Informatica e Comunicaçao Fz Grande Leste"/>
    <s v="SEM PLACA"/>
    <s v="SEM CHASSI"/>
    <x v="873"/>
    <s v="MELLO E MELLO TECNOLOGIA LTDA."/>
    <s v="24.923.049/0001-84"/>
    <d v="2024-10-04T00:00:00"/>
    <n v="1926"/>
    <s v="OK"/>
    <m/>
  </r>
  <r>
    <s v="IS001234"/>
    <s v="IS001234"/>
    <m/>
    <n v="1560"/>
    <s v="Classe para Informatica e Comunicaçao Fz St Expedito"/>
    <s v="SEM PLACA"/>
    <s v="SEM CHASSI"/>
    <x v="873"/>
    <s v="MELLO E MELLO TECNOLOGIA LTDA."/>
    <s v="24.923.049/0001-84"/>
    <d v="2024-10-04T00:00:00"/>
    <n v="1926"/>
    <s v="OK"/>
    <m/>
  </r>
  <r>
    <s v="IS001235"/>
    <s v="IS001235"/>
    <m/>
    <n v="1562"/>
    <s v="Classe para Informatica e Comunicaçao Fz Jatoba"/>
    <s v="SEM PLACA"/>
    <s v="SEM CHASSI"/>
    <x v="873"/>
    <s v="MELLO E MELLO TECNOLOGIA LTDA."/>
    <s v="24.923.049/0001-84"/>
    <d v="2024-10-04T00:00:00"/>
    <n v="1926"/>
    <s v="OK"/>
    <m/>
  </r>
  <r>
    <s v="IS001236"/>
    <s v="IS001236"/>
    <m/>
    <n v="4988"/>
    <s v="Classe para Maquinas Implementos  Agricola Fz Jatoba"/>
    <s v="SEM PLACA"/>
    <s v="SEM CHASSI"/>
    <x v="805"/>
    <s v="Mori Ind. e Com. de Implementos Agricolas Ltda"/>
    <s v="04.799.096/0001-50"/>
    <d v="2024-08-15T00:00:00"/>
    <n v="82500"/>
    <s v="OK"/>
    <s v="JATOBA"/>
  </r>
  <r>
    <s v="IS001237"/>
    <s v="IS001237"/>
    <m/>
    <n v="4988"/>
    <s v="Classe para Maquinas Implementos  Agricola Fz Jatoba"/>
    <s v="SEM PLACA"/>
    <s v="SEM CHASSI"/>
    <x v="805"/>
    <s v="Mori Ind. e Com. de Implementos Agricolas Ltda"/>
    <s v="04.799.096/0001-50"/>
    <d v="2024-08-15T00:00:00"/>
    <n v="82500"/>
    <s v="OK"/>
    <s v="JATOBA"/>
  </r>
  <r>
    <s v="IS001238"/>
    <s v="IS001238"/>
    <m/>
    <n v="6719"/>
    <s v="Classe para Equip. Diversos Fz Santa Lucia"/>
    <s v="SEM PLACA"/>
    <s v="SEM CHASSI"/>
    <x v="874"/>
    <s v="LEM BALANCAS LTDA"/>
    <s v="24.592.698/0001-40"/>
    <d v="2024-10-14T00:00:00"/>
    <n v="1260"/>
    <m/>
    <m/>
  </r>
  <r>
    <s v="IS001239"/>
    <s v="IS001239"/>
    <m/>
    <n v="291327"/>
    <s v="Classe para Moveis e Utensilios Fz Grande Leste"/>
    <s v="SEM PLACA"/>
    <s v="SEM CHASSI"/>
    <x v="875"/>
    <s v="LOJA ELECTROLUX COM VIRTUAL DE ELET LTDA"/>
    <s v="13.986.197/0003-93"/>
    <d v="2024-10-11T00:00:00"/>
    <n v="1399"/>
    <m/>
    <m/>
  </r>
  <r>
    <s v="IS001240"/>
    <s v="IS001240"/>
    <m/>
    <n v="228917"/>
    <s v="Classe para Equip. Oficina Fz Grande Leste"/>
    <s v="SEM PLACA"/>
    <s v="SEM CHASSI"/>
    <x v="876"/>
    <s v="LEM COMERCIO DE EPIS LTDA"/>
    <s v="13.168.084/0001-19"/>
    <d v="2024-10-24T00:00:00"/>
    <n v="7740"/>
    <s v="OK"/>
    <s v="GRANDE LESTE"/>
  </r>
  <r>
    <s v="IS001241"/>
    <s v="IS001241"/>
    <m/>
    <n v="1630"/>
    <s v="Classe para Informatica e Comunicaçao Fz Grande Leste"/>
    <s v="SEM PLACA"/>
    <s v="SEM CHASSI"/>
    <x v="877"/>
    <s v="MELLO E MELLO TECNOLOGIA LTDA."/>
    <s v="24.923.049/0001-84"/>
    <d v="2024-10-25T00:00:00"/>
    <n v="1942"/>
    <s v="OK"/>
    <m/>
  </r>
  <r>
    <s v="IS001242"/>
    <s v="IS001242"/>
    <m/>
    <n v="1631"/>
    <s v="Classe para Equip. Diversos Fz Evangelista"/>
    <s v="SEM PLACA"/>
    <s v="SEM CHASSI"/>
    <x v="877"/>
    <s v="MELLO E MELLO TECNOLOGIA LTDA."/>
    <s v="24.923.049/0001-84"/>
    <d v="2024-10-25T00:00:00"/>
    <n v="1942"/>
    <s v="OK"/>
    <m/>
  </r>
  <r>
    <s v="IS001243"/>
    <s v="IS001243"/>
    <m/>
    <n v="1633"/>
    <s v="Classe para Informatica e Comunicaçao Fz Santa Lucia"/>
    <s v="SEM PLACA"/>
    <s v="SEM CHASSI"/>
    <x v="877"/>
    <s v="MELLO E MELLO TECNOLOGIA LTDA."/>
    <s v="24.923.049/0001-84"/>
    <d v="2024-10-25T00:00:00"/>
    <n v="1942"/>
    <s v="OK"/>
    <m/>
  </r>
  <r>
    <s v="IS001244"/>
    <s v="IS001244"/>
    <m/>
    <n v="1633"/>
    <s v="Classe para Informatica e Comunicaçao Fz Santa Lucia"/>
    <s v="SEM PLACA"/>
    <s v="SEM CHASSI"/>
    <x v="877"/>
    <s v="MELLO E MELLO TECNOLOGIA LTDA."/>
    <s v="24.923.049/0001-84"/>
    <d v="2024-10-25T00:00:00"/>
    <n v="1942"/>
    <s v="OK"/>
    <m/>
  </r>
  <r>
    <s v="IS001245"/>
    <s v="IS001245"/>
    <m/>
    <n v="126391"/>
    <s v="Classe para Veiculos"/>
    <s v="SKJ1B22"/>
    <s v="8AFBR01F1RJ383870"/>
    <x v="878"/>
    <s v="BURITI VEICULOS PECAS E SERVICOS LTDA"/>
    <s v="07.666.744/0001-99"/>
    <d v="2024-10-31T00:00:00"/>
    <n v="189990"/>
    <s v="OK"/>
    <s v="JATOBA"/>
  </r>
  <r>
    <s v="IS001246"/>
    <s v="IS001246"/>
    <m/>
    <n v="1693"/>
    <s v="Classe para Moveis e Utensilios"/>
    <s v="SEM PLACA"/>
    <s v="SEM CHASSI"/>
    <x v="879"/>
    <s v="MELLO E MELLO TECNOLOGIA LTDA."/>
    <s v="24.923.049/0001-84"/>
    <d v="2024-11-12T00:00:00"/>
    <n v="2998.82"/>
    <s v="OK"/>
    <s v="JATOBA"/>
  </r>
  <r>
    <s v="IS001247"/>
    <s v="IS001247"/>
    <m/>
    <n v="274"/>
    <s v="Classe para Informatica e Comunicaçao"/>
    <s v="SEM PLACA"/>
    <s v="SEM CHASSI"/>
    <x v="880"/>
    <s v="E R COSTA LTDA"/>
    <s v="12.215.644/0001-86"/>
    <d v="2024-10-07T00:00:00"/>
    <n v="4700"/>
    <m/>
    <m/>
  </r>
  <r>
    <s v="IS001248"/>
    <s v="IS001248"/>
    <m/>
    <n v="68964"/>
    <s v="Classe para Equip. Oficina Fz Santo Expedito"/>
    <s v="SEM PLACA"/>
    <s v="SEM CHASSI"/>
    <x v="881"/>
    <s v="PORTO BRASIL MOTORES E FERRAMENTAS LTDA"/>
    <s v="34.054.429/0002-64"/>
    <d v="2024-11-12T00:00:00"/>
    <n v="3969.1"/>
    <m/>
    <m/>
  </r>
  <r>
    <s v="IS001249"/>
    <s v="IS001249"/>
    <m/>
    <n v="68964"/>
    <s v="Classe para Equip. Oficina Fz Santo Expedito"/>
    <s v="SEM PLACA"/>
    <s v="SEM CHASSI"/>
    <x v="127"/>
    <s v="PORTO BRASIL MOTORES E FERRAMENTAS LTDA"/>
    <s v="34.054.429/0002-64"/>
    <d v="2024-11-12T00:00:00"/>
    <n v="3969.1"/>
    <m/>
    <m/>
  </r>
  <r>
    <s v="IS001250"/>
    <s v="IS001250"/>
    <m/>
    <n v="68959"/>
    <s v="Classe para Equip. Oficina Fz Santo Expedito"/>
    <s v="SEM PLACA"/>
    <s v="SEM CHASSI"/>
    <x v="127"/>
    <s v="PORTO BRASIL MOTORES E FERRAMENTAS LTDA"/>
    <s v="34.054.429/0002-64"/>
    <d v="2024-11-12T00:00:00"/>
    <n v="1899.05"/>
    <s v="OK"/>
    <s v="SANTO EXPEDITO"/>
  </r>
  <r>
    <s v="IS001251"/>
    <s v="IS001251"/>
    <m/>
    <n v="163028"/>
    <s v="Classe para Maquinas Implementos  Agricola Fz St Expedito"/>
    <s v="SEM PLACA"/>
    <s v="PRCYP350JRPC07425"/>
    <x v="246"/>
    <s v="MAXUM MAQUINAS E EQUIPAMENTOS LTDA"/>
    <s v="02.227.267/0001-41"/>
    <d v="2024-10-31T00:00:00"/>
    <n v="1300000"/>
    <s v="OK"/>
    <s v="SANTO EXPEDITO"/>
  </r>
  <r>
    <s v="IS001252"/>
    <s v="IS001252"/>
    <m/>
    <n v="1049"/>
    <s v="Classe para Equip. Diversos Fz Grande Leste"/>
    <s v="SEM PLACA"/>
    <s v="SEM CHASSI"/>
    <x v="882"/>
    <s v="DIVISA COMERCIO E SERVICOS LTDA"/>
    <s v="11.190.449/0001-86"/>
    <d v="2024-12-07T00:00:00"/>
    <n v="8900"/>
    <m/>
    <m/>
  </r>
  <r>
    <s v="IS001253"/>
    <s v="IS001253"/>
    <m/>
    <n v="68931"/>
    <s v="Classe para Equip. Diversos Fz Santa Lucia"/>
    <s v="SEM PLACA"/>
    <s v="SEM CHASSI"/>
    <x v="883"/>
    <s v="PORTO BRASIL MOTORES E FERRAMENTAS LTDA"/>
    <s v="34.054.429/0002-64"/>
    <d v="2024-11-11T00:00:00"/>
    <n v="4480"/>
    <m/>
    <m/>
  </r>
  <r>
    <s v="IS001254"/>
    <s v="IS001254"/>
    <m/>
    <n v="113275"/>
    <s v="Classe para equip. Diversos Fz Santo Expedito"/>
    <s v="SEM PLACA"/>
    <s v="SEM CHASSI"/>
    <x v="535"/>
    <s v="MOTO FORMOSA LTDA EPP"/>
    <s v="03.619.318/0002-24"/>
    <d v="2024-11-07T00:00:00"/>
    <n v="4000"/>
    <m/>
    <m/>
  </r>
  <r>
    <s v="IS001255"/>
    <s v="IS001255"/>
    <m/>
    <n v="132968"/>
    <s v="Classe para Equip. Diversos Fz Evangelista"/>
    <s v="SEM PLACA"/>
    <s v="SEM CHASSI"/>
    <x v="535"/>
    <s v="LUZ MOTOS, COMERCIO, SERVICOS E PECAS LTDA"/>
    <s v="08.074.058/0002-72"/>
    <d v="2024-11-07T00:00:00"/>
    <n v="2999.9"/>
    <m/>
    <m/>
  </r>
  <r>
    <s v="IS001256"/>
    <s v="IS001256"/>
    <m/>
    <n v="1684"/>
    <s v="Classe para Informatica e Comunicaçao Fz Santa Lucia"/>
    <s v="SEM PLACA"/>
    <s v="SEM CHASSI"/>
    <x v="884"/>
    <s v="MELLO E MELLO TECNOLOGIA LTDA."/>
    <s v="24.923.049/0001-84"/>
    <d v="2024-11-08T00:00:00"/>
    <n v="3582"/>
    <s v="OK"/>
    <m/>
  </r>
  <r>
    <s v="IS001257"/>
    <s v="IS001257"/>
    <m/>
    <n v="1684"/>
    <s v="Classe para Informatica e Comunicaçao Fz Santa Lucia"/>
    <s v="SEM PLACA"/>
    <s v="SEM CHASSI"/>
    <x v="884"/>
    <s v="MELLO E MELLO TECNOLOGIA LTDA."/>
    <s v="24.923.049/0001-84"/>
    <d v="2024-11-08T00:00:00"/>
    <n v="3582"/>
    <s v="OK"/>
    <m/>
  </r>
  <r>
    <s v="IS001258"/>
    <s v="IS001258"/>
    <m/>
    <n v="133427"/>
    <s v="Classe para Veiculos Fz Grande Leste"/>
    <s v="SEM PLACA"/>
    <s v="9C2KC250OSR103488"/>
    <x v="275"/>
    <s v="LUZ MOTOS, COMERCIO, SERVICOS E PECAS LTDA"/>
    <s v="08.074.058/0002-72"/>
    <d v="2024-11-26T00:00:00"/>
    <n v="19800"/>
    <s v="OK"/>
    <s v="SANTA LUCIA"/>
  </r>
  <r>
    <s v="IS001259"/>
    <s v="IS001259"/>
    <m/>
    <n v="320926"/>
    <s v="Classe para Equip. Diversos Fz Grande Leste"/>
    <s v="SEM PLACA"/>
    <s v="SEM CHASSI"/>
    <x v="25"/>
    <s v="EBARA BOMBAS AMERICA DO SUL LTDA"/>
    <s v="46.138.319/0001-89"/>
    <d v="2024-11-05T00:00:00"/>
    <n v="154875"/>
    <m/>
    <m/>
  </r>
  <r>
    <s v="IS001260"/>
    <s v="IS001260"/>
    <m/>
    <n v="3065"/>
    <s v="Classe para Equip. Oficina Fz Santa Lucia"/>
    <s v="SEM PLACA"/>
    <s v="SEM CHASSI"/>
    <x v="885"/>
    <s v="JF Com. Parafusos Ferramentas Maquinas Ltda"/>
    <s v="42.215.694/0001-24"/>
    <d v="2024-11-28T00:00:00"/>
    <n v="2198"/>
    <m/>
    <m/>
  </r>
  <r>
    <s v="IS001261"/>
    <s v="IS001261"/>
    <m/>
    <n v="470869"/>
    <s v="Classe para Equip. UBG - Secagem e Aramazenagem de Graos"/>
    <s v="SEM PLACA"/>
    <s v="WR2409353"/>
    <x v="886"/>
    <s v="CYKLOP DO BRASIL EMBALAGENS LTDA"/>
    <s v="56.993.512/0001-50"/>
    <d v="2024-12-05T00:00:00"/>
    <n v="37600"/>
    <s v="OK"/>
    <s v="SANTA LUCIA"/>
  </r>
  <r>
    <s v="IS001262"/>
    <s v="IS001262"/>
    <m/>
    <n v="2261"/>
    <s v="Classe para Informatica e Comunicaçao Fz Jatoba"/>
    <s v="SEM PLACA"/>
    <s v="SEM CHASSI"/>
    <x v="887"/>
    <s v="MELLO E MELLO TECNOLOGIA LTDA"/>
    <s v="24.923.049/0001-84"/>
    <d v="2025-04-10T00:00:00"/>
    <n v="3050"/>
    <s v="OK"/>
    <s v="JATOBA"/>
  </r>
  <r>
    <s v="IS001263"/>
    <s v="IS001263"/>
    <m/>
    <n v="27092"/>
    <s v="Classe para Equip. Diversos Ubs Fz Santa lucia"/>
    <s v="SEM PLACA"/>
    <s v="SEM CHASSI"/>
    <x v="888"/>
    <s v="SILOMAX INDUSTRIA E COMERCIO LTDA"/>
    <s v="03.175.483/0001-53"/>
    <d v="2024-12-27T00:00:00"/>
    <n v="328500"/>
    <m/>
    <m/>
  </r>
  <r>
    <s v="IS001264"/>
    <s v="IS001264"/>
    <m/>
    <m/>
    <s v="Classe para Maquinas Implementos  Agricola Fz Jatoba"/>
    <s v="SEM PLACA"/>
    <s v="SEM CHASSI"/>
    <x v="889"/>
    <m/>
    <m/>
    <m/>
    <n v="14000"/>
    <m/>
    <m/>
  </r>
  <r>
    <s v="IS001265"/>
    <s v="IS001265"/>
    <m/>
    <n v="27147"/>
    <s v="Classe para Informatica e Comunicaçao Fz St Expedito"/>
    <s v="SEM PLACA"/>
    <s v="SEM CHASSI"/>
    <x v="890"/>
    <s v="LUCIANO WIBRANTZ LTDA"/>
    <s v="26.037.394/0001-46"/>
    <d v="2024-11-27T00:00:00"/>
    <n v="7603.22"/>
    <s v="OK"/>
    <s v="GRANDE LESTE"/>
  </r>
  <r>
    <s v="IS001266"/>
    <s v="IS001266"/>
    <m/>
    <n v="27147"/>
    <s v="Classe para Informatica e Comunicaçao Fz St Expedito"/>
    <s v="SEM PLACA"/>
    <s v="SEM CHASSI"/>
    <x v="890"/>
    <s v="LUCIANO WIBRANTZ LTDA"/>
    <s v="26.037.394/0001-46"/>
    <d v="2024-11-27T00:00:00"/>
    <n v="7603.22"/>
    <s v="OK"/>
    <s v="GRANDE LESTE"/>
  </r>
  <r>
    <s v="IS001267"/>
    <s v="IS001267"/>
    <m/>
    <n v="7764"/>
    <s v="Classe para Informatica e Comunicaçao Fz Santa Lucia"/>
    <s v="SEM PLACA"/>
    <s v="SEM CHASSI"/>
    <x v="891"/>
    <s v="MJX ASSESSORIA EM NEGOCIOS LTDA"/>
    <s v="34.381.878/0001-36"/>
    <d v="2024-11-04T00:00:00"/>
    <n v="1348"/>
    <s v="OK"/>
    <s v="SANTA LUCIA"/>
  </r>
  <r>
    <s v="IS001268"/>
    <s v="IS001268"/>
    <m/>
    <n v="27056"/>
    <s v="Classe para Informatica e Comunicaçao Fz Grande Leste"/>
    <s v="SEM PLACA"/>
    <s v="SEM CHASSI"/>
    <x v="892"/>
    <s v="LUCIANO WIBRANTZ LTDA"/>
    <s v="26.037.394/0001-46"/>
    <d v="2024-11-20T00:00:00"/>
    <n v="849.9"/>
    <s v="OK"/>
    <s v="GRANDE LESTE"/>
  </r>
  <r>
    <s v="IS001269"/>
    <s v="IS001269"/>
    <m/>
    <n v="27056"/>
    <s v="Classe para Moveis e Utensilios"/>
    <s v="SEM PLACA"/>
    <s v="SEM CHASSI"/>
    <x v="893"/>
    <s v="LUCIANO WIBRANTZ LTDA"/>
    <s v="26.037.394/0001-46"/>
    <d v="2024-11-21T00:00:00"/>
    <n v="3100"/>
    <s v="OK  "/>
    <s v="GRANDE LESTE"/>
  </r>
  <r>
    <s v="IS001270"/>
    <s v="IS001270"/>
    <m/>
    <n v="1734"/>
    <s v="Classe para Informatica e Comunicaçao"/>
    <s v="SEM PLACA"/>
    <s v="SEM CHASSI"/>
    <x v="894"/>
    <s v="MELLO E MELLO TECNOLOGIA LTDA"/>
    <s v="24.923.049/0001-84"/>
    <d v="2024-11-25T00:00:00"/>
    <n v="2000"/>
    <s v="OK"/>
    <m/>
  </r>
  <r>
    <s v="IS001271"/>
    <s v="IS001271"/>
    <m/>
    <n v="1713"/>
    <s v="Classe para Informatica e Comunicaçao"/>
    <s v="SEM PLACA"/>
    <s v="SEM CHASSI"/>
    <x v="895"/>
    <s v="MELLO E MELLO TECNOLOGIA LTDA"/>
    <s v="24.923.049/0001-84"/>
    <d v="2024-11-14T00:00:00"/>
    <n v="1799"/>
    <s v="OK"/>
    <m/>
  </r>
  <r>
    <s v="IS001272"/>
    <s v="IS001272"/>
    <m/>
    <n v="1704"/>
    <s v="Classe para Informatica e Comunicaçao Fz Grande Leste"/>
    <s v="SEM PLACA"/>
    <s v="SEM CHASSI"/>
    <x v="895"/>
    <s v="MELLO E MELLO TECNOLOGIA LTDA"/>
    <s v="24.923.049/0001-84"/>
    <d v="2024-11-13T00:00:00"/>
    <n v="1998"/>
    <s v="OK"/>
    <m/>
  </r>
  <r>
    <s v="IS001273"/>
    <s v="IS001273"/>
    <m/>
    <n v="1704"/>
    <s v="Classe para Informatica e Comunicaçao Fz Grande Leste"/>
    <s v="SEM PLACA"/>
    <s v="SEM CHASSI"/>
    <x v="895"/>
    <s v="MELLO E MELLO TECNOLOGIA LTDA"/>
    <s v="24.923.049/0001-84"/>
    <d v="2024-11-13T00:00:00"/>
    <n v="1998"/>
    <s v="OK"/>
    <m/>
  </r>
  <r>
    <s v="IS001274"/>
    <s v="IS001274"/>
    <m/>
    <n v="1753"/>
    <s v="Classe para Informatica e Comunicaçao"/>
    <s v="SEM PLACA"/>
    <s v="SEM CHASSI"/>
    <x v="894"/>
    <s v="MELLO E MELLO TECNOLOGIA LTDA"/>
    <s v="24.923.049/0001-84"/>
    <d v="2024-11-27T00:00:00"/>
    <n v="1997.6"/>
    <s v="OK"/>
    <m/>
  </r>
  <r>
    <s v="IS001275"/>
    <s v="IS001275"/>
    <m/>
    <n v="64228"/>
    <s v="Classe para Informatica e Comunicaçao"/>
    <s v="SEM PLACA"/>
    <s v="SEM CHASSI"/>
    <x v="896"/>
    <s v="STANDBYTE INFORMATICA EIRELI"/>
    <s v="04.127.630/0001-82"/>
    <d v="2024-12-16T00:00:00"/>
    <n v="13557.5"/>
    <s v="OK"/>
    <s v="ESCRITORIO CENTRAL"/>
  </r>
  <r>
    <s v="IS001276"/>
    <s v="IS001276"/>
    <m/>
    <m/>
    <s v="Classe para Maquinas Implementos  Agricola Fz Santa Lucia"/>
    <s v="SEM PLACA"/>
    <s v="SEM CHASSI"/>
    <x v="752"/>
    <m/>
    <m/>
    <m/>
    <n v="47239.49"/>
    <m/>
    <m/>
  </r>
  <r>
    <s v="IS001277"/>
    <s v="IS001277"/>
    <m/>
    <n v="276788"/>
    <s v="Classe para Moveis e Utensilios Fz Santo Expedito"/>
    <s v="SEM PLACA"/>
    <s v="SEM CHASSI"/>
    <x v="897"/>
    <s v="CATRAL REFRIGERACAO E ELETRODOMESTICOS LTDA"/>
    <s v="02.375.921/0011-36"/>
    <d v="2024-12-28T00:00:00"/>
    <n v="2679"/>
    <s v="OK"/>
    <s v="SANTO EXPEDITO"/>
  </r>
  <r>
    <s v="IS001278"/>
    <s v="IS001278"/>
    <m/>
    <n v="276788"/>
    <s v="Classe para Moveis e Utensilios Fz Santo Expedito"/>
    <s v="SEM PLACA"/>
    <s v="SEM CHASSI"/>
    <x v="897"/>
    <s v="CATRAL REFRIGERACAO E ELETRODOMESTICOS LTDA"/>
    <s v="02.375.921/0011-36"/>
    <d v="2024-12-28T00:00:00"/>
    <n v="2679"/>
    <s v="OK"/>
    <s v="SANTO EXPEDITO"/>
  </r>
  <r>
    <s v="IS001279"/>
    <s v="IS001279"/>
    <m/>
    <n v="276788"/>
    <s v="Classe para Moveis e Utensilios Fz Santo Expedito"/>
    <s v="SEM PLACA"/>
    <s v="SEM CHASSI"/>
    <x v="897"/>
    <s v="CATRAL REFRIGERACAO E ELETRODOMESTICOS LTDA"/>
    <s v="02.375.921/0011-36"/>
    <d v="2024-12-28T00:00:00"/>
    <n v="2679"/>
    <s v="OK"/>
    <s v="SANTO EXPEDITO"/>
  </r>
  <r>
    <s v="IS001280"/>
    <s v="IS001280"/>
    <m/>
    <n v="27389"/>
    <s v="Classe para Informatica e Comunicaçao Fz Grande Leste"/>
    <s v="SEM PLACA"/>
    <s v="SEM CHASSI"/>
    <x v="890"/>
    <s v="LUCIANO WIBRANTZ LTDA"/>
    <s v="26.037.394/0001-46"/>
    <d v="2024-12-09T00:00:00"/>
    <n v="3790"/>
    <s v="OK"/>
    <s v="GRANDE LESTE"/>
  </r>
  <r>
    <s v="IS001281"/>
    <s v="IS001281"/>
    <m/>
    <n v="132984"/>
    <s v="Classe para Veiculos"/>
    <s v="SEM PLACA"/>
    <s v="9C2KC2500RR132943"/>
    <x v="275"/>
    <s v="LUZ MOTOS COMERCIO SERVICOS E PECAS LTDA"/>
    <s v="08.074.058/0002-72"/>
    <d v="2024-11-07T00:00:00"/>
    <n v="17600"/>
    <s v="OK"/>
    <s v="GRANDE LESTE"/>
  </r>
  <r>
    <s v="IS001282"/>
    <s v="IS001282"/>
    <m/>
    <n v="98235"/>
    <s v="Classe para Equip. Diversos Fz Santa Lucia"/>
    <s v="SEM PLACA"/>
    <s v="SEM CHASSI"/>
    <x v="898"/>
    <s v="HELMAQ MAQUINAS E FERRAMENTAS AGRICOLAS LTDA"/>
    <s v="07.419.457/0001-84"/>
    <d v="2024-12-19T00:00:00"/>
    <n v="24666"/>
    <s v="OK"/>
    <s v="SANTA LUCIA"/>
  </r>
  <r>
    <s v="IS001283"/>
    <s v="IS001283"/>
    <m/>
    <n v="12288"/>
    <s v="Classe para Equip. Oficina Fz Santo Expedito"/>
    <s v="SEM PLACA"/>
    <s v="SEM CHASSI"/>
    <x v="885"/>
    <s v="MEGA BATERIAS LTDA"/>
    <s v="19.693.182/0001-51"/>
    <d v="2024-12-19T00:00:00"/>
    <n v="1730"/>
    <s v="OK"/>
    <m/>
  </r>
  <r>
    <s v="IS001284"/>
    <s v="IS001284"/>
    <m/>
    <n v="276537"/>
    <s v="Classe para Moveis e Utensilios Fz Santo Expedito"/>
    <s v="SEM PLACA"/>
    <s v="SEM CHASSI"/>
    <x v="899"/>
    <s v="CATRAL REFRIGERACAO E ELETRODOMESTICOS LTDA"/>
    <s v="02.375.921/0011-36"/>
    <d v="2024-12-23T00:00:00"/>
    <n v="2899"/>
    <s v="OK"/>
    <s v="SANTO EXPEDITO"/>
  </r>
  <r>
    <s v="IS001285"/>
    <s v="IS001285"/>
    <m/>
    <n v="163391"/>
    <s v="Classe para Maquinas Implementos  Agricola Fz Santa Lucia"/>
    <s v="SEM PLACA"/>
    <s v="JHFY8250KPJB25770"/>
    <x v="712"/>
    <s v="MAXUM MAQUINAS E EQUIPAMENTOS LTDA"/>
    <s v="02.227.267/0001-41"/>
    <d v="2024-11-13T00:00:00"/>
    <n v="2400000"/>
    <s v="OK"/>
    <s v="JATOBA"/>
  </r>
  <r>
    <s v="IS001286"/>
    <s v="IS001286"/>
    <m/>
    <n v="163398"/>
    <s v="Classe para Maquinas Implementos  Agricola Fz Jatoba"/>
    <s v="SEM PLACA"/>
    <s v="JHFY8250TPJB23353"/>
    <x v="712"/>
    <s v="MAXUM MAQUINAS E EQUIPAMENTOS LTDA"/>
    <s v="02.227.267/0001-41"/>
    <d v="2024-11-13T00:00:00"/>
    <n v="2400000"/>
    <s v="OK"/>
    <s v="GRANDE LESTE"/>
  </r>
  <r>
    <s v="IS001287"/>
    <s v="IS001287"/>
    <m/>
    <n v="1728"/>
    <s v="Classe para Informatica e Comunicaçao"/>
    <s v="SEM PLACA"/>
    <s v="SEM CHASSI"/>
    <x v="900"/>
    <s v="MELLO E MELLO TECNOLOGIA LTDA"/>
    <s v="24.923.049/0001-84"/>
    <d v="2024-11-22T00:00:00"/>
    <n v="1195.4000000000001"/>
    <s v="OK"/>
    <s v="ESCRITORIO CENTRAL"/>
  </r>
  <r>
    <s v="IS001288"/>
    <s v="IS001288"/>
    <m/>
    <n v="1628"/>
    <s v="Classe para Veiculos Fz Grande Leste"/>
    <s v="SYB6G33"/>
    <s v="9BM958154NB271572"/>
    <x v="901"/>
    <s v="DANIEL FRANCIOSI"/>
    <s v="544.053.510-15"/>
    <d v="2025-02-28T00:00:00"/>
    <n v="650000"/>
    <s v="OK"/>
    <s v="GRANDE LESTE"/>
  </r>
  <r>
    <s v="IS001289"/>
    <s v="IS001289"/>
    <m/>
    <n v="565191"/>
    <s v="Classe para Equip. Diversos Ubs Fz Santa lucia"/>
    <s v="SEM PLACA"/>
    <s v="SEM CHASSI"/>
    <x v="902"/>
    <s v="AGROSUL MAQUINAS LTDA"/>
    <s v="40.512.337/0001-00"/>
    <d v="2025-01-06T00:00:00"/>
    <n v="3945.625"/>
    <m/>
    <m/>
  </r>
  <r>
    <s v="IS001290"/>
    <s v="IS001290"/>
    <m/>
    <n v="163399"/>
    <s v="Classe para Maquinas Implementos  Agricola Fz Jatoba"/>
    <s v="SEM PLACA"/>
    <s v="HCCB45FCVRCK23739"/>
    <x v="903"/>
    <s v="MAXUM MAQUINAS E EQUIPAMENTOS LTDA"/>
    <s v="02.227.267/0001-41"/>
    <d v="2024-11-13T00:00:00"/>
    <n v="500000"/>
    <s v="OK"/>
    <s v="GRANDE LESTE"/>
  </r>
  <r>
    <s v="IS001291"/>
    <s v="IS001291"/>
    <s v="2924 1204 1276 3000 0182 5500 2000 0641 9816 8703 3838"/>
    <n v="64198"/>
    <s v="Classe para Informatica e Comunicaçao Fz Grande Leste"/>
    <s v="SEM PLACA"/>
    <s v="SEM CHASSI"/>
    <x v="904"/>
    <s v="STANDBYTE INFORMATICA EIRELI"/>
    <s v="04.127.630/0001-82"/>
    <d v="2024-12-12T00:00:00"/>
    <n v="1720"/>
    <m/>
    <s v="GRANDE LESTE"/>
  </r>
  <r>
    <s v="IS001292"/>
    <s v="IS001292"/>
    <m/>
    <n v="163400"/>
    <s v="Classe para Maquinas Implementos  Agricola Fz Santa Lucia"/>
    <s v="SEM PLACA"/>
    <s v="HCCB45FCERCK23763"/>
    <x v="903"/>
    <s v="MAXUM MAQUINAS E EQUIPAMENTOS LTDA"/>
    <s v="02.227.267/0001-41"/>
    <d v="2024-11-13T00:00:00"/>
    <n v="500000"/>
    <s v="OK"/>
    <s v="SANTA LUCIA"/>
  </r>
  <r>
    <s v="IS001293"/>
    <s v="IS001293"/>
    <m/>
    <n v="163899"/>
    <s v="Classe para Maquinas Implementos  Agricola Fz Santa Lucia"/>
    <s v="SEM PLACA"/>
    <s v="HCCZFA10PRCJ72722"/>
    <x v="497"/>
    <s v="MAXUM MAQUINAS E EQUIPAMENTOS LTDA"/>
    <s v="02.227.267/0001-41"/>
    <d v="2024-11-30T00:00:00"/>
    <n v="310000"/>
    <s v="OK"/>
    <s v="JATOBA"/>
  </r>
  <r>
    <s v="IS001294"/>
    <s v="IS001294"/>
    <m/>
    <n v="17791"/>
    <s v="Classe para Maquinas Implementos  Agricola Fz Santa Lucia"/>
    <s v="SEM PLACA"/>
    <s v="HCCZFA10KRCJ72692"/>
    <x v="497"/>
    <s v="MAXUM MAQUINAS E EQUIPAMENTOS LTDA"/>
    <s v="02.227.267/0001-41"/>
    <d v="2024-11-30T00:00:00"/>
    <n v="310000"/>
    <s v="OK"/>
    <s v="JATOBA"/>
  </r>
  <r>
    <s v="IS001295"/>
    <s v="IS001295"/>
    <m/>
    <n v="163900"/>
    <s v="Classe para Maquinas Implementos  Agricola Fz Santa Lucia"/>
    <s v="SEM PLACA"/>
    <s v="HCCZFA10PRCJ68685"/>
    <x v="497"/>
    <s v="MAXUM MAQUINAS E EQUIPAMENTOS LTDA"/>
    <s v="02.227.267/0001-41"/>
    <d v="2024-11-30T00:00:00"/>
    <n v="310000"/>
    <s v="OK"/>
    <s v="JATOBA"/>
  </r>
  <r>
    <s v="IS001296"/>
    <s v="IS001296"/>
    <m/>
    <n v="3111"/>
    <s v="Classe para Equip. Oficina Fz Grande Leste"/>
    <s v="SEM PLACA"/>
    <s v="SEM CHASSI"/>
    <x v="127"/>
    <s v="CASA DA LAVOURA LTDA - ME"/>
    <s v="15.652.966/0002-61"/>
    <d v="2024-12-26T00:00:00"/>
    <n v="1999"/>
    <m/>
    <m/>
  </r>
  <r>
    <s v="IS001297"/>
    <s v="IS001297"/>
    <m/>
    <n v="64369"/>
    <s v="Classe para Informatica e Comunicaçao Fz Santa Lucia"/>
    <s v="SEM PLACA"/>
    <s v="SEM CHASSI"/>
    <x v="905"/>
    <s v="STANDBYTE INFORMATICA EIRELI"/>
    <s v="04.127.630/0001-82"/>
    <d v="2024-12-26T00:00:00"/>
    <n v="3800"/>
    <s v="OK"/>
    <s v="SANTA LUCIA"/>
  </r>
  <r>
    <s v="IS001298"/>
    <s v="IS001298"/>
    <m/>
    <n v="2221"/>
    <s v="Classe para Equip. Diversos Fz Grande Leste"/>
    <s v="SEM PLACA"/>
    <s v="SEM CHASSI"/>
    <x v="906"/>
    <s v="DELTA AGRO COMERCIO E REPRESENTACOES LTDA"/>
    <s v="17.321.807/0001-29"/>
    <d v="2024-12-16T00:00:00"/>
    <n v="930000"/>
    <m/>
    <m/>
  </r>
  <r>
    <s v="IS001299"/>
    <s v="IS001299"/>
    <m/>
    <n v="27317"/>
    <s v="Classe para Informatica e Comunicaçao Fz Santa Lucia"/>
    <s v="SEM PLACA"/>
    <s v="SEM CHASSI"/>
    <x v="890"/>
    <s v="LUCIANO WIBRANTZ LTDA"/>
    <s v="26.037.394/0001-46"/>
    <d v="2024-12-05T00:00:00"/>
    <s v="R$ 4.467,00"/>
    <m/>
    <m/>
  </r>
  <r>
    <s v="IS001300"/>
    <s v="IS001300"/>
    <m/>
    <n v="64234"/>
    <s v="Classe para Informatica e Comunicaçao"/>
    <s v="SEM PLACA"/>
    <s v="SEM CHASSI"/>
    <x v="907"/>
    <s v="STANDBYTE INFORMATICA EIRELI"/>
    <s v="04.127.630/0001-82"/>
    <d v="2024-12-16T00:00:00"/>
    <n v="1479"/>
    <s v="OK"/>
    <s v="ESCRITORIO CENTRAL"/>
  </r>
  <r>
    <s v="IS001301"/>
    <s v="IS001301"/>
    <m/>
    <n v="64228"/>
    <s v="Classe para Informatica e Comunicaçao"/>
    <s v="SEM PLACA"/>
    <s v="SEM CHASSI"/>
    <x v="907"/>
    <s v="STANDBYTE INFORMATICA EIRELI"/>
    <s v="04.127.630/0001-82"/>
    <d v="2024-12-16T00:00:00"/>
    <n v="1479"/>
    <s v="OK"/>
    <s v="ESCRITORIO CENTRAL"/>
  </r>
  <r>
    <s v="IS001302"/>
    <s v="IS001302"/>
    <m/>
    <n v="45265"/>
    <s v="Classe para Equip. Diversos"/>
    <s v="SEM PLACA"/>
    <s v="SEM CHASSI"/>
    <x v="908"/>
    <s v="BC FERRAMENTARIA"/>
    <s v="31.539.004/0001-76"/>
    <d v="2024-12-02T00:00:00"/>
    <n v="2407.7800000000002"/>
    <m/>
    <m/>
  </r>
  <r>
    <s v="IS001303"/>
    <s v="IS001303"/>
    <m/>
    <n v="471"/>
    <s v="Classe para Equip. Diversos Ubs Fz Santa lucia"/>
    <s v="SEM PLACA"/>
    <s v="SEM CHASSI"/>
    <x v="909"/>
    <s v="EASYLAB EQUIPAMENTOS PARA LABORATORIOS LTDA"/>
    <s v="35.770.314/0001-58"/>
    <d v="2025-01-08T00:00:00"/>
    <n v="6545"/>
    <m/>
    <m/>
  </r>
  <r>
    <s v="IS001304"/>
    <s v="IS001304"/>
    <m/>
    <n v="35792"/>
    <s v="Classe para Moveis e Utensilios Fz Grande Leste"/>
    <s v="SEM PLACA"/>
    <s v="SEM CHASSI"/>
    <x v="910"/>
    <s v="Nosso Lar Lojas de Departamentos Ltda-Lj111"/>
    <s v="00.607.587/0029-00"/>
    <d v="2025-01-28T00:00:00"/>
    <n v="2649"/>
    <m/>
    <m/>
  </r>
  <r>
    <s v="IS001305"/>
    <s v="IS001305"/>
    <m/>
    <n v="27856"/>
    <s v="Classe para Veiculos Fz Grande Leste"/>
    <s v=" QAB6G79"/>
    <s v="9BSR6X400M3984386"/>
    <x v="911"/>
    <s v="MHM AGRO LTDA"/>
    <s v="07.080.431/0001-54"/>
    <d v="2025-08-25T00:00:00"/>
    <n v="600000"/>
    <m/>
    <m/>
  </r>
  <r>
    <s v="IS001306"/>
    <s v="IS001306"/>
    <m/>
    <n v="27857"/>
    <s v="Classe para Veiculos Fz Grande Leste"/>
    <s v="QAB6G80"/>
    <s v="9BSR6X400M398375"/>
    <x v="911"/>
    <s v="MHM AGRO LTDA"/>
    <s v="07.080.431/0001-54"/>
    <d v="2025-08-25T00:00:00"/>
    <n v="600000"/>
    <m/>
    <m/>
  </r>
  <r>
    <s v="IS001307"/>
    <s v="IS001307"/>
    <m/>
    <n v="1916"/>
    <s v="Classe para Informatica e Comunicaçao"/>
    <s v="SEM PLACA"/>
    <s v="SEM PLACA"/>
    <x v="895"/>
    <s v="MELLO E MELLO TECNOLOGIA LTDA."/>
    <s v="24.923.049/0001-84"/>
    <d v="2025-01-07T00:00:00"/>
    <n v="1898"/>
    <s v="OK"/>
    <m/>
  </r>
  <r>
    <s v="IS001308"/>
    <s v="IS001308"/>
    <m/>
    <n v="1916"/>
    <s v="Classe para Informatica e Comunicaçao"/>
    <s v="SEM PLACA"/>
    <s v="SEM CHASSI"/>
    <x v="895"/>
    <s v="MELLO E MELLO TECNOLOGIA LTDA."/>
    <s v="24.923.049/0001-84"/>
    <d v="2025-01-07T00:00:00"/>
    <n v="1898"/>
    <s v="OK"/>
    <m/>
  </r>
  <r>
    <s v="IS001309"/>
    <s v="IS001309"/>
    <m/>
    <n v="1916"/>
    <s v="Classe para Informatica e Comunicaçao"/>
    <s v="SEM PLACA"/>
    <s v="SEM CHASSI"/>
    <x v="895"/>
    <s v="MELLO E MELLO TECNOLOGIA LTDA."/>
    <s v="24.923.049/0001-84"/>
    <d v="2025-01-07T00:00:00"/>
    <n v="1898"/>
    <s v="OK"/>
    <m/>
  </r>
  <r>
    <s v="IS001310"/>
    <s v="IS001310"/>
    <m/>
    <n v="1916"/>
    <s v="Classe para Informatica e Comunicaçao"/>
    <s v="SEM PLACA"/>
    <s v="SEM CHASSI"/>
    <x v="912"/>
    <s v="MELLO E MELLO TECNOLOGIA LTDA."/>
    <s v="24.923.049/0001-84"/>
    <d v="2025-01-07T00:00:00"/>
    <n v="3786"/>
    <s v="OK"/>
    <m/>
  </r>
  <r>
    <s v="IS001311"/>
    <s v="IS001311"/>
    <m/>
    <n v="1916"/>
    <s v="Classe para Informatica e Comunicaçao"/>
    <s v="SEM PLACA"/>
    <s v="SEM CHASSI"/>
    <x v="895"/>
    <s v="MELLO E MELLO TECNOLOGIA LTDA."/>
    <s v="24.923.049/0001-84"/>
    <d v="2025-01-07T00:00:00"/>
    <n v="1898"/>
    <s v="OK"/>
    <m/>
  </r>
  <r>
    <s v="IS001312"/>
    <s v="IS001312"/>
    <m/>
    <n v="1916"/>
    <s v="Classe para Informatica e Comunicaçao"/>
    <s v="SEM PLACA"/>
    <s v="SEM CHASSI"/>
    <x v="895"/>
    <s v="MELLO E MELLO TECNOLOGIA LTDA."/>
    <s v="24.923.049/0001-84"/>
    <d v="2025-01-07T00:00:00"/>
    <n v="1898"/>
    <s v="OK"/>
    <m/>
  </r>
  <r>
    <s v="IS001313"/>
    <s v="IS001313"/>
    <m/>
    <n v="1916"/>
    <s v="Classe para Informatica e Comunicaçao"/>
    <s v="SEM PLACA"/>
    <s v="SEM CHASSI"/>
    <x v="895"/>
    <s v="MELLO E MELLO TECNOLOGIA LTDA."/>
    <s v="24.923.049/0001-84"/>
    <d v="2025-01-07T00:00:00"/>
    <n v="1898"/>
    <s v="OK"/>
    <m/>
  </r>
  <r>
    <s v="IS001314"/>
    <s v="IS001314"/>
    <m/>
    <n v="1916"/>
    <s v="Classe para Informatica e Comunicaçao"/>
    <s v="SEM PLACA"/>
    <s v="SEM CHASSI"/>
    <x v="912"/>
    <s v="MELLO E MELLO TECNOLOGIA LTDA."/>
    <s v="24.923.049/0001-84"/>
    <d v="2025-01-07T00:00:00"/>
    <n v="17072"/>
    <s v="OK"/>
    <m/>
  </r>
  <r>
    <s v="IS001315"/>
    <s v="IS001315"/>
    <m/>
    <n v="239196"/>
    <s v="Classe para equip. Diversos Fz Santo Expedito"/>
    <s v="SEM PLACA"/>
    <s v="SEM CHASSI"/>
    <x v="913"/>
    <s v="LEM COMERCIO DE EPIS LTDA"/>
    <s v="13.168.084/0001-19"/>
    <d v="2025-01-20T00:00:00"/>
    <n v="4777.5"/>
    <m/>
    <m/>
  </r>
  <r>
    <s v="IS001316"/>
    <s v="IS001316"/>
    <m/>
    <n v="4454"/>
    <s v="Classe para Equip. Oficina Fz Santa Lucia"/>
    <s v="SEM PLACA"/>
    <s v="SEM CHASSI"/>
    <x v="914"/>
    <s v="TRATORMASTER TRATORES PECAS E SERVICOS LTDA"/>
    <s v="02.745.179/0006-46"/>
    <d v="2025-04-10T00:00:00"/>
    <n v="14000"/>
    <s v="OK"/>
    <s v="GRANDE LESTE"/>
  </r>
  <r>
    <s v="IS001317"/>
    <s v="IS001317"/>
    <m/>
    <n v="1918"/>
    <s v="Classe para Informatica e Comunicaçao"/>
    <s v="SEM PLACA"/>
    <s v="SEM CHASSI"/>
    <x v="915"/>
    <s v="MELLO E MELLO TECNOLOGIA LTDA."/>
    <s v="24.923.049/0001-84"/>
    <d v="2025-01-07T00:00:00"/>
    <n v="9298"/>
    <m/>
    <m/>
  </r>
  <r>
    <s v="IS001318"/>
    <s v="IS001318"/>
    <m/>
    <n v="3336"/>
    <s v="Classe para Equip. Diversos Fz Santa Lucia"/>
    <s v="SEM PLACA"/>
    <s v="SEM CHASSI"/>
    <x v="916"/>
    <s v="JF Com. Parafusos Ferramentas Maquinas Ltda"/>
    <s v="42.215.694/0001-24"/>
    <d v="2025-01-29T00:00:00"/>
    <n v="2890"/>
    <m/>
    <m/>
  </r>
  <r>
    <s v="IS001319"/>
    <s v="IS001319"/>
    <m/>
    <n v="70536"/>
    <s v="Classe para Equip. Oficina Fz Santa Lucia"/>
    <s v="SEM PLACA"/>
    <s v="SEM CHASSI"/>
    <x v="881"/>
    <s v="PORTO BRASIL MOTORES E FERRAMENTAS LTDA"/>
    <s v="34.054.429/0002-64"/>
    <d v="2025-01-21T00:00:00"/>
    <n v="2070"/>
    <m/>
    <m/>
  </r>
  <r>
    <s v="IS001320"/>
    <s v="IS001320"/>
    <m/>
    <n v="1987"/>
    <s v="Classe para Informatica e Comunicaçao"/>
    <s v="SEM PLACA"/>
    <s v="SEM CHASSI"/>
    <x v="900"/>
    <s v="MELLO E MELLO TECNOLOGIA LTDA."/>
    <s v="24.923.049/0001-84"/>
    <d v="2025-01-22T00:00:00"/>
    <n v="1290"/>
    <s v="OK"/>
    <s v="ESCRITORIO CENTRAL"/>
  </r>
  <r>
    <s v="IS001321"/>
    <s v="IS001321"/>
    <m/>
    <n v="1984"/>
    <s v="Classe para Informatica e Comunicaçao"/>
    <s v="SEM PLACA"/>
    <s v="SEM CHASSI"/>
    <x v="818"/>
    <s v="MELLO E MELLO TECNOLOGIA LTDA"/>
    <s v="24.923.049/0001-84"/>
    <d v="2025-01-22T00:00:00"/>
    <n v="1494.24"/>
    <s v="OK"/>
    <s v="ESCRITORIO CENTRAL"/>
  </r>
  <r>
    <s v="IS001322"/>
    <s v="IS001322"/>
    <m/>
    <n v="27826"/>
    <s v="Classe para Equip. Diversos Fz Santa Lucia"/>
    <s v="SEM PLACA"/>
    <s v="SEM CHASSI"/>
    <x v="890"/>
    <s v="TECNOSUL COMPANY LTDA"/>
    <s v="26.037.394/0001-46"/>
    <d v="2025-01-10T00:00:00"/>
    <n v="3790"/>
    <m/>
    <m/>
  </r>
  <r>
    <s v="IS001323"/>
    <s v="IS001323"/>
    <m/>
    <n v="27826"/>
    <s v="Classe para Equip. Diversos Fz Santa Lucia"/>
    <s v="SEM PLACA"/>
    <s v="SEM CHASSI"/>
    <x v="890"/>
    <s v="TECNOSUL COMPANY LTDA"/>
    <s v="26.037.394/0001-46"/>
    <d v="2025-01-10T00:00:00"/>
    <n v="3790"/>
    <m/>
    <m/>
  </r>
  <r>
    <s v="IS001324"/>
    <s v="IS001324"/>
    <m/>
    <n v="27826"/>
    <s v="Classe para Equip. Diversos Fz Santa Lucia"/>
    <s v="SEM PLACA"/>
    <s v="SEM CHASSI"/>
    <x v="890"/>
    <s v="TECNOSUL COMPANY LTDA"/>
    <s v="26.037.394/0001-46"/>
    <d v="2025-01-10T00:00:00"/>
    <n v="3790"/>
    <m/>
    <m/>
  </r>
  <r>
    <s v="IS001325"/>
    <s v="IS001325"/>
    <m/>
    <n v="27826"/>
    <s v="Classe para Equip. Diversos Fz Santa Lucia"/>
    <s v="SEM PLACA"/>
    <s v="SEM CHASSI"/>
    <x v="890"/>
    <s v="TECNOSUL COMPANY LTDA"/>
    <s v="26.037.394/0001-46"/>
    <d v="2025-01-10T00:00:00"/>
    <n v="3790"/>
    <m/>
    <m/>
  </r>
  <r>
    <s v="IS001326"/>
    <s v="IS001326"/>
    <m/>
    <n v="27833"/>
    <s v="Classe para Equip. Diversos Fz Grande Leste"/>
    <s v="SEM PLACA"/>
    <s v="SEM CHASSI"/>
    <x v="890"/>
    <s v="TECNOSUL COMPANY LTDA"/>
    <s v="26.037.394/0001-46"/>
    <d v="2025-01-10T00:00:00"/>
    <n v="3790"/>
    <m/>
    <m/>
  </r>
  <r>
    <s v="IS001327"/>
    <s v="IS001327"/>
    <m/>
    <n v="27833"/>
    <s v="Classe para Equip. Diversos Fz Grande Leste"/>
    <s v="SEM PLACA"/>
    <s v="SEM CHASSI"/>
    <x v="890"/>
    <s v="TECNOSUL COMPANY LTDA"/>
    <s v="26.037.394/0001-46"/>
    <d v="2025-01-10T00:00:00"/>
    <n v="3790"/>
    <m/>
    <m/>
  </r>
  <r>
    <s v="IS001328"/>
    <s v="IS001328"/>
    <m/>
    <n v="27830"/>
    <s v="Classe para Equip. Diversos Fz Grande Leste"/>
    <s v="SEM PLACA"/>
    <s v="SEM CHASSI"/>
    <x v="890"/>
    <s v="TECNOSUL COMPANY LTDA"/>
    <s v="26.037.394/0001-46"/>
    <d v="2025-01-10T00:00:00"/>
    <n v="3790"/>
    <m/>
    <m/>
  </r>
  <r>
    <s v="IS001329"/>
    <s v="IS001329"/>
    <m/>
    <n v="27830"/>
    <s v="Classe para Equip. Diversos Fz Grande Leste"/>
    <s v="SEM PLACA"/>
    <s v="SEM CHASSI"/>
    <x v="890"/>
    <s v="TECNOSUL COMPANY LTDA"/>
    <s v="26.037.394/0001-46"/>
    <d v="2025-01-10T00:00:00"/>
    <n v="3790"/>
    <m/>
    <m/>
  </r>
  <r>
    <s v="IS001330"/>
    <s v="IS001330"/>
    <m/>
    <n v="27991"/>
    <s v="Classe para Equip. Diversos Fz Jatoba"/>
    <s v="SEM PLACA"/>
    <s v="SEM CHASSI"/>
    <x v="890"/>
    <s v="TECNOSUL COMPANY LTDA"/>
    <s v="26.037.394/0001-46"/>
    <d v="2025-01-20T00:00:00"/>
    <n v="3790"/>
    <s v="OK"/>
    <s v="JATOBA"/>
  </r>
  <r>
    <s v="IS001331"/>
    <s v="IS001331"/>
    <m/>
    <n v="4713"/>
    <s v="Classe para Equip. Diversos Fz Santa Lucia"/>
    <s v="SEM PLACA"/>
    <s v="SEM CHASSI"/>
    <x v="917"/>
    <s v="CASA DA LAVOURA LTDA - ME"/>
    <s v="15.652.966/0002-61"/>
    <d v="2025-01-27T00:00:00"/>
    <n v="2127.0500000000002"/>
    <s v="OK"/>
    <s v="SANTA LUCIA"/>
  </r>
  <r>
    <s v="IS001332"/>
    <s v="IS001332"/>
    <m/>
    <n v="4713"/>
    <s v="Classe para Equip. Diversos Fz Santa Lucia"/>
    <s v="SEM PLACA"/>
    <s v="SEM CHASSI"/>
    <x v="918"/>
    <s v="CASA DA LAVOURA LTDA - ME"/>
    <s v="15.652.966/0002-61"/>
    <d v="2025-01-27T00:00:00"/>
    <n v="1809"/>
    <s v="OK"/>
    <s v="SANTA LUCIA"/>
  </r>
  <r>
    <s v="IS001333"/>
    <s v="IS001333"/>
    <m/>
    <n v="164503"/>
    <s v="Classe para Maquinas Implementos  Agricola Fz St Expedito"/>
    <s v="SEM PLACA"/>
    <s v="HCCZFA10KRCJ80059"/>
    <x v="807"/>
    <s v="MAXUM MAQUINAS E EQUIPAMENTOS LTDA"/>
    <s v="02.227.267/0001-41"/>
    <d v="2024-12-23T00:00:00"/>
    <n v="310000"/>
    <s v="OK"/>
    <s v="SANTA LUCIA"/>
  </r>
  <r>
    <s v="IS001334"/>
    <s v="IS001334"/>
    <m/>
    <n v="164504"/>
    <s v="Classe para Maquinas Implementos  Agricola Fz St Expedito"/>
    <s v="SEM PLACA"/>
    <s v="HCCZFA10JRCJ79643"/>
    <x v="807"/>
    <s v="MAXUM MAQUINAS E EQUIPAMENTOS LTDA"/>
    <s v="02.227.267/0001-41"/>
    <d v="2024-12-23T00:00:00"/>
    <n v="310000"/>
    <s v="OK"/>
    <s v="SANTA LUCIA"/>
  </r>
  <r>
    <s v="IS001335"/>
    <s v="IS001335"/>
    <m/>
    <n v="1983"/>
    <s v="Classe para Informatica e Comunicaçao"/>
    <s v="SEM PLACA"/>
    <s v="SEM CHASSI"/>
    <x v="919"/>
    <s v="MELLO E MELLO TECNOLOGIA LTDA"/>
    <s v="24.923.049/0001-84"/>
    <d v="2025-01-22T00:00:00"/>
    <n v="5790"/>
    <s v="OK"/>
    <s v="ESCRITORIO CENTRAL"/>
  </r>
  <r>
    <s v="IS001336"/>
    <s v="IS001336"/>
    <m/>
    <n v="1983"/>
    <s v="Classe para Informatica e Comunicaçao"/>
    <s v="SEM PLACA"/>
    <s v="SEM CHASSI"/>
    <x v="919"/>
    <s v="MELLO E MELLO TECNOLOGIA LTDA"/>
    <s v="24.923.049/0001-84"/>
    <d v="2025-01-22T00:00:00"/>
    <n v="5790"/>
    <s v="OK"/>
    <s v="ESCRITORIO CENTRAL"/>
  </r>
  <r>
    <s v="IS001337"/>
    <s v="IS001337"/>
    <m/>
    <n v="1983"/>
    <s v="Classe para Informatica e Comunicaçao"/>
    <s v="SEM PLACA"/>
    <s v="SEM CHASSI"/>
    <x v="919"/>
    <s v="MELLO E MELLO TECNOLOGIA LTDA"/>
    <s v="24.923.049/0001-84"/>
    <d v="2025-01-22T00:00:00"/>
    <n v="5790"/>
    <s v="OK"/>
    <s v="ESCRITORIO CENTRAL"/>
  </r>
  <r>
    <s v="IS001338"/>
    <s v="IS001338"/>
    <m/>
    <n v="35791"/>
    <s v="Classe para Moveis e Utensilios Fz Santa Lucia"/>
    <s v="SEM PLACA"/>
    <s v="SEM CHASSI"/>
    <x v="520"/>
    <s v="Nosso Lar Lojas de Departamentos Ltda-Lj111"/>
    <s v="00.607.587/0029-00"/>
    <d v="2025-01-28T00:00:00"/>
    <n v="2949"/>
    <m/>
    <m/>
  </r>
  <r>
    <s v="IS001339"/>
    <s v="IS001339"/>
    <m/>
    <n v="3753"/>
    <s v="Classe para Equip. Diversos Fz Santa Lucia"/>
    <s v="SEM PLACA"/>
    <s v="SEM CHASSI"/>
    <x v="920"/>
    <s v="JF Com. Parafusos Ferramentas Maquinas Ltda"/>
    <s v="42.215.694/0001-24"/>
    <d v="2025-04-15T00:00:00"/>
    <n v="2700"/>
    <m/>
    <s v="SANTA LUCIA"/>
  </r>
  <r>
    <s v="IS001340"/>
    <s v="IS001340"/>
    <m/>
    <n v="28147"/>
    <s v="Classe para Equip. Diversos Fz Jatoba"/>
    <s v="SEM PLACA"/>
    <s v="SEM CHASSI"/>
    <x v="921"/>
    <s v="TECNOSUL COMPANY LTDA"/>
    <s v="26.037.394/0001-46"/>
    <d v="2025-01-27T00:00:00"/>
    <n v="3690"/>
    <m/>
    <m/>
  </r>
  <r>
    <s v="IS001341"/>
    <s v="IS001341"/>
    <m/>
    <n v="536"/>
    <s v="Classe para equip. Diversos Fz Santo Expedito"/>
    <s v="SEM PLACA"/>
    <s v="SEM CHASSI"/>
    <x v="922"/>
    <s v="AIRTON NOGUEIRA BOMBAS DE COMBUSTIVEIS - ME"/>
    <s v="09.051.356/0001-29"/>
    <d v="2025-03-07T00:00:00"/>
    <n v="10580"/>
    <m/>
    <m/>
  </r>
  <r>
    <s v="IS001342"/>
    <s v="IS001342"/>
    <m/>
    <n v="2026"/>
    <s v="Classe para Informatica e Comunicaçao Fz Santa Lucia"/>
    <s v="SEM PLACA"/>
    <s v="SEM CHASSI"/>
    <x v="48"/>
    <s v="MELLO E MELLO TECNOLOGIA LTDA."/>
    <s v="24.923.049/0001-84"/>
    <d v="2025-02-05T00:00:00"/>
    <n v="4620"/>
    <s v="OK"/>
    <s v="ESCRITORIO CENTRAL"/>
  </r>
  <r>
    <s v="IS001343"/>
    <s v="IS001343"/>
    <m/>
    <n v="3380"/>
    <s v="Classe para Equip. Oficina Fz Grande Leste"/>
    <s v="SEM PLACA"/>
    <s v="SEM CHASSI"/>
    <x v="923"/>
    <s v="JF Com. Parafusos Ferramentas Maquinas Ltda"/>
    <s v="42.215.694/0001-24"/>
    <d v="2025-02-06T00:00:00"/>
    <n v="3749"/>
    <m/>
    <m/>
  </r>
  <r>
    <s v="IS001344"/>
    <s v="IS001344"/>
    <m/>
    <n v="3380"/>
    <s v="Classe para Equip. Oficina Fz Grande Leste"/>
    <s v="SEM PLACA"/>
    <s v="SEM CHASSI"/>
    <x v="923"/>
    <s v="JF Com. Parafusos Ferramentas Maquinas Ltda"/>
    <s v="42.215.694/0001-24"/>
    <d v="2025-02-06T00:00:00"/>
    <n v="3749"/>
    <m/>
    <m/>
  </r>
  <r>
    <s v="IS001345"/>
    <s v="IS001345"/>
    <m/>
    <n v="951"/>
    <s v="Classe para Maquinas Implementos  Agricola Fz Jatoba"/>
    <s v="SEM PLACA"/>
    <s v="2025CSC2400JM294F"/>
    <x v="924"/>
    <s v="CSC INDUSTRIA DE MAQUINAS E EQUIPAMENTOS LTDA"/>
    <s v="03.637.657/0001-52"/>
    <d v="2025-01-17T00:00:00"/>
    <n v="1460000"/>
    <s v="OK"/>
    <s v="JATOBA"/>
  </r>
  <r>
    <s v="IS001346"/>
    <s v="IS001346"/>
    <m/>
    <n v="951"/>
    <s v="Classe para Maquinas Implementos  Agricola Fz Jatoba"/>
    <s v="SEM PLACA"/>
    <s v="2025CSC2400JM295F"/>
    <x v="924"/>
    <s v="CSC INDUSTRIA DE MAQUINAS E EQUIPAMENTOS LTDA"/>
    <s v="03.637.657/0001-52"/>
    <d v="2025-01-18T00:00:00"/>
    <n v="1460001"/>
    <s v="OK"/>
    <s v="JATOBA"/>
  </r>
  <r>
    <s v="IS001347"/>
    <s v="IS001347"/>
    <m/>
    <n v="1439"/>
    <s v="Classe para Informatica e Comunicaçao"/>
    <s v="SEM PLACA"/>
    <s v="SEM CHASSI"/>
    <x v="925"/>
    <s v="IDEAL VIP COMUNICACOES LTDA "/>
    <s v="08.182.334/0001-35"/>
    <d v="2025-02-10T00:00:00"/>
    <n v="1807.33"/>
    <s v="OK"/>
    <s v="ESCRITORIO CENTRAL"/>
  </r>
  <r>
    <s v="IS001348"/>
    <s v="IS001348"/>
    <m/>
    <n v="1439"/>
    <s v="Classe para Informatica e Comunicaçao"/>
    <s v="SEM PLACA"/>
    <s v="SEM CHASSI"/>
    <x v="925"/>
    <s v="IDEAL VIP COMUNICACOES LTDA "/>
    <s v="08.182.334/0001-36"/>
    <d v="2025-02-11T00:00:00"/>
    <n v="1807.33"/>
    <s v="OK"/>
    <s v="ESCRITORIO CENTRAL"/>
  </r>
  <r>
    <s v="IS001349"/>
    <s v="IS001349"/>
    <m/>
    <n v="1439"/>
    <s v="Classe para Informatica e Comunicaçao"/>
    <s v="SEM PLACA"/>
    <s v="SEM CHASSI"/>
    <x v="925"/>
    <s v="IDEAL VIP COMUNICACOES LTDA "/>
    <s v="08.182.334/0001-37"/>
    <d v="2025-02-12T00:00:00"/>
    <n v="1807.33"/>
    <s v="OK"/>
    <s v="ESCRITORIO CENTRAL"/>
  </r>
  <r>
    <s v="IS001350"/>
    <s v="IS001350"/>
    <m/>
    <n v="1439"/>
    <s v="Classe para Informatica e Comunicaçao"/>
    <s v="SEM PLACA"/>
    <s v="SEM CHASSI"/>
    <x v="925"/>
    <s v="IDEAL VIP COMUNICACOES LTDA "/>
    <s v="08.182.334/0001-38"/>
    <d v="2025-02-13T00:00:00"/>
    <n v="1807.33"/>
    <s v="OK"/>
    <s v="ESCRITORIO CENTRAL"/>
  </r>
  <r>
    <s v="IS001351"/>
    <s v="IS001351"/>
    <m/>
    <n v="1439"/>
    <s v="Classe para Informatica e Comunicaçao"/>
    <s v="SEM PLACA"/>
    <s v="SEM CHASSI"/>
    <x v="925"/>
    <s v="IDEAL VIP COMUNICACOES LTDA "/>
    <s v="08.182.334/0001-39"/>
    <d v="2025-02-14T00:00:00"/>
    <n v="1807.33"/>
    <s v="OK"/>
    <s v="ESCRITORIO CENTRAL"/>
  </r>
  <r>
    <s v="IS001352"/>
    <s v="IS001352"/>
    <m/>
    <n v="1439"/>
    <s v="Classe para Informatica e Comunicaçao"/>
    <s v="SEM PLACA"/>
    <s v="SEM CHASSI"/>
    <x v="925"/>
    <s v="IDEAL VIP COMUNICACOES LTDA "/>
    <s v="08.182.334/0001-40"/>
    <d v="2025-02-15T00:00:00"/>
    <n v="1807.33"/>
    <s v="OK"/>
    <s v="ESCRITORIO CENTRAL"/>
  </r>
  <r>
    <s v="IS001353"/>
    <s v="IS001353"/>
    <m/>
    <n v="6701"/>
    <s v="Classe para equip. Diversos Fz Santo Expedito"/>
    <s v="SEM PLACA"/>
    <s v="SEM CHASSI"/>
    <x v="926"/>
    <s v="YORGOS AMBIENTAL LTDA."/>
    <s v="08.726.888/0002-37"/>
    <d v="2025-03-17T00:00:00"/>
    <n v="3597.11"/>
    <m/>
    <s v="SANTO EXPEDITO"/>
  </r>
  <r>
    <s v="IS001354"/>
    <s v="IS001354"/>
    <m/>
    <n v="65489"/>
    <s v="Classe para Informatica e Comunicaçao Fz Grande Leste"/>
    <s v="SEM PLACA"/>
    <s v="SEM CHASSI"/>
    <x v="927"/>
    <s v="STANDBYTE INFORMATICA EIRELI"/>
    <s v="04.127.630/0001-82"/>
    <d v="2025-02-27T00:00:00"/>
    <n v="4480"/>
    <s v="OK"/>
    <s v="GRANDE LESTE"/>
  </r>
  <r>
    <s v="IS001355"/>
    <s v="IS001355"/>
    <m/>
    <n v="2110"/>
    <s v="Classe para Informatica e Comunicaçao"/>
    <s v="SEM PLACA"/>
    <s v="SEM CHASSI"/>
    <x v="818"/>
    <s v="MELLO E MELLO TECNOLOGIA LTDA."/>
    <s v="24.923.049/0001-84"/>
    <d v="2025-02-26T00:00:00"/>
    <n v="1619"/>
    <s v="OK"/>
    <s v="ESCRITORIO CENTRAL"/>
  </r>
  <r>
    <s v="IS001356"/>
    <s v="IS001356"/>
    <m/>
    <n v="72564"/>
    <s v="Classe para Equip. Diversos Fz Jatoba"/>
    <s v="SEM PLACA"/>
    <s v="SEM CHASSI"/>
    <x v="928"/>
    <s v="PORTO BRASIL MOTORES E FERRAMENTAS LTDA"/>
    <s v="34.054.429/0002-64"/>
    <d v="2025-04-09T00:00:00"/>
    <n v="2632.45"/>
    <s v="OK"/>
    <s v="JATOBA"/>
  </r>
  <r>
    <s v="IS001357"/>
    <s v="IS001357"/>
    <m/>
    <n v="319"/>
    <s v="Classe para Informatica e Comunicaçao"/>
    <s v="SEM PLACA"/>
    <s v="SEM CHASSI"/>
    <x v="929"/>
    <s v="E R COSTA LTDA"/>
    <s v="12.215.644/0001-86"/>
    <d v="2025-03-07T00:00:00"/>
    <n v="4700"/>
    <s v="OK"/>
    <s v="ESCRITORIO CENTRAL"/>
  </r>
  <r>
    <s v="IS001358"/>
    <s v="IS001358"/>
    <m/>
    <n v="2095"/>
    <s v="Classe para equip. Diversos Fz Santo Expedito"/>
    <s v="SEM PLACA"/>
    <s v="SEM CHASSI"/>
    <x v="930"/>
    <s v="JOSE CICERO MALAQUIAS ALECRIM"/>
    <s v="30.017.866/0001-76"/>
    <d v="2025-03-14T00:00:00"/>
    <n v="3676"/>
    <m/>
    <s v="SANTO EXPEDITO"/>
  </r>
  <r>
    <s v="IS001359"/>
    <s v="IS001359"/>
    <m/>
    <n v="2176"/>
    <s v="Classe para Equip. Diversos Fz Jatoba"/>
    <s v="SEM PLACA"/>
    <s v="SEM CHASSI"/>
    <x v="544"/>
    <s v="MELLO E MELLO TECNOLOGIA LTDA."/>
    <s v="24.923.049/0001-84"/>
    <d v="2025-03-18T00:00:00"/>
    <n v="1701.94"/>
    <s v="OK"/>
    <s v="JATOBA"/>
  </r>
  <r>
    <s v="IS001360"/>
    <s v="IS001360"/>
    <m/>
    <n v="270"/>
    <s v="Classe para Equip. Diversos Fz Grande Leste"/>
    <s v="SEM PLACA"/>
    <s v="SEM CHASSI"/>
    <x v="25"/>
    <s v="EBARA BOMBAS AMERICA DO SUL LTDA - LEM"/>
    <s v="46.138.319/0013-12"/>
    <d v="2025-03-20T00:00:00"/>
    <n v="187471.03"/>
    <m/>
    <s v="GRANDE LESTE"/>
  </r>
  <r>
    <s v="IS001361"/>
    <s v="IS001361"/>
    <m/>
    <n v="72381"/>
    <s v="Classe para Equip. Diversos Fz Grande Leste"/>
    <s v="SEM PLACA"/>
    <s v="SEM CHASSI"/>
    <x v="931"/>
    <s v="PORTO BRASIL MOTORES E FERRAMENTAS LTDA"/>
    <s v="34.054.429/0002-64"/>
    <d v="2025-04-02T00:00:00"/>
    <n v="2632.45"/>
    <m/>
    <s v="GRANDE LESTE"/>
  </r>
  <r>
    <s v="IS001362"/>
    <s v="IS001362"/>
    <m/>
    <m/>
    <s v="Classe para Equip. Diversos"/>
    <s v="SEM PLACA"/>
    <s v="IRRIGACAO"/>
    <x v="932"/>
    <m/>
    <m/>
    <m/>
    <n v="0"/>
    <s v="IMOVEL RURAL E INSTALAÇÕES "/>
    <s v="GRANDE LESTE"/>
  </r>
  <r>
    <s v="IS001363"/>
    <s v="IS001363"/>
    <m/>
    <m/>
    <s v="Classe para Equip. Diversos"/>
    <s v="SEM PLACA"/>
    <s v="IRRIGACAO"/>
    <x v="933"/>
    <m/>
    <m/>
    <m/>
    <n v="0"/>
    <s v="IMOVEL RURAL E INSTALAÇÕES "/>
    <s v="GRANDE LESTE"/>
  </r>
  <r>
    <s v="IS001364"/>
    <s v="IS001364"/>
    <m/>
    <m/>
    <s v="Classe para Equip. Diversos"/>
    <s v="SEM PLACA"/>
    <s v="IRRIGACAO"/>
    <x v="934"/>
    <m/>
    <m/>
    <m/>
    <n v="0"/>
    <s v="IMOVEL RURAL E INSTALAÇÕES "/>
    <s v="GRANDE LESTE"/>
  </r>
  <r>
    <s v="IS001365"/>
    <s v="IS001365"/>
    <m/>
    <m/>
    <s v="Classe para Equip. Diversos"/>
    <s v="SEM PLACA"/>
    <s v="IRRIGACAO"/>
    <x v="935"/>
    <m/>
    <m/>
    <m/>
    <n v="0"/>
    <s v="IMOVEL RURAL E INSTALAÇÕES "/>
    <s v="GRANDE LESTE"/>
  </r>
  <r>
    <s v="IS001366"/>
    <s v="IS001366"/>
    <m/>
    <m/>
    <s v="Classe para Equip. Diversos"/>
    <s v="SEM PLACA"/>
    <s v="IRRIGACAO"/>
    <x v="936"/>
    <m/>
    <m/>
    <m/>
    <n v="0"/>
    <s v="IMOVEL RURAL E INSTALAÇÕES "/>
    <s v="GRANDE LESTE"/>
  </r>
  <r>
    <s v="IS001367"/>
    <s v="IS001367"/>
    <m/>
    <m/>
    <s v="Classe para Equip. Diversos"/>
    <s v="SEM PLACA"/>
    <s v="IRRIGACAO"/>
    <x v="937"/>
    <m/>
    <m/>
    <m/>
    <n v="0"/>
    <s v="IMOVEL RURAL E INSTALAÇÕES "/>
    <s v="GRANDE LESTE"/>
  </r>
  <r>
    <s v="IS001368"/>
    <s v="IS001368"/>
    <m/>
    <m/>
    <s v="Classe para Equip. Diversos"/>
    <s v="SEM PLACA"/>
    <s v="IRRIGACAO"/>
    <x v="938"/>
    <m/>
    <m/>
    <m/>
    <n v="0"/>
    <s v="IMOVEL RURAL E INSTALAÇÕES "/>
    <s v="GRANDE LESTE"/>
  </r>
  <r>
    <s v="IS001369"/>
    <s v="IS001369"/>
    <m/>
    <m/>
    <s v="Classe para Equip. Diversos"/>
    <s v="SEM PLACA"/>
    <s v="IRRIGACAO"/>
    <x v="939"/>
    <m/>
    <m/>
    <m/>
    <n v="0"/>
    <s v="IMOVEL RURAL E INSTALAÇÕES "/>
    <s v="GRANDE LESTE"/>
  </r>
  <r>
    <s v="IS001370"/>
    <s v="IS001370"/>
    <m/>
    <m/>
    <s v="Classe para Equip. Diversos"/>
    <s v="SEM PLACA"/>
    <s v="IRRIGACAO"/>
    <x v="940"/>
    <m/>
    <m/>
    <m/>
    <n v="0"/>
    <s v="IMOVEL RURAL E INSTALAÇÕES "/>
    <s v="GRANDE LESTE"/>
  </r>
  <r>
    <s v="IS001371"/>
    <s v="IS001371"/>
    <m/>
    <m/>
    <s v="Classe para Equip. Diversos"/>
    <s v="SEM PLACA"/>
    <s v="IRRIGACAO"/>
    <x v="941"/>
    <m/>
    <m/>
    <m/>
    <n v="0"/>
    <s v="IMOVEL RURAL E INSTALAÇÕES "/>
    <s v="GRANDE LESTE"/>
  </r>
  <r>
    <s v="IS001372"/>
    <s v="IS001372"/>
    <m/>
    <n v="454"/>
    <s v="Classe para Equip. Diversos Fz Grande Leste"/>
    <s v="SEM PLACA"/>
    <s v="SEM CHASSI"/>
    <x v="942"/>
    <s v="METALURGICA LORENZI LTDA"/>
    <s v="38.375.387/0001-33"/>
    <d v="2025-07-23T00:00:00"/>
    <n v="93880"/>
    <m/>
    <s v="GRANDE LESTE"/>
  </r>
  <r>
    <s v="IS001373"/>
    <s v="IS001373"/>
    <m/>
    <n v="258971"/>
    <s v="Classe para Veiculos"/>
    <s v="TGR0F51"/>
    <s v="8AJDA3CDXS1847277"/>
    <x v="943"/>
    <s v="Toyota do Brasil Ltda"/>
    <s v="59.104.760/0005-15"/>
    <d v="2025-03-17T00:00:00"/>
    <n v="231559.81"/>
    <m/>
    <s v="ESCRITORIO CENTRAL"/>
  </r>
  <r>
    <s v="IS001374"/>
    <s v="IS001374"/>
    <m/>
    <m/>
    <s v="Classe para Equip. Diversos"/>
    <s v="SEM PLACA"/>
    <s v="IMOVEL RURAL INSTALACOES"/>
    <x v="944"/>
    <m/>
    <m/>
    <m/>
    <n v="640691"/>
    <m/>
    <s v="GRANDE LESTE"/>
  </r>
  <r>
    <s v="IS001375"/>
    <s v="IS001375"/>
    <m/>
    <m/>
    <s v="Classe para Equip. Diversos"/>
    <s v="SEM PLACA"/>
    <s v="IMOVEL RURAL INSTALACOES"/>
    <x v="945"/>
    <m/>
    <m/>
    <m/>
    <n v="0"/>
    <s v="IMOVEL RURAL E INSTALAÇÕES "/>
    <s v="GRANDE LESTE"/>
  </r>
  <r>
    <s v="IS001376"/>
    <s v="IS001376"/>
    <m/>
    <n v="690"/>
    <s v="Classe para Moveis e Utensilios Fz Grande Leste"/>
    <s v="SEM PLACA"/>
    <s v="SEM CHASSI"/>
    <x v="745"/>
    <s v="DJG GROUP TECNOLOGIA LTDA"/>
    <s v="58.193.477/0001-10"/>
    <d v="2025-05-22T00:00:00"/>
    <n v="2775"/>
    <m/>
    <s v="GRANDE LESTE"/>
  </r>
  <r>
    <s v="IS001377"/>
    <s v="IS001377"/>
    <m/>
    <n v="690"/>
    <s v="Classe para Moveis e Utensilios Fz Grande Leste"/>
    <s v="SEM PLACA"/>
    <s v="SEM CHASSI"/>
    <x v="745"/>
    <s v="DJG GROUP TECNOLOGIA LTDA"/>
    <s v="58.193.477/0001-10"/>
    <d v="2025-05-22T00:00:00"/>
    <n v="2775"/>
    <s v="OK"/>
    <s v="GRANDE LESTE"/>
  </r>
  <r>
    <s v="IS001378"/>
    <s v="IS001378"/>
    <m/>
    <n v="690"/>
    <s v="Classe para Moveis e Utensilios Fz Grande Leste"/>
    <s v="SEM PLACA"/>
    <s v="SEM CHASSI"/>
    <x v="745"/>
    <s v="DJG GROUP TECNOLOGIA LTDA"/>
    <s v="58.193.477/0001-10"/>
    <d v="2025-05-22T00:00:00"/>
    <n v="2775"/>
    <m/>
    <s v="GRANDE LESTE"/>
  </r>
  <r>
    <s v="IS001379"/>
    <s v="IS001379"/>
    <m/>
    <n v="690"/>
    <s v="Classe para Moveis e Utensilios Fz Grande Leste"/>
    <s v="SEM PLACA"/>
    <s v="SEM CHASSI"/>
    <x v="745"/>
    <s v="DJG GROUP TECNOLOGIA LTDA"/>
    <s v="58.193.477/0001-10"/>
    <d v="2025-05-22T00:00:00"/>
    <n v="2775"/>
    <m/>
    <s v="GRANDE LESTE"/>
  </r>
  <r>
    <s v="IS001380"/>
    <s v="IS001380"/>
    <m/>
    <n v="690"/>
    <s v="Classe para Moveis e Utensilios Fz Grande Leste"/>
    <s v="SEM PLACA"/>
    <s v="SEM CHASSI"/>
    <x v="745"/>
    <s v="DJG GROUP TECNOLOGIA LTDA"/>
    <s v="58.193.477/0001-10"/>
    <d v="2025-05-22T00:00:00"/>
    <n v="2775"/>
    <m/>
    <s v="GRANDE LESTE"/>
  </r>
  <r>
    <s v="IS001381"/>
    <s v="IS001381"/>
    <m/>
    <n v="690"/>
    <s v="Classe para Moveis e Utensilios Fz Grande Leste"/>
    <s v="SEM PLACA"/>
    <s v="SEM CHASSI"/>
    <x v="745"/>
    <s v="DJG GROUP TECNOLOGIA LTDA"/>
    <s v="58.193.477/0001-10"/>
    <d v="2025-05-22T00:00:00"/>
    <n v="2775"/>
    <m/>
    <s v="GRANDE LESTE"/>
  </r>
  <r>
    <s v="IS001382"/>
    <s v="IS001382"/>
    <m/>
    <n v="690"/>
    <s v="Classe para Moveis e Utensilios Fz Grande Leste"/>
    <s v="SEM PLACA"/>
    <s v="SEM CHASSI"/>
    <x v="745"/>
    <s v="DJG GROUP TECNOLOGIA LTDA"/>
    <s v="58.193.477/0001-10"/>
    <d v="2025-05-22T00:00:00"/>
    <n v="2775"/>
    <m/>
    <s v="GRANDE LESTE"/>
  </r>
  <r>
    <s v="IS001383"/>
    <s v="IS001383"/>
    <m/>
    <n v="690"/>
    <s v="Classe para Moveis e Utensilios Fz Grande Leste"/>
    <s v="SEM PLACA"/>
    <s v="SEM CHASSI"/>
    <x v="745"/>
    <s v="DJG GROUP TECNOLOGIA LTDA"/>
    <s v="58.193.477/0001-10"/>
    <d v="2025-05-22T00:00:00"/>
    <n v="2775"/>
    <m/>
    <s v="GRANDE LESTE"/>
  </r>
  <r>
    <s v="IS001384"/>
    <s v="IS001384"/>
    <m/>
    <m/>
    <s v="Classe para Equip. Diversos Fz Santa Lucia"/>
    <s v="SEM PLACA"/>
    <s v="SEM CHASSI"/>
    <x v="946"/>
    <m/>
    <m/>
    <m/>
    <n v="645414.29"/>
    <m/>
    <s v="SANTA LUCIA"/>
  </r>
  <r>
    <s v="IS001385"/>
    <s v="IS001385"/>
    <m/>
    <m/>
    <s v="Classe para Equip. Diversos Fz Santa Lucia"/>
    <s v="SEM PLACA"/>
    <s v="SEM CHASSI"/>
    <x v="947"/>
    <m/>
    <m/>
    <m/>
    <n v="783941.85"/>
    <m/>
    <s v="SANTA LUCIA"/>
  </r>
  <r>
    <s v="IS001386"/>
    <s v="IS001386"/>
    <m/>
    <s v="IMOVEIS"/>
    <s v="Classe para Imoveis Santa Lucia"/>
    <s v="SEM PLACA"/>
    <s v="SEM CHASSI"/>
    <x v="948"/>
    <m/>
    <m/>
    <m/>
    <n v="106602"/>
    <s v="IMOVEL RURAL E INSTALAÇÕES "/>
    <s v="SANTA LUCIA"/>
  </r>
  <r>
    <s v="IS001387"/>
    <s v="IS001387"/>
    <m/>
    <s v="IMOVEIS"/>
    <s v="Classe para Imoveis Santa Lucia"/>
    <s v="SEM PLACA"/>
    <s v="SEM CHASSI"/>
    <x v="949"/>
    <m/>
    <m/>
    <m/>
    <n v="1634957"/>
    <s v="IMOVEL RURAL E INSTALAÇÕES "/>
    <s v="SANTA LUCIA"/>
  </r>
  <r>
    <s v="IS001388"/>
    <s v="IS001388"/>
    <m/>
    <n v="30111"/>
    <s v="Classe para Informatica e Comunicaçao Fz Grande Leste"/>
    <s v="SEM PLACA"/>
    <s v="SEM CHASSI"/>
    <x v="201"/>
    <s v="TECNOSUL COMPANY LTDA"/>
    <s v="26.037.394/0001-46"/>
    <d v="2025-05-05T00:00:00"/>
    <n v="1999"/>
    <m/>
    <s v="GRANDE LESTE"/>
  </r>
  <r>
    <s v="IS001389"/>
    <s v="IS001389"/>
    <m/>
    <n v="258"/>
    <s v="Classe para Equip. Oficina Fz Santa Lucia"/>
    <s v="SEM PLACA"/>
    <s v="SEM CHASSI"/>
    <x v="950"/>
    <s v="USINE MAQUINAS E FERRAMENTAS LTDA"/>
    <s v="16.318.065/0001-10"/>
    <d v="2025-06-27T00:00:00"/>
    <n v="35000"/>
    <m/>
    <s v="SANTA LUCIA"/>
  </r>
  <r>
    <s v="IS001390"/>
    <s v="IS001390"/>
    <m/>
    <s v="IMOVEIS"/>
    <s v="Classe para Imoveis Santa Lucia"/>
    <s v="SEM PLACA"/>
    <s v="SEM CHASSI"/>
    <x v="951"/>
    <m/>
    <m/>
    <d v="2024-09-30T00:00:00"/>
    <n v="60076"/>
    <s v="IMOVEL RURAL E INSTALAÇÕES "/>
    <s v="SANTA LUCIA"/>
  </r>
  <r>
    <s v="IS001391"/>
    <s v="IS001391"/>
    <m/>
    <n v="30209"/>
    <s v="Classe para Equip. Diversos Fz Santa Lucia"/>
    <s v="SEM PLACA"/>
    <s v="SEM CHASSI"/>
    <x v="201"/>
    <s v="TECNOSUL COMPANY LTDA"/>
    <s v="26.037.394/0001-46"/>
    <d v="2025-05-08T00:00:00"/>
    <n v="1899"/>
    <m/>
    <s v="SANTA LUCIA"/>
  </r>
  <r>
    <s v="IS001392"/>
    <s v="IS001392"/>
    <m/>
    <n v="16880"/>
    <s v="Classe para Equip. Oficina Fz Santa Lucia"/>
    <s v="SEM PLACA"/>
    <s v="SEM CHASSI"/>
    <x v="952"/>
    <s v="MHP IND. COM. E ASSIST. DE MAQUINAS LTDA"/>
    <s v="02.660.778/0001-52"/>
    <d v="2025-07-22T00:00:00"/>
    <n v="11455.08"/>
    <m/>
    <s v="SANTA LUCIA"/>
  </r>
  <r>
    <s v="IS001393"/>
    <s v="IS001393"/>
    <m/>
    <n v="16880"/>
    <s v="Classe para Equip. Oficina Fz Santa Lucia"/>
    <s v="SEM PLACA"/>
    <s v="SEM CHASSI"/>
    <x v="953"/>
    <s v="MHP IND. COM. E ASSIST. DE MAQUINAS LTDA"/>
    <s v="02.660.778/0001-52"/>
    <d v="2025-07-22T00:00:00"/>
    <n v="9252.18"/>
    <m/>
    <s v="SANTA LUCIA"/>
  </r>
  <r>
    <s v="IS001394"/>
    <s v="IS001394"/>
    <m/>
    <n v="16880"/>
    <s v="Classe para Equip. Oficina Fz Santa Lucia"/>
    <s v="SEM PLACA"/>
    <s v="SEM CHASSI"/>
    <x v="954"/>
    <s v="MHP IND. COM. E ASSIST. DE MAQUINAS LTDA"/>
    <s v="02.660.778/0001-52"/>
    <d v="2025-07-22T00:00:00"/>
    <n v="7122.71"/>
    <m/>
    <s v="SANTA LUCIA"/>
  </r>
  <r>
    <s v="IS001395"/>
    <s v="IS001395"/>
    <m/>
    <n v="16880"/>
    <s v="Classe para Equip. Oficina Fz Santa Lucia"/>
    <s v="SEM PLACA"/>
    <s v="SEM CHASSI"/>
    <x v="955"/>
    <s v="MHP IND. COM. E ASSIST. DE MAQUINAS LTDA"/>
    <s v="02.660.778/0001-52"/>
    <d v="2025-07-22T00:00:00"/>
    <n v="34585.53"/>
    <m/>
    <s v="SANTA LUCIA"/>
  </r>
  <r>
    <s v="IS001396"/>
    <s v="IS001396"/>
    <m/>
    <n v="5214"/>
    <s v="Classe para Maquinas Implementos Agricola Fz Grande Leste"/>
    <s v="SEM PLACA"/>
    <s v="CFFL250359"/>
    <x v="956"/>
    <s v="MORI INDUSTRIA E COMERCIO DE IMPLEMENTOS AGRICOLAS LTDA"/>
    <s v="04.799.096/0001-50"/>
    <d v="2025-03-26T00:00:00"/>
    <n v="250000"/>
    <s v="OK"/>
    <s v="GRANDE LESTE"/>
  </r>
  <r>
    <s v="IS001397"/>
    <s v="IS001397"/>
    <m/>
    <n v="5304"/>
    <s v="Classe para Maquinas Implementos Agricola Fz Grande Leste"/>
    <s v="SEM PLACA"/>
    <s v="VT25250034"/>
    <x v="501"/>
    <s v="MORI INDUSTRIA E COMERCIO DE IMPLEMENTOS AGRICOLAS LTDA"/>
    <s v="04.799.096/0001-50"/>
    <d v="2025-05-15T00:00:00"/>
    <n v="265000"/>
    <s v="OK"/>
    <s v="GRANDE LESTE"/>
  </r>
  <r>
    <s v="IS001398"/>
    <s v="IS001398"/>
    <m/>
    <n v="5214"/>
    <s v="Classe para Maquinas Implementos Agricola Fz Grande Leste"/>
    <s v="SEM PLACA"/>
    <s v="CFFL250358"/>
    <x v="957"/>
    <s v="MORI INDUSTRIA E COMERCIO DE IMPLEMENTOS AGRICOLAS LTDA"/>
    <s v="04.799.096/0001-50"/>
    <d v="2025-03-26T00:00:00"/>
    <n v="365000"/>
    <s v="OK"/>
    <s v="GRANDE LESTE"/>
  </r>
  <r>
    <s v="IS001399"/>
    <s v="IS001399"/>
    <m/>
    <n v="5304"/>
    <s v="Classe para Maquinas Implementos Agricola Fz Grande Leste"/>
    <s v="SEM PLACA"/>
    <s v="VT25250034"/>
    <x v="805"/>
    <s v="MORI INDUSTRIA E COMERCIO DE IMPLEMENTOS AGRICOLAS LTDA"/>
    <s v="04.799.096/0001-50"/>
    <d v="2025-05-15T00:00:00"/>
    <m/>
    <m/>
    <s v="GRANDE LESTE"/>
  </r>
  <r>
    <s v="IS001400"/>
    <s v="IS001400"/>
    <m/>
    <n v="30411"/>
    <s v="Classe para Informatica e Comunicaçao Fz Santa Lucia"/>
    <s v="SEM PLACA"/>
    <s v="SEM CHASSI"/>
    <x v="851"/>
    <s v="TECNOSUL COMPANY LTDA"/>
    <s v="26.037.394/0001-46"/>
    <d v="2025-05-20T00:00:00"/>
    <n v="3799"/>
    <m/>
    <s v="SANTA LUCIA"/>
  </r>
  <r>
    <s v="IS001401"/>
    <s v="IS001401"/>
    <m/>
    <n v="30411"/>
    <s v="Classe para Informatica e Comunicaçao Fz Santa Lucia"/>
    <s v="SEM PLACA"/>
    <s v="SEM CHASSI"/>
    <x v="851"/>
    <s v="TECNOSUL COMPANY LTDA"/>
    <s v="26.037.394/0001-46"/>
    <d v="2025-05-21T00:00:00"/>
    <n v="3799"/>
    <m/>
    <s v="SANTA LUCIA"/>
  </r>
  <r>
    <s v="IS001402"/>
    <s v="IS001402"/>
    <m/>
    <n v="30373"/>
    <s v="Classe para Informatica e Comunicaçao "/>
    <s v="SEM PLACA"/>
    <s v="SEM CHASSI"/>
    <x v="958"/>
    <s v="TECNOSUL COMPANY LTDA"/>
    <s v="26.037.394/0001-46"/>
    <d v="2025-05-16T00:00:00"/>
    <n v="1090"/>
    <m/>
    <s v="ESCRITORIO CENTRAL"/>
  </r>
  <r>
    <s v="IS001403"/>
    <s v="IS001403"/>
    <m/>
    <n v="73977"/>
    <s v="Classe para Equip. Diversos Fz Santa Lucia"/>
    <s v="SEM PLACA"/>
    <s v="SEM CHASSI"/>
    <x v="913"/>
    <s v="PORTO BRASIL MOTORES E FERRAMENTAS LTDA"/>
    <s v="34.054.429/0002-64"/>
    <d v="2025-06-04T00:00:00"/>
    <n v="4700"/>
    <s v="OK"/>
    <s v="SANTA LUCIA"/>
  </r>
  <r>
    <s v="IS001404"/>
    <s v="IS001404"/>
    <m/>
    <n v="24806"/>
    <s v="Classe para Equip. Oficina Fz Santa Lucia"/>
    <s v="SEM PLACA"/>
    <s v="SEM CHASSI"/>
    <x v="959"/>
    <s v="BASE MSG LTDA"/>
    <s v="24.272.128/0001-72"/>
    <d v="2025-06-11T00:00:00"/>
    <n v="1257.45"/>
    <s v="OK"/>
    <s v="SANTA LUCIA"/>
  </r>
  <r>
    <s v="IS001405"/>
    <s v="IS001405"/>
    <m/>
    <n v="153"/>
    <s v="Classe para Equip. Oficina Fz Jatoba"/>
    <s v="SEM PLACA"/>
    <s v="SEM CHASSI"/>
    <x v="127"/>
    <s v="BRASMAQUINAS COMERCIO DE MAQUINAS AGRICOLAS E IRRIGACAO LTDA"/>
    <s v="00.145.531/0004-15"/>
    <d v="2025-06-04T00:00:00"/>
    <n v="1799.1"/>
    <m/>
    <s v="JATOBA"/>
  </r>
  <r>
    <s v="IS001406"/>
    <s v="IS001406"/>
    <m/>
    <n v="153"/>
    <s v="Classe para Equip. Oficina Fz Jatoba"/>
    <s v="SEM PLACA"/>
    <s v="SEM CHASSI"/>
    <x v="127"/>
    <s v="BRASMAQUINAS COMERCIO DE MAQUINAS AGRICOLAS E IRRIGACAO LTDA"/>
    <s v="00.145.531/0004-15"/>
    <d v="2025-06-04T00:00:00"/>
    <n v="1799.1"/>
    <s v="OK"/>
    <s v="JATOBA"/>
  </r>
  <r>
    <s v="IS001407"/>
    <s v="IS001407"/>
    <m/>
    <n v="153"/>
    <s v="Classe para Equip. Oficina Fz Jatoba"/>
    <s v="SEM PLACA"/>
    <s v="SEM CHASSI"/>
    <x v="127"/>
    <s v="BRASMAQUINAS COMERCIO DE MAQUINAS AGRICOLAS E IRRIGACAO LTDA"/>
    <s v="00.145.531/0004-15"/>
    <d v="2025-06-04T00:00:00"/>
    <n v="1799.1"/>
    <m/>
    <s v="JATOBA"/>
  </r>
  <r>
    <s v="IS001408"/>
    <s v="IS001408"/>
    <m/>
    <n v="153"/>
    <s v="Classe para Equip. Oficina Fz Jatoba"/>
    <s v="SEM PLACA"/>
    <s v="SEM CHASSI"/>
    <x v="127"/>
    <s v="BRASMAQUINAS COMERCIO DE MAQUINAS AGRICOLAS E IRRIGACAO LTDA"/>
    <s v="00.145.531/0004-15"/>
    <d v="2025-06-04T00:00:00"/>
    <n v="1799.1"/>
    <m/>
    <s v="JATOBA"/>
  </r>
  <r>
    <s v="IS001409"/>
    <s v="IS001409"/>
    <m/>
    <n v="30745"/>
    <s v="Classe para Informatica e Comunicaçao Fz Grande Leste"/>
    <s v="SEM PLACA"/>
    <s v="SEM CHASSI"/>
    <x v="201"/>
    <s v="TECNOSUL COMPANY LTDA"/>
    <s v="26.037.394/0001-46"/>
    <d v="2025-06-06T00:00:00"/>
    <n v="1999"/>
    <m/>
    <s v="GRANDE LESTE"/>
  </r>
  <r>
    <s v="IS001410"/>
    <s v="IS001410"/>
    <m/>
    <n v="30745"/>
    <s v="Classe para Informatica e Comunicaçao Fz Grande Leste"/>
    <s v="SEM PLACA"/>
    <s v="SEM CHASSI"/>
    <x v="201"/>
    <s v="TECNOSUL COMPANY LTDA"/>
    <s v="26.037.394/0001-46"/>
    <d v="2025-06-06T00:00:00"/>
    <n v="1999"/>
    <m/>
    <s v="GRANDE LESTE"/>
  </r>
  <r>
    <s v="IS001411"/>
    <s v="IS001411"/>
    <m/>
    <n v="27856"/>
    <s v="Classe para Veiculos Fz Santa Lucia"/>
    <s v="QAB7J53"/>
    <s v="9A9RB2DYLM1FJ9148"/>
    <x v="960"/>
    <s v="MHM AGRO LTDA"/>
    <s v="07.080.431/0001-54"/>
    <d v="2025-08-25T00:00:00"/>
    <n v="80000"/>
    <s v="OK"/>
    <s v="SANTA LUCIA"/>
  </r>
  <r>
    <s v="IS001412"/>
    <s v="IS001412"/>
    <m/>
    <n v="27856"/>
    <s v="Classe para Veiculos Fz Santa Lucia"/>
    <s v="QAB7J52"/>
    <s v="9A9BS252LM1FJ9147"/>
    <x v="961"/>
    <s v="MHM AGRO LTDA"/>
    <s v="07.080.431/0001-54"/>
    <d v="2025-08-25T00:00:00"/>
    <n v="85000"/>
    <s v="OK"/>
    <s v="SANTA LUCIA"/>
  </r>
  <r>
    <s v="IS001413"/>
    <s v="IS001413"/>
    <m/>
    <n v="27856"/>
    <s v="Classe para Veiculos Fz Santa Lucia"/>
    <s v="QAB7J51"/>
    <s v="9A9BS252LM1FJ9149"/>
    <x v="961"/>
    <s v="MHM AGRO LTDA"/>
    <s v="07.080.431/0001-54"/>
    <d v="2025-08-25T00:00:00"/>
    <n v="85000"/>
    <m/>
    <s v="SANTA LUCIA"/>
  </r>
  <r>
    <s v="IS001414"/>
    <s v="IS001414"/>
    <m/>
    <n v="27857"/>
    <s v="Classe para Veiculos Fz Santa Lucia"/>
    <s v="QAB7G60"/>
    <s v="9A9BS252LM1FJ9146"/>
    <x v="961"/>
    <s v="MHM AGRO LTDA"/>
    <s v="07.080.431/0001-54"/>
    <d v="2025-08-25T00:00:00"/>
    <n v="85000"/>
    <s v="OK"/>
    <s v="SANTA LUCIA"/>
  </r>
  <r>
    <s v="IS001415"/>
    <s v="IS001415"/>
    <m/>
    <n v="27857"/>
    <s v="Classe para Veiculos Fz Santa Lucia"/>
    <s v="QAB7G65"/>
    <s v="9A9BS252LM1FJ9144"/>
    <x v="962"/>
    <s v="MHM AGRO LTDA"/>
    <s v="07.080.431/0001-54"/>
    <d v="2025-08-25T00:00:00"/>
    <n v="85000"/>
    <s v="OK"/>
    <s v="SANTA LUCIA"/>
  </r>
  <r>
    <s v="IS001416"/>
    <s v="IS001416"/>
    <m/>
    <n v="27857"/>
    <s v="Classe para Veiculos Fz Santa Lucia"/>
    <s v="QAB7G64"/>
    <s v="9A9RB2DYLM1FJ9145"/>
    <x v="960"/>
    <s v="MHM AGRO LTDA"/>
    <s v="07.080.431/0001-54"/>
    <d v="2025-08-25T00:00:00"/>
    <n v="80000"/>
    <s v="OK"/>
    <s v="SANTA LUCIA"/>
  </r>
  <r>
    <s v="IS001417"/>
    <s v="IS001417"/>
    <m/>
    <n v="10833"/>
    <s v="Classe para equip. Diversos Fz Jatoba"/>
    <s v="SEM PLACA"/>
    <s v="SEM CHASSI"/>
    <x v="963"/>
    <s v="MAQPECAS AGRICOLA LTDA - ME"/>
    <s v="27.179.279/0001-79"/>
    <d v="2025-06-09T00:00:00"/>
    <n v="7661.92"/>
    <m/>
    <s v="JATOBA"/>
  </r>
  <r>
    <s v="IS001418"/>
    <s v="IS001418"/>
    <m/>
    <n v="5305"/>
    <s v="Classe para Maquinas Implementos  Agricola Fz Jatoba"/>
    <s v="SEM PLACA"/>
    <s v="VT25250035"/>
    <x v="501"/>
    <s v="Mori Ind. e Com. de Implementos Agricolas Ltda"/>
    <s v="04.799.096/0001-50"/>
    <d v="2025-05-15T00:00:00"/>
    <n v="265000"/>
    <s v="OK"/>
    <s v="GRANDE LESTE"/>
  </r>
  <r>
    <s v="IS001419"/>
    <s v="IS001419"/>
    <m/>
    <n v="174"/>
    <s v="Classe para Equip. Oficina Santa Lucia"/>
    <s v="SEM PLACA"/>
    <s v="SEM CHASSI"/>
    <x v="492"/>
    <s v="BRASMAQUINAS COMERCIO DE MAQUINAS AGRICOLAS E IRRIGACAO LTDA"/>
    <s v="00.145.531/0004-15"/>
    <d v="2025-06-13T00:00:00"/>
    <n v="1512.15"/>
    <m/>
    <m/>
  </r>
  <r>
    <s v="IS001420"/>
    <s v="IS001420"/>
    <s v="2925 1024 9230 4900 0184 5500 1000 0029 3519 4913 2834"/>
    <n v="2935"/>
    <s v="Classe para Informatica e Comunicaçao Fz St Expedito"/>
    <s v="SEM PLACA"/>
    <s v="SEM CHASSI"/>
    <x v="185"/>
    <s v="MELLO E MELLO TECNOLOGIA LTDA."/>
    <s v="24.923.049/0001-84"/>
    <d v="2025-10-02T00:00:00"/>
    <n v="2390"/>
    <m/>
    <s v="SANTO EXPEDITO"/>
  </r>
  <r>
    <s v="IS001421"/>
    <s v="IS001421"/>
    <m/>
    <n v="474"/>
    <s v="Classe para equip. Diversos Fz Santa lucia"/>
    <s v="SEM PLACA"/>
    <s v="SEM CHASSI"/>
    <x v="964"/>
    <s v="MARCELO LUIZ CAETANO ALVIM ME"/>
    <s v="40.803.185/0001-97"/>
    <d v="2025-06-19T00:00:00"/>
    <n v="19900"/>
    <m/>
    <m/>
  </r>
  <r>
    <s v="IS001422"/>
    <s v="IS001422"/>
    <m/>
    <n v="41917"/>
    <s v="Classe para Moveis e Utensilios Fz Santa Lucia"/>
    <s v="SEM PLACA"/>
    <s v="SEM CHASSI"/>
    <x v="965"/>
    <s v="Nosso Lar Lojas de Departamentos Ltda-Lj111"/>
    <s v="00.607.587/0029-00"/>
    <d v="2025-07-01T00:00:00"/>
    <n v="2199"/>
    <m/>
    <s v="SANTA LUCIA"/>
  </r>
  <r>
    <s v="IS001423"/>
    <s v="IS001423"/>
    <m/>
    <n v="6851"/>
    <s v="Classe para equip. Diversos Fz Grande Leste"/>
    <s v="SEM PLACA"/>
    <s v="SEM CHASSI"/>
    <x v="966"/>
    <s v="YORGOS AMBIENTAL LTDA."/>
    <s v="08.726.888/0002-37"/>
    <d v="2025-06-13T00:00:00"/>
    <n v="5925.45"/>
    <m/>
    <s v="GRANDE LESTE"/>
  </r>
  <r>
    <s v="IS001424"/>
    <s v="IS001424"/>
    <m/>
    <n v="31372"/>
    <s v="Classe para Informatica e Comunicaçao"/>
    <s v="SEM PLACA"/>
    <s v="SEM CHASSI"/>
    <x v="958"/>
    <s v="TECNOSUL COMPANY LTDA"/>
    <s v="26.037.394/0001-46"/>
    <d v="2025-07-17T00:00:00"/>
    <n v="1150"/>
    <m/>
    <m/>
  </r>
  <r>
    <s v="IS001425"/>
    <s v="IS001425"/>
    <m/>
    <n v="320"/>
    <s v="Classe para equip. Diversos Fz Jatoba"/>
    <s v="SEM PLACA"/>
    <s v="SEM CHASSI"/>
    <x v="830"/>
    <s v="BRASMAQUINAS COMERCIO DE MAQUINAS AGRICOLAS E IRRIGACAO LTDA"/>
    <s v="00.145.531/0004-15"/>
    <d v="2025-07-22T00:00:00"/>
    <n v="1799.1"/>
    <s v="OK"/>
    <s v="JATOBA"/>
  </r>
  <r>
    <s v="IS001426"/>
    <s v="IS001426"/>
    <m/>
    <n v="261166"/>
    <s v="Classe para equip. Diversos Fz Santa lucia"/>
    <s v="SEM PLACA"/>
    <s v="SEM CHASSI"/>
    <x v="153"/>
    <s v="LEM COMERCIO DE EPIS LTDA"/>
    <s v="07.105.510/0001-72"/>
    <d v="2025-07-22T00:00:00"/>
    <n v="3544"/>
    <m/>
    <s v="SANTA LUCIA"/>
  </r>
  <r>
    <s v="IS001427"/>
    <s v="IS001427"/>
    <m/>
    <n v="31247"/>
    <s v="Classe para Informatica e Comunicaçao Fz Santa Lucia"/>
    <s v="SEM PLACA"/>
    <s v="SEM CHASSI"/>
    <x v="967"/>
    <s v="TECNOSUL COMPANY LTDA"/>
    <s v="26.037.394/0001-46"/>
    <d v="2025-07-09T00:00:00"/>
    <n v="2950"/>
    <m/>
    <s v="SANTA LUCIA"/>
  </r>
  <r>
    <s v="IS001428"/>
    <s v="IS001428"/>
    <m/>
    <n v="31245"/>
    <s v="Classe para Informatica e Comunicaçao Fz Jatoba"/>
    <s v="SEM PLACA"/>
    <s v="SEM CHASSI"/>
    <x v="968"/>
    <s v="TECNOSUL COMPANY LTDA"/>
    <s v="26.037.394/0001-46"/>
    <d v="2025-07-09T00:00:00"/>
    <n v="3799.9"/>
    <m/>
    <s v="JATOBA"/>
  </r>
  <r>
    <s v="IS001429"/>
    <s v="IS001429"/>
    <m/>
    <n v="31245"/>
    <s v="Classe para Informatica e Comunicaçao Fz Jatoba"/>
    <s v="SEM PLACA"/>
    <s v="SEM CHASSI"/>
    <x v="969"/>
    <s v="TECNOSUL COMPANY LTDA"/>
    <s v="26.037.394/0001-46"/>
    <d v="2025-07-09T00:00:00"/>
    <n v="3799.9"/>
    <m/>
    <s v="JATOBA"/>
  </r>
  <r>
    <s v="IS001430"/>
    <s v="IS001430"/>
    <m/>
    <n v="31245"/>
    <s v="Classe para Informatica e Comunicaçao Fz Jatoba"/>
    <s v="SEM PLACA"/>
    <s v="SEM CHASSI"/>
    <x v="970"/>
    <s v="TECNOSUL COMPANY LTDA"/>
    <s v="26.037.394/0001-46"/>
    <d v="2025-07-09T00:00:00"/>
    <n v="3799.9"/>
    <m/>
    <s v="JATOBA"/>
  </r>
  <r>
    <s v="IS001431"/>
    <s v="IS001431"/>
    <m/>
    <n v="31245"/>
    <s v="Classe para Informatica e Comunicaçao Fz Jatoba"/>
    <s v="SEM PLACA"/>
    <s v="SEM CHASSI"/>
    <x v="971"/>
    <s v="TECNOSUL COMPANY LTDA"/>
    <s v="26.037.394/0001-46"/>
    <d v="2025-07-09T00:00:00"/>
    <n v="3799.9"/>
    <m/>
    <s v="JATOBA"/>
  </r>
  <r>
    <s v="IS001432"/>
    <s v="IS001432"/>
    <m/>
    <n v="31245"/>
    <s v="Classe para Informatica e Comunicaçao Fz Jatoba"/>
    <s v="SEM PLACA"/>
    <s v="SEM CHASSI"/>
    <x v="967"/>
    <s v="TECNOSUL COMPANY LTDA"/>
    <s v="26.037.394/0001-46"/>
    <d v="2025-07-09T00:00:00"/>
    <n v="2950"/>
    <m/>
    <s v="JATOBA"/>
  </r>
  <r>
    <s v="IS001433"/>
    <s v="IS001433"/>
    <m/>
    <n v="31245"/>
    <s v="Classe para Informatica e Comunicaçao Fz Jatoba"/>
    <s v="SEM PLACA"/>
    <s v="SEM CHASSI"/>
    <x v="967"/>
    <s v="TECNOSUL COMPANY LTDA"/>
    <s v="26.037.394/0001-46"/>
    <d v="2025-07-09T00:00:00"/>
    <n v="2950"/>
    <m/>
    <s v="JATOBA"/>
  </r>
  <r>
    <s v="IS001434"/>
    <s v="IS001434"/>
    <m/>
    <n v="31245"/>
    <s v="Classe para Informatica e Comunicaçao Fz Jatoba"/>
    <s v="SEM PLACA"/>
    <s v="SEM CHASSI"/>
    <x v="967"/>
    <s v="TECNOSUL COMPANY LTDA"/>
    <s v="26.037.394/0001-46"/>
    <d v="2025-07-09T00:00:00"/>
    <n v="2950"/>
    <m/>
    <s v="JATOBA"/>
  </r>
  <r>
    <s v="IS001435"/>
    <s v="IS001435"/>
    <m/>
    <n v="31246"/>
    <s v="Classe para Informatica e Comunicaçao Fz St Expedito"/>
    <s v="SEM PLACA"/>
    <s v="SEM CHASSI"/>
    <x v="967"/>
    <s v="TECNOSUL COMPANY LTDA"/>
    <s v="26.037.394/0001-46"/>
    <d v="2025-07-09T00:00:00"/>
    <n v="2950"/>
    <m/>
    <s v="SANTO EXPEDITO"/>
  </r>
  <r>
    <s v="IS001436"/>
    <s v="IS001436"/>
    <m/>
    <n v="31246"/>
    <s v="Classe para Informatica e Comunicaçao Fz St Expedito"/>
    <s v="SEM PLACA"/>
    <s v="SEM CHASSI"/>
    <x v="967"/>
    <s v="TECNOSUL COMPANY LTDA"/>
    <s v="26.037.394/0001-46"/>
    <d v="2025-07-09T00:00:00"/>
    <n v="2950"/>
    <m/>
    <s v="SANTO EXPEDITO"/>
  </r>
  <r>
    <s v="IS001437"/>
    <s v="IS001437"/>
    <m/>
    <n v="31246"/>
    <s v="Classe para Informatica e Comunicaçao Fz St Expedito"/>
    <s v="SEM PLACA"/>
    <s v="SEM CHASSI"/>
    <x v="967"/>
    <s v="TECNOSUL COMPANY LTDA"/>
    <s v="26.037.394/0001-46"/>
    <d v="2025-07-09T00:00:00"/>
    <n v="2950"/>
    <m/>
    <s v="SANTO EXPEDITO"/>
  </r>
  <r>
    <s v="IS001438"/>
    <s v="IS001438"/>
    <m/>
    <n v="31246"/>
    <s v="Classe para Informatica e Comunicaçao Fz St Expedito"/>
    <s v="SEM PLACA"/>
    <s v="SEM CHASSI"/>
    <x v="967"/>
    <s v="TECNOSUL COMPANY LTDA"/>
    <s v="26.037.394/0001-46"/>
    <d v="2025-07-09T00:00:00"/>
    <n v="2950"/>
    <m/>
    <s v="SANTO EXPEDITO"/>
  </r>
  <r>
    <s v="IS001439"/>
    <s v="IS001439"/>
    <m/>
    <n v="31246"/>
    <s v="Classe para Informatica e Comunicaçao Fz St Expedito"/>
    <s v="SEM PLACA"/>
    <s v="SEM CHASSI"/>
    <x v="967"/>
    <s v="TECNOSUL COMPANY LTDA"/>
    <s v="26.037.394/0001-46"/>
    <d v="2025-07-09T00:00:00"/>
    <n v="2950"/>
    <m/>
    <s v="SANTO EXPEDITO"/>
  </r>
  <r>
    <s v="IS001440"/>
    <s v="IS001440"/>
    <m/>
    <n v="31243"/>
    <s v="Classe para Informatica e Comunicaçao Fz Grande Leste"/>
    <s v="SEM PLACA"/>
    <s v="SEM CHASSI"/>
    <x v="967"/>
    <s v="TECNOSUL COMPANY LTDA"/>
    <s v="26.037.394/0001-46"/>
    <d v="2025-07-09T00:00:00"/>
    <n v="2950"/>
    <m/>
    <s v="GRANDE LESTE"/>
  </r>
  <r>
    <s v="IS001441"/>
    <s v="IS001441"/>
    <m/>
    <n v="31243"/>
    <s v="Classe para Informatica e Comunicaçao Fz Grande Leste"/>
    <s v="SEM PLACA"/>
    <s v="SEM CHASSI"/>
    <x v="967"/>
    <s v="TECNOSUL COMPANY LTDA"/>
    <s v="26.037.394/0001-46"/>
    <d v="2025-07-09T00:00:00"/>
    <n v="2950"/>
    <m/>
    <s v="GRANDE LESTE"/>
  </r>
  <r>
    <s v="IS001442"/>
    <s v="IS001442"/>
    <m/>
    <n v="144036"/>
    <s v="Classe para Maquinas Implementos  Agricola Fz Santa Lucia"/>
    <s v="SEM PLACA"/>
    <s v="SEM CHASSI"/>
    <x v="972"/>
    <s v="LEM COMERCIO DE EPIS LTDA"/>
    <s v="07.105.510/0001-72"/>
    <d v="2025-05-27T00:00:00"/>
    <n v="250000"/>
    <m/>
    <s v="ESCRITORIO CENTRAL"/>
  </r>
  <r>
    <s v="IS001443"/>
    <s v="IS001443"/>
    <m/>
    <n v="261166"/>
    <s v="Classe para equip. Diversos Fz Santa lucia"/>
    <s v="SEM PLACA"/>
    <s v="SEM CHASSI"/>
    <x v="153"/>
    <s v="LEM COMERCIO DE EPIS LTDA"/>
    <s v="13.168.084/0001-19"/>
    <d v="2025-07-22T00:00:00"/>
    <n v="3083.5"/>
    <m/>
    <s v="SANTA LUCIA"/>
  </r>
  <r>
    <s v="IS001444"/>
    <s v="IS001444"/>
    <m/>
    <m/>
    <s v="Classe para equip. Diversos Fz Santa lucia"/>
    <s v="SEM PLACA"/>
    <s v="SEM CHASSI"/>
    <x v="973"/>
    <m/>
    <m/>
    <m/>
    <n v="62900"/>
    <m/>
    <s v="SANTA LUCIA"/>
  </r>
  <r>
    <s v="IS001445"/>
    <s v="IS001445"/>
    <m/>
    <m/>
    <s v="Classe para Equip. Diversos Fz Grande Leste"/>
    <s v="SEM PLACA"/>
    <s v="SEM CHASSI"/>
    <x v="973"/>
    <m/>
    <m/>
    <m/>
    <n v="96300"/>
    <m/>
    <s v="GRANDE LESTE"/>
  </r>
  <r>
    <s v="IS001446"/>
    <s v="IS001446"/>
    <m/>
    <m/>
    <s v="Classe para equip. Diversos "/>
    <s v="SEM PLACA"/>
    <s v="SEM CHASSI"/>
    <x v="973"/>
    <m/>
    <m/>
    <m/>
    <n v="14150"/>
    <m/>
    <s v="ESCRITORIO CENTRAL"/>
  </r>
  <r>
    <s v="IS001447"/>
    <s v="IS001447"/>
    <m/>
    <m/>
    <s v="Classe para equip. Diversos Fz Santa lucia"/>
    <s v="SEM PLACA"/>
    <s v="SEM CHASSI"/>
    <x v="974"/>
    <m/>
    <m/>
    <m/>
    <n v="158734.14000000001"/>
    <m/>
    <s v="SANTA LUCIA"/>
  </r>
  <r>
    <s v="IS001448"/>
    <s v="IS001448"/>
    <m/>
    <n v="31245"/>
    <s v="Classe para Informatica e Comunicaçao Fz Santa Lucia"/>
    <s v="SEM PLACA"/>
    <s v="SEM CHASSI"/>
    <x v="968"/>
    <s v="TECNOSUL COMPANY LTDA"/>
    <s v="26.037.394/0001-46"/>
    <d v="2025-07-09T00:00:00"/>
    <n v="3400"/>
    <m/>
    <s v="SANTA LUCIA"/>
  </r>
  <r>
    <s v="IS001449"/>
    <s v="IS001449"/>
    <m/>
    <n v="31245"/>
    <s v="Classe para Informatica e Comunicaçao Fz Santa Lucia"/>
    <s v="SEM PLACA"/>
    <s v="SEM CHASSI"/>
    <x v="969"/>
    <s v="TECNOSUL COMPANY LTDA"/>
    <s v="26.037.394/0001-46"/>
    <d v="2025-07-09T00:00:00"/>
    <n v="3400"/>
    <m/>
    <s v="SANTA LUCIA"/>
  </r>
  <r>
    <s v="IS001450"/>
    <s v="IS001450"/>
    <m/>
    <n v="31245"/>
    <s v="Classe para Informatica e Comunicaçao Fz Santa Lucia"/>
    <s v="SEM PLACA"/>
    <s v="SEM CHASSI"/>
    <x v="970"/>
    <s v="TECNOSUL COMPANY LTDA"/>
    <s v="26.037.394/0001-46"/>
    <d v="2025-07-09T00:00:00"/>
    <n v="3400"/>
    <m/>
    <s v="SANTA LUCIA"/>
  </r>
  <r>
    <s v="IS001451"/>
    <s v="IS001451"/>
    <m/>
    <n v="31245"/>
    <s v="Classe para Informatica e Comunicaçao Fz Santa Lucia"/>
    <s v="SEM PLACA"/>
    <s v="SEM CHASSI"/>
    <x v="971"/>
    <s v="TECNOSUL COMPANY LTDA"/>
    <s v="26.037.394/0001-46"/>
    <d v="2025-07-09T00:00:00"/>
    <n v="3400"/>
    <m/>
    <s v="SANTA LUCIA"/>
  </r>
  <r>
    <s v="IS001452"/>
    <s v="IS001452"/>
    <m/>
    <n v="31245"/>
    <s v="Classe para Informatica e Comunicaçao Fz Santa Lucia"/>
    <s v="SEM PLACA"/>
    <s v="SEM CHASSI"/>
    <x v="975"/>
    <s v="TECNOSUL COMPANY LTDA"/>
    <s v="26.037.394/0001-46"/>
    <d v="2025-07-09T00:00:00"/>
    <n v="3400"/>
    <m/>
    <s v="SANTA LUCIA"/>
  </r>
  <r>
    <s v="IS001453"/>
    <s v="IS001453"/>
    <m/>
    <n v="170957"/>
    <s v="Classe para Maquinas Implementos  Agricola Fz Santa Lucia"/>
    <s v="SEM PLACA"/>
    <s v="HCCZM340ASCM81598"/>
    <x v="976"/>
    <s v="MAXUM MAQUINAS E EQUIPAMENTOS LTDA"/>
    <s v="02.227.267/0001-41"/>
    <m/>
    <n v="1550000"/>
    <s v="OK"/>
    <s v="SANTA LUCIA"/>
  </r>
  <r>
    <s v="IS001454"/>
    <s v="IS001454"/>
    <m/>
    <n v="170959"/>
    <s v="Classe para Maquinas Implementos  Agricola Fz Santa Lucia"/>
    <s v="SEM PLACA"/>
    <s v="HCCZM340CSCM88993"/>
    <x v="976"/>
    <s v="MAXUM MAQUINAS E EQUIPAMENTOS LTDA"/>
    <s v="02.227.267/0001-41"/>
    <m/>
    <n v="1550000"/>
    <s v="OK"/>
    <s v="SANTA LUCIA"/>
  </r>
  <r>
    <s v="IS001455"/>
    <s v="IS001455"/>
    <m/>
    <n v="170960"/>
    <s v="Classe para Maquinas Implementos  Agricola Fz Santa Lucia"/>
    <s v="SEM PLACA"/>
    <s v="HCCZM340ASCM81620"/>
    <x v="976"/>
    <s v="MAXUM MAQUINAS E EQUIPAMENTOS LTDA"/>
    <s v="02.227.267/0001-41"/>
    <m/>
    <n v="1550000"/>
    <s v="OK"/>
    <s v="SANTA LUCIA"/>
  </r>
  <r>
    <s v="IS001456"/>
    <s v="IS001456"/>
    <m/>
    <n v="19233"/>
    <s v="Classe para Maquinas Implementos  Agricola Fz Santa Lucia"/>
    <s v="SEM PLACA"/>
    <s v="HCCZM340KRCM80892"/>
    <x v="976"/>
    <s v="MAXUM MAQUINAS E EQUIPAMENTOS LTDA"/>
    <s v="02.227.267/0001-41"/>
    <m/>
    <n v="1550000"/>
    <s v="OK"/>
    <s v="SANTA LUCIA"/>
  </r>
  <r>
    <s v="IS001457"/>
    <s v="IS001457"/>
    <m/>
    <n v="171229"/>
    <s v="Classe para Maquinas Implementos  Agricola Fz Santa Lucia"/>
    <s v="SEM PLACA"/>
    <s v="HCCZFA10PSCJ86920"/>
    <x v="977"/>
    <s v="MAXUM MAQUINAS E EQUIPAMENTOS LTDA"/>
    <s v="02.227.267/0001-41"/>
    <d v="2025-07-23T00:00:00"/>
    <n v="300000"/>
    <m/>
    <s v="SANTA LUCIA"/>
  </r>
  <r>
    <s v="IS001458"/>
    <s v="IS001458"/>
    <m/>
    <n v="171230"/>
    <s v="Classe para Maquinas Implementos  Agricola Fz Santa Lucia"/>
    <s v="SEM PLACA"/>
    <s v="HCCZFA10ERCJ80069"/>
    <x v="977"/>
    <s v="MAXUM MAQUINAS E EQUIPAMENTOS LTDA"/>
    <s v="02.227.267/0001-41"/>
    <d v="2025-07-23T00:00:00"/>
    <n v="300000"/>
    <m/>
    <s v="SANTA LUCIA"/>
  </r>
  <r>
    <s v="IS001459"/>
    <s v="IS001459"/>
    <m/>
    <n v="171228"/>
    <s v="Classe para Maquinas Implementos  Agricola Fz Santa Lucia"/>
    <s v="SEM PLACA"/>
    <s v="HCCZFA10CSCJ87000"/>
    <x v="977"/>
    <s v="MAXUM MAQUINAS E EQUIPAMENTOS LTDA"/>
    <s v="02.227.267/0001-41"/>
    <d v="2025-07-23T00:00:00"/>
    <n v="300000"/>
    <m/>
    <s v="SANTA LUCIA"/>
  </r>
  <r>
    <s v="IS001460"/>
    <s v="IS001460"/>
    <m/>
    <n v="171269"/>
    <s v="Classe para Maquinas Implementos  Agricola Fz Santa Lucia"/>
    <s v="SEM PLACA"/>
    <s v="HCCZ3F11ARCG74929"/>
    <x v="978"/>
    <s v="MAXUM MAQUINAS E EQUIPAMENTOS LTDA"/>
    <s v="02.227.267/0001-41"/>
    <d v="2025-07-24T00:00:00"/>
    <n v="460000"/>
    <s v="OK"/>
    <s v="SANTA LUCIA"/>
  </r>
  <r>
    <s v="IS001461"/>
    <s v="IS001461"/>
    <m/>
    <n v="171271"/>
    <s v="Classe para Maquinas Implementos  Agricola Fz Santa Lucia"/>
    <s v="SEM PLACA"/>
    <s v="HCCZ3F11ARCG81055"/>
    <x v="978"/>
    <s v="MAXUM MAQUINAS E EQUIPAMENTOS LTDA"/>
    <s v="02.227.267/0001-41"/>
    <d v="2025-07-24T00:00:00"/>
    <n v="460000"/>
    <m/>
    <s v="SANTA LUCIA"/>
  </r>
  <r>
    <s v="IS001462"/>
    <s v="IS001462"/>
    <m/>
    <n v="171267"/>
    <s v="Classe para Maquinas Implementos  Agricola Fz Santa Lucia"/>
    <s v="SEM PLACA"/>
    <s v="HCCZ3F11VRCG74900"/>
    <x v="978"/>
    <s v="MAXUM MAQUINAS E EQUIPAMENTOS LTDA"/>
    <s v="02.227.267/0001-41"/>
    <d v="2025-07-24T00:00:00"/>
    <n v="460000"/>
    <m/>
    <s v="SANTA LUCIA"/>
  </r>
  <r>
    <s v="IS001463"/>
    <s v="IS001463"/>
    <m/>
    <n v="171369"/>
    <s v="Classe para Maquinas Implementos  Agricola Fz Santa Lucia"/>
    <s v="SEM PLACA"/>
    <s v="HCCZFA10HSCJ89813"/>
    <x v="977"/>
    <s v="MAXUM MAQUINAS E EQUIPAMENTOS LTDA"/>
    <s v="02.227.267/0001-41"/>
    <d v="2025-07-28T00:00:00"/>
    <n v="300000"/>
    <m/>
    <s v="SANTA LUCIA"/>
  </r>
  <r>
    <s v="IS001464"/>
    <s v="IS001464"/>
    <m/>
    <n v="171368"/>
    <s v="Classe para Maquinas Implementos  Agricola Fz Santa Lucia"/>
    <s v="SEM PLACA"/>
    <s v="HCCZFA10ESCJ89795"/>
    <x v="977"/>
    <s v="MAXUM MAQUINAS E EQUIPAMENTOS LTDA"/>
    <s v="02.227.267/0001-41"/>
    <d v="2025-07-28T00:00:00"/>
    <n v="300000"/>
    <m/>
    <s v="SANTA LUCIA"/>
  </r>
  <r>
    <s v="IS001465"/>
    <s v="IS001465"/>
    <m/>
    <n v="75936"/>
    <s v="Classe para equip. Diversos Fz Santo Expedito"/>
    <s v="SEM PLACA"/>
    <s v="SEM CHASSI"/>
    <x v="979"/>
    <s v="PORTO BRASIL MOTORES E FERRAMENTAS LTDA"/>
    <s v="34.054.429/0002-64"/>
    <d v="2025-08-05T00:00:00"/>
    <n v="2820.55"/>
    <m/>
    <s v="SANTO EXPEDITO"/>
  </r>
  <r>
    <s v="IS001466"/>
    <s v="IS001466"/>
    <m/>
    <n v="2710"/>
    <s v="Classe para Informatica e Comunicaçao Fz St Expedito"/>
    <s v="SEM PLACA"/>
    <s v="SEM CHASSI"/>
    <x v="980"/>
    <s v="MELLO E MELLO TECNOLOGIA LTDA."/>
    <s v="24.923.049/0001-84"/>
    <d v="2025-08-11T00:00:00"/>
    <n v="1490"/>
    <m/>
    <s v="SANTO EXPEDITO"/>
  </r>
  <r>
    <s v="IS001467"/>
    <s v="IS001467"/>
    <m/>
    <n v="2699"/>
    <s v="Classe para Informatica e Comunicaçao"/>
    <s v="SEM PLACA"/>
    <s v="SEM CHASSI"/>
    <x v="981"/>
    <s v="MELLO E MELLO TECNOLOGIA LTDA."/>
    <s v="24.923.049/0001-84"/>
    <d v="2025-08-08T00:00:00"/>
    <n v="10000"/>
    <s v="OK"/>
    <s v="ESCRITORIO CENTRAL"/>
  </r>
  <r>
    <s v="IS001468"/>
    <s v="IS001468"/>
    <m/>
    <n v="43345"/>
    <s v="Classe para Moveis e Utensilios Fz Grande Leste"/>
    <s v="SEM PLACA"/>
    <s v="SEM CHASSI"/>
    <x v="982"/>
    <s v="Nosso Lar Lojas de Departamentos Ltda-Lj111"/>
    <s v="00.607.587/0029-00"/>
    <d v="2025-08-07T00:00:00"/>
    <n v="2699.9"/>
    <m/>
    <m/>
  </r>
  <r>
    <s v="IS001469"/>
    <s v="IS001469"/>
    <m/>
    <n v="291768"/>
    <s v="Classe para Veiculos"/>
    <s v="THD7I02"/>
    <s v="8AJDA3CD1S1851458"/>
    <x v="723"/>
    <s v="Toyota do Brasil Ltda"/>
    <s v="59.104.760/0005-15"/>
    <d v="2025-09-05T00:00:00"/>
    <n v="227897.74"/>
    <s v="OK"/>
    <s v="ESCRITORIO CENTRAL"/>
  </r>
  <r>
    <s v="IS001470"/>
    <s v="IS001470"/>
    <m/>
    <m/>
    <s v="Classe para EquipDiverso StLucia"/>
    <s v="SEM PLACA"/>
    <s v="SEM CHASSI"/>
    <x v="983"/>
    <m/>
    <m/>
    <m/>
    <m/>
    <m/>
    <s v="SANTA LUCIA"/>
  </r>
  <r>
    <s v="IS001471"/>
    <s v="IS001471"/>
    <m/>
    <n v="294910"/>
    <s v="Moveis Utens Jatoba"/>
    <s v="SEM PLACA"/>
    <s v="SEM CHASSI"/>
    <x v="409"/>
    <s v="CATRAL REFRIGERACAO E ELETRODOMESTICOS LTDA"/>
    <s v="02.375.921/0011-36"/>
    <d v="2025-11-26T00:00:00"/>
    <n v="8470"/>
    <m/>
    <m/>
  </r>
  <r>
    <s v="IS001472"/>
    <s v="IS001472"/>
    <m/>
    <n v="2398"/>
    <s v="Classe para EquipDiverso StLucia"/>
    <s v="SEM PLACA"/>
    <s v="SEM CHASSI"/>
    <x v="984"/>
    <s v="BRASIL VERDE IRRIGACAO EIRELI"/>
    <s v="19.965.105/0001-03"/>
    <d v="2025-09-12T00:00:00"/>
    <n v="110000"/>
    <s v="OK"/>
    <s v="SANTA LUCIA"/>
  </r>
  <r>
    <s v="IS001473"/>
    <s v="IS001473"/>
    <m/>
    <n v="2840"/>
    <s v="Classe para Informatica e Comunicaçao"/>
    <s v="SEM PLACA"/>
    <s v="SEM CHASSI"/>
    <x v="985"/>
    <s v="MELLO E MELLO TECNOLOGIA LTDA."/>
    <s v="24.923.049/0001-84"/>
    <d v="2025-09-12T00:00:00"/>
    <n v="1140"/>
    <m/>
    <s v="ESCRITORIO CENTRAL"/>
  </r>
  <r>
    <s v="IS001474"/>
    <s v="IS001474"/>
    <m/>
    <n v="2660"/>
    <s v="Classe para Maquinas Implementos  Agricola Fz Jatoba"/>
    <s v="SEM PLACA"/>
    <s v="SEM CHASSI"/>
    <x v="123"/>
    <s v="DJG GROUP TECNOLOGIA LTDA"/>
    <s v="58.193.477/0001-10"/>
    <d v="2025-09-29T00:00:00"/>
    <n v="2583"/>
    <m/>
    <s v="GRANDE LESTE"/>
  </r>
  <r>
    <s v="IS001475"/>
    <s v="IS001475"/>
    <m/>
    <m/>
    <s v="Classe para Maquinas Implementos  Agricola Fz Grande Leste"/>
    <s v="SEM PLACA"/>
    <s v="TPL0002311"/>
    <x v="986"/>
    <m/>
    <m/>
    <m/>
    <m/>
    <m/>
    <s v="JATOBA"/>
  </r>
  <r>
    <s v="IS001476"/>
    <s v="IS001476"/>
    <m/>
    <n v="46973"/>
    <s v="Classe para Moveis e Utensilios Fz Santa Lucia"/>
    <s v="SEM PLACA"/>
    <s v="SEM CHASSI"/>
    <x v="853"/>
    <s v="Nosso Lar Lojas de Departamentos Ltda-Lj111"/>
    <s v="00.607.587/0029-00"/>
    <d v="2025-11-04T00:00:00"/>
    <n v="1713"/>
    <m/>
    <m/>
  </r>
  <r>
    <s v="IS001477"/>
    <s v="IS001477"/>
    <m/>
    <n v="4908"/>
    <s v="Classe para equip. Diversos Fz Jatoba"/>
    <s v="SEM PLACA"/>
    <s v="SEM CHASSI"/>
    <x v="808"/>
    <s v="JF Com. Parafusos Ferramentas Maquinas Ltda"/>
    <s v="42.215.694/0001-24"/>
    <d v="2025-10-06T00:00:00"/>
    <n v="4998"/>
    <s v="OK"/>
    <s v="JATOBA"/>
  </r>
  <r>
    <s v="IS001478"/>
    <s v="IS001478"/>
    <m/>
    <n v="2846"/>
    <s v="Classe para Informatica e Comunicaçao Fz St Expedito"/>
    <s v="SEM PLACA"/>
    <s v="SEM CHASSI"/>
    <x v="987"/>
    <s v="MELLO E MELLO TECNOLOGIA LTDA."/>
    <s v="24.923.049/0001-84"/>
    <d v="2025-09-16T00:00:00"/>
    <n v="1685"/>
    <m/>
    <s v="SANTO EXPEDITO"/>
  </r>
  <r>
    <s v="IS001479"/>
    <s v="IS001479"/>
    <m/>
    <m/>
    <s v="Classe para Maquinas Implementos Agricola Fz Santa Lucia"/>
    <s v="SEM PLACA"/>
    <s v="SEM CHASSI"/>
    <x v="988"/>
    <m/>
    <m/>
    <m/>
    <m/>
    <m/>
    <m/>
  </r>
  <r>
    <s v="IS001480"/>
    <s v="IS001480"/>
    <m/>
    <n v="174"/>
    <s v="Classe para equip. Diversos Fz Grande Leste"/>
    <s v="SEM PLACA"/>
    <s v="SEM CHASSI"/>
    <x v="492"/>
    <s v="BRASMAQUINAS COMERCIO DE MAQUINAS AGRICOLAS E IRRIGACAO LTDA"/>
    <s v="00.145.531/0004-15"/>
    <d v="2025-06-13T00:00:00"/>
    <n v="1512.15"/>
    <m/>
    <m/>
  </r>
  <r>
    <s v="IS001481"/>
    <s v="IS001481"/>
    <m/>
    <n v="3077"/>
    <s v="Classe para Informatica e Comunicaçao"/>
    <s v="SEM PLACA"/>
    <s v="SEM CHASSI"/>
    <x v="544"/>
    <s v="MELLO E MELLO TECNOLOGIA LTDA."/>
    <s v="24.923.049/0001-84"/>
    <d v="2025-10-31T00:00:00"/>
    <n v="2000"/>
    <m/>
    <m/>
  </r>
  <r>
    <s v="IS001482"/>
    <s v="IS001482"/>
    <m/>
    <m/>
    <s v="Classe para Maquinas Implementos  Agricola Fz Jatoba"/>
    <s v="SEM PLACA"/>
    <s v="SEM CHASSI"/>
    <x v="989"/>
    <m/>
    <m/>
    <m/>
    <m/>
    <m/>
    <m/>
  </r>
  <r>
    <s v="IS001483"/>
    <s v="IS001483"/>
    <m/>
    <n v="3159"/>
    <s v="Classe para Informatica e Comunicaçao Fz Santa Lucia"/>
    <s v="SEM PLACA"/>
    <s v="SEM CHASSI"/>
    <x v="544"/>
    <s v="MELLO E MELLO TECNOLOGIA LTDA."/>
    <s v="24.923.049/0001-84"/>
    <d v="2025-11-17T00:00:00"/>
    <n v="2000"/>
    <m/>
    <m/>
  </r>
  <r>
    <s v="IS001484"/>
    <s v="IS001484"/>
    <m/>
    <m/>
    <s v="Classe para Maquinas Implementos  Agricola Fz Jatoba"/>
    <s v="SEM PLACA"/>
    <s v="SEM CHASSI"/>
    <x v="150"/>
    <m/>
    <m/>
    <m/>
    <m/>
    <m/>
    <m/>
  </r>
  <r>
    <s v="IS001485"/>
    <s v="IS001485"/>
    <m/>
    <n v="900"/>
    <s v="Classe para Moveis e Utensilios"/>
    <s v="SEM PLACA"/>
    <s v="SEM CHASSI"/>
    <x v="990"/>
    <s v="CLASSE A MOVEIS E ELETROS LTDA"/>
    <s v="05.410.231/0001-97"/>
    <d v="2025-10-15T00:00:00"/>
    <n v="1346.15"/>
    <m/>
    <s v="ESCRITORIO CENTRAL"/>
  </r>
  <r>
    <s v="IS001486"/>
    <s v="IS001486"/>
    <m/>
    <n v="900"/>
    <s v="Classe para Moveis e Utensilios"/>
    <s v="SEM PLACA"/>
    <s v="SEM CHASSI"/>
    <x v="990"/>
    <s v="CLASSE A MOVEIS E ELETROS LTDA"/>
    <s v="05.410.231/0001-97"/>
    <d v="2025-10-16T00:00:00"/>
    <n v="1346.15"/>
    <m/>
    <s v="ESCRITORIO CENTRAL"/>
  </r>
  <r>
    <s v="IS001487"/>
    <s v="IS001487"/>
    <m/>
    <n v="900"/>
    <s v="Classe para Moveis e Utensilios"/>
    <s v="SEM PLACA"/>
    <s v="SEM CHASSI"/>
    <x v="990"/>
    <s v="CLASSE A MOVEIS E ELETROS LTDA"/>
    <s v="05.410.231/0001-97"/>
    <d v="2025-10-17T00:00:00"/>
    <n v="1346.15"/>
    <m/>
    <s v="ESCRITORIO CENTRAL"/>
  </r>
  <r>
    <s v="IS001488"/>
    <s v="IS001488"/>
    <m/>
    <n v="900"/>
    <s v="Classe para Moveis e Utensilios"/>
    <s v="SEM PLACA"/>
    <s v="SEM CHASSI"/>
    <x v="990"/>
    <s v="CLASSE A MOVEIS E ELETROS LTDA"/>
    <s v="05.410.231/0001-97"/>
    <d v="2025-10-18T00:00:00"/>
    <n v="1346.15"/>
    <m/>
    <s v="ESCRITORIO CENTRAL"/>
  </r>
  <r>
    <s v="IS001489"/>
    <s v="IS001489"/>
    <m/>
    <n v="900"/>
    <s v="Classe para Moveis e Utensilios"/>
    <s v="SEM PLACA"/>
    <s v="SEM CHASSI"/>
    <x v="990"/>
    <s v="CLASSE A MOVEIS E ELETROS LTDA"/>
    <s v="05.410.231/0001-97"/>
    <d v="2025-10-19T00:00:00"/>
    <n v="1346.15"/>
    <m/>
    <s v="ESCRITORIO CENTRAL"/>
  </r>
  <r>
    <s v="IS001490"/>
    <s v="IS001490"/>
    <m/>
    <n v="900"/>
    <s v="Classe para Moveis e Utensilios"/>
    <s v="SEM PLACA"/>
    <s v="SEM CHASSI"/>
    <x v="990"/>
    <s v="CLASSE A MOVEIS E ELETROS LTDA"/>
    <s v="05.410.231/0001-97"/>
    <d v="2025-10-20T00:00:00"/>
    <n v="1346.15"/>
    <m/>
    <s v="ESCRITORIO CENTRAL"/>
  </r>
  <r>
    <s v="IS001491"/>
    <s v="IS001491"/>
    <m/>
    <n v="900"/>
    <s v="Classe para Moveis e Utensilios"/>
    <s v="SEM PLACA"/>
    <s v="SEM CHASSI"/>
    <x v="990"/>
    <s v="CLASSE A MOVEIS E ELETROS LTDA"/>
    <s v="05.410.231/0001-97"/>
    <d v="2025-10-21T00:00:00"/>
    <n v="1346.15"/>
    <m/>
    <s v="ESCRITORIO CENTRAL"/>
  </r>
  <r>
    <s v="IS001492"/>
    <s v="IS001492"/>
    <m/>
    <n v="900"/>
    <s v="Classe para Moveis e Utensilios"/>
    <s v="SEM PLACA"/>
    <s v="SEM CHASSI"/>
    <x v="990"/>
    <s v="CLASSE A MOVEIS E ELETROS LTDA"/>
    <s v="05.410.231/0001-97"/>
    <d v="2025-10-22T00:00:00"/>
    <n v="1346.15"/>
    <m/>
    <s v="ESCRITORIO CENTRAL"/>
  </r>
  <r>
    <s v="IS001493"/>
    <s v="IS001493"/>
    <m/>
    <n v="900"/>
    <s v="Classe para Moveis e Utensilios"/>
    <s v="SEM PLACA"/>
    <s v="SEM CHASSI"/>
    <x v="990"/>
    <s v="CLASSE A MOVEIS E ELETROS LTDA"/>
    <s v="05.410.231/0001-97"/>
    <d v="2025-10-23T00:00:00"/>
    <n v="1346.15"/>
    <m/>
    <s v="ESCRITORIO CENTRAL"/>
  </r>
  <r>
    <s v="IS001494"/>
    <s v="IS001494"/>
    <m/>
    <n v="900"/>
    <s v="Classe para Moveis e Utensilios"/>
    <s v="SEM PLACA"/>
    <s v="SEM CHASSI"/>
    <x v="990"/>
    <s v="CLASSE A MOVEIS E ELETROS LTDA"/>
    <s v="05.410.231/0001-97"/>
    <d v="2025-10-24T00:00:00"/>
    <n v="1346.15"/>
    <m/>
    <s v="ESCRITORIO CENTRAL"/>
  </r>
  <r>
    <s v="IS001495"/>
    <s v="IS001495"/>
    <m/>
    <n v="900"/>
    <s v="Classe para Moveis e Utensilios"/>
    <s v="SEM PLACA"/>
    <s v="SEM CHASSI"/>
    <x v="990"/>
    <s v="CLASSE A MOVEIS E ELETROS LTDA"/>
    <s v="05.410.231/0001-97"/>
    <d v="2025-10-25T00:00:00"/>
    <n v="1346.15"/>
    <m/>
    <s v="ESCRITORIO CENTRAL"/>
  </r>
  <r>
    <s v="IS001496"/>
    <s v="IS001496"/>
    <m/>
    <n v="900"/>
    <s v="Classe para Moveis e Utensilios"/>
    <s v="SEM PLACA"/>
    <s v="SEM CHASSI"/>
    <x v="990"/>
    <s v="CLASSE A MOVEIS E ELETROS LTDA"/>
    <s v="05.410.231/0001-97"/>
    <d v="2025-10-26T00:00:00"/>
    <n v="1346.15"/>
    <m/>
    <s v="ESCRITORIO CENTRAL"/>
  </r>
  <r>
    <s v="IS001497"/>
    <s v="IS001497"/>
    <m/>
    <n v="900"/>
    <s v="Classe para Moveis e Utensilios"/>
    <s v="SEM PLACA"/>
    <s v="SEM CHASSI"/>
    <x v="990"/>
    <s v="CLASSE A MOVEIS E ELETROS LTDA"/>
    <s v="05.410.231/0001-97"/>
    <d v="2025-10-27T00:00:00"/>
    <n v="1346.15"/>
    <m/>
    <s v="ESCRITORIO CENTRAL"/>
  </r>
  <r>
    <s v="IS001498"/>
    <s v="IS001498"/>
    <m/>
    <n v="900"/>
    <s v="Classe para Moveis e Utensilios"/>
    <s v="SEM PLACA"/>
    <s v="SEM CHASSI"/>
    <x v="990"/>
    <s v="CLASSE A MOVEIS E ELETROS LTDA"/>
    <s v="05.410.231/0001-97"/>
    <d v="2025-10-28T00:00:00"/>
    <n v="1346.15"/>
    <m/>
    <s v="ESCRITORIO CENTRAL"/>
  </r>
  <r>
    <s v="IS001499"/>
    <s v="IS001499"/>
    <m/>
    <n v="900"/>
    <s v="Classe para Moveis e Utensilios"/>
    <s v="SEM PLACA"/>
    <s v="SEM CHASSI"/>
    <x v="990"/>
    <s v="CLASSE A MOVEIS E ELETROS LTDA"/>
    <s v="05.410.231/0001-97"/>
    <d v="2025-10-29T00:00:00"/>
    <n v="1346.15"/>
    <m/>
    <s v="ESCRITORIO CENTRAL"/>
  </r>
  <r>
    <s v="IS001500"/>
    <s v="IS001500"/>
    <m/>
    <n v="900"/>
    <s v="Classe para Moveis e Utensilios"/>
    <s v="SEM PLACA"/>
    <s v="SEM CHASSI"/>
    <x v="990"/>
    <s v="CLASSE A MOVEIS E ELETROS LTDA"/>
    <s v="05.410.231/0001-97"/>
    <d v="2025-10-30T00:00:00"/>
    <n v="1346.15"/>
    <m/>
    <s v="ESCRITORIO CENTRAL"/>
  </r>
  <r>
    <s v="IS001501"/>
    <s v="IS001501"/>
    <m/>
    <n v="900"/>
    <s v="Classe para Moveis e Utensilios"/>
    <s v="SEM PLACA"/>
    <s v="SEM CHASSI"/>
    <x v="990"/>
    <s v="CLASSE A MOVEIS E ELETROS LTDA"/>
    <s v="05.410.231/0001-97"/>
    <d v="2025-10-31T00:00:00"/>
    <n v="1346.15"/>
    <m/>
    <s v="ESCRITORIO CENTRAL"/>
  </r>
  <r>
    <s v="IS001502"/>
    <s v="IS001502"/>
    <m/>
    <n v="900"/>
    <s v="Classe para Moveis e Utensilios"/>
    <s v="SEM PLACA"/>
    <s v="SEM CHASSI"/>
    <x v="990"/>
    <s v="CLASSE A MOVEIS E ELETROS LTDA"/>
    <s v="05.410.231/0001-97"/>
    <d v="2025-11-01T00:00:00"/>
    <n v="1346.15"/>
    <m/>
    <s v="ESCRITORIO CENTRAL"/>
  </r>
  <r>
    <s v="IS001503"/>
    <s v="IS001503"/>
    <m/>
    <n v="900"/>
    <s v="Classe para Moveis e Utensilios"/>
    <s v="SEM PLACA"/>
    <s v="SEM CHASSI"/>
    <x v="990"/>
    <s v="CLASSE A MOVEIS E ELETROS LTDA"/>
    <s v="05.410.231/0001-97"/>
    <d v="2025-11-02T00:00:00"/>
    <n v="1346.15"/>
    <m/>
    <s v="ESCRITORIO CENTRAL"/>
  </r>
  <r>
    <s v="IS001504"/>
    <s v="IS001504"/>
    <m/>
    <n v="900"/>
    <s v="Classe para Moveis e Utensilios"/>
    <s v="SEM PLACA"/>
    <s v="SEM CHASSI"/>
    <x v="990"/>
    <s v="CLASSE A MOVEIS E ELETROS LTDA"/>
    <s v="05.410.231/0001-97"/>
    <d v="2025-11-03T00:00:00"/>
    <n v="1346.15"/>
    <m/>
    <s v="ESCRITORIO CENTRAL"/>
  </r>
  <r>
    <s v="IS001505"/>
    <s v="IS001505"/>
    <m/>
    <n v="900"/>
    <s v="Classe para Moveis e Utensilios"/>
    <s v="SEM PLACA"/>
    <s v="SEM CHASSI"/>
    <x v="990"/>
    <s v="CLASSE A MOVEIS E ELETROS LTDA"/>
    <s v="05.410.231/0001-97"/>
    <d v="2025-11-04T00:00:00"/>
    <n v="1346.15"/>
    <m/>
    <s v="ESCRITORIO CENTRAL"/>
  </r>
  <r>
    <s v="IS001506"/>
    <s v="IS001506"/>
    <m/>
    <n v="900"/>
    <s v="Classe para Moveis e Utensilios"/>
    <s v="SEM PLACA"/>
    <s v="SEM CHASSI"/>
    <x v="990"/>
    <s v="CLASSE A MOVEIS E ELETROS LTDA"/>
    <s v="05.410.231/0001-97"/>
    <d v="2025-11-05T00:00:00"/>
    <n v="1346.15"/>
    <m/>
    <s v="ESCRITORIO CENTRAL"/>
  </r>
  <r>
    <s v="IS001507"/>
    <s v="IS001507"/>
    <m/>
    <n v="900"/>
    <s v="Classe para Moveis e Utensilios"/>
    <s v="SEM PLACA"/>
    <s v="SEM CHASSI"/>
    <x v="990"/>
    <s v="CLASSE A MOVEIS E ELETROS LTDA"/>
    <s v="05.410.231/0001-97"/>
    <d v="2025-11-06T00:00:00"/>
    <n v="1346.15"/>
    <m/>
    <s v="ESCRITORIO CENTRAL"/>
  </r>
  <r>
    <s v="IS001508"/>
    <s v="IS001508"/>
    <m/>
    <n v="900"/>
    <s v="Classe para Moveis e Utensilios"/>
    <s v="SEM PLACA"/>
    <s v="SEM CHASSI"/>
    <x v="990"/>
    <s v="CLASSE A MOVEIS E ELETROS LTDA"/>
    <s v="05.410.231/0001-97"/>
    <d v="2025-11-07T00:00:00"/>
    <n v="1346.15"/>
    <m/>
    <s v="ESCRITORIO CENTRAL"/>
  </r>
  <r>
    <s v="IS001509"/>
    <s v="IS001509"/>
    <m/>
    <n v="900"/>
    <s v="Classe para Moveis e Utensilios"/>
    <s v="SEM PLACA"/>
    <s v="SEM CHASSI"/>
    <x v="990"/>
    <s v="CLASSE A MOVEIS E ELETROS LTDA"/>
    <s v="05.410.231/0001-97"/>
    <d v="2025-11-08T00:00:00"/>
    <n v="1346.15"/>
    <m/>
    <s v="ESCRITORIO CENTRAL"/>
  </r>
  <r>
    <s v="IS001510"/>
    <s v="IS001510"/>
    <m/>
    <n v="900"/>
    <s v="Classe para Moveis e Utensilios"/>
    <s v="SEM PLACA"/>
    <s v="SEM CHASSI"/>
    <x v="990"/>
    <s v="CLASSE A MOVEIS E ELETROS LTDA"/>
    <s v="05.410.231/0001-97"/>
    <d v="2025-11-09T00:00:00"/>
    <n v="1346.15"/>
    <m/>
    <s v="ESCRITORIO CENTRAL"/>
  </r>
  <r>
    <s v="IS001511"/>
    <s v="IS001511"/>
    <m/>
    <n v="4515"/>
    <s v="Classe para Informatica e Comunicaçao Fz Grande Leste"/>
    <s v="SEM PLACA"/>
    <s v="186324P18223517888YU"/>
    <x v="991"/>
    <s v="ROTA OESTE RECUPERADORA DE IMPLEMENTOS RODOVIARIOS "/>
    <m/>
    <m/>
    <m/>
    <m/>
    <m/>
  </r>
  <r>
    <s v="IS001512"/>
    <s v="IS001512"/>
    <m/>
    <m/>
    <s v="Classe para Moveis e Utensilios"/>
    <s v="SEM PLACA"/>
    <s v="SEM CHASSI"/>
    <x v="992"/>
    <m/>
    <m/>
    <m/>
    <m/>
    <m/>
    <m/>
  </r>
  <r>
    <s v="IS001513"/>
    <s v="IS001513"/>
    <m/>
    <m/>
    <s v="Classe para Moveis e Utensilios"/>
    <s v="SEM PLACA"/>
    <s v="SEM CHASSI"/>
    <x v="993"/>
    <m/>
    <m/>
    <m/>
    <m/>
    <m/>
    <m/>
  </r>
  <r>
    <s v="IS001514"/>
    <s v="IS001514"/>
    <m/>
    <m/>
    <s v="Classe para Moveis e Utensilios"/>
    <s v="SEM PLACA"/>
    <s v="SEM CHASSI"/>
    <x v="994"/>
    <m/>
    <m/>
    <m/>
    <m/>
    <m/>
    <m/>
  </r>
  <r>
    <s v="IS001515"/>
    <s v="IS001515"/>
    <m/>
    <m/>
    <s v="Classe para equip. Diversos Fz Santa lucia"/>
    <s v="SEM PLACA"/>
    <s v="SEM CHASSI"/>
    <x v="995"/>
    <m/>
    <m/>
    <m/>
    <m/>
    <m/>
    <m/>
  </r>
  <r>
    <s v="IS001516"/>
    <s v="IS001516"/>
    <m/>
    <m/>
    <s v="Classe para Maquinas Implementos  Agricola Fz Jatoba"/>
    <s v="SEM PLACA"/>
    <s v="SEM CHASSI"/>
    <x v="996"/>
    <m/>
    <m/>
    <m/>
    <m/>
    <m/>
    <m/>
  </r>
  <r>
    <s v="IS001517"/>
    <s v="IS001517"/>
    <m/>
    <m/>
    <s v="Classe para Maquinas Implementos  Agricola Fz Jatoba"/>
    <s v="SEM PLACA"/>
    <s v="SEM CHASSI"/>
    <x v="997"/>
    <m/>
    <m/>
    <m/>
    <m/>
    <m/>
    <m/>
  </r>
  <r>
    <s v="IS001518"/>
    <s v="IS001518"/>
    <m/>
    <n v="4661"/>
    <s v="Classe para Informatica e Comunicaçao Fz Santa Lucia"/>
    <s v="SEM PLACA"/>
    <s v="186324P1822351722M9D"/>
    <x v="991"/>
    <s v="ROTA OESTE RECUPERADORA DE IMPLEMENTOS RODOVIARIOS "/>
    <s v="07.841.633/0001-71"/>
    <d v="2026-01-27T00:00:00"/>
    <n v="155000"/>
    <m/>
    <m/>
  </r>
  <r>
    <s v="IS001519"/>
    <m/>
    <m/>
    <m/>
    <m/>
    <m/>
    <m/>
    <x v="998"/>
    <m/>
    <m/>
    <m/>
    <m/>
    <m/>
    <m/>
  </r>
  <r>
    <m/>
    <m/>
    <m/>
    <m/>
    <m/>
    <m/>
    <m/>
    <x v="998"/>
    <m/>
    <m/>
    <m/>
    <m/>
    <m/>
    <m/>
  </r>
  <r>
    <m/>
    <m/>
    <m/>
    <m/>
    <m/>
    <m/>
    <m/>
    <x v="998"/>
    <m/>
    <m/>
    <m/>
    <m/>
    <m/>
    <m/>
  </r>
  <r>
    <m/>
    <m/>
    <m/>
    <m/>
    <m/>
    <m/>
    <m/>
    <x v="998"/>
    <m/>
    <m/>
    <m/>
    <m/>
    <m/>
    <m/>
  </r>
  <r>
    <m/>
    <m/>
    <m/>
    <m/>
    <m/>
    <m/>
    <m/>
    <x v="998"/>
    <m/>
    <m/>
    <m/>
    <m/>
    <m/>
    <m/>
  </r>
  <r>
    <m/>
    <m/>
    <m/>
    <m/>
    <m/>
    <m/>
    <m/>
    <x v="998"/>
    <m/>
    <m/>
    <m/>
    <m/>
    <m/>
    <m/>
  </r>
  <r>
    <m/>
    <m/>
    <m/>
    <m/>
    <m/>
    <m/>
    <m/>
    <x v="998"/>
    <m/>
    <m/>
    <m/>
    <m/>
    <m/>
    <m/>
  </r>
  <r>
    <m/>
    <m/>
    <m/>
    <m/>
    <m/>
    <m/>
    <m/>
    <x v="998"/>
    <m/>
    <m/>
    <m/>
    <m/>
    <m/>
    <m/>
  </r>
  <r>
    <m/>
    <m/>
    <m/>
    <m/>
    <m/>
    <m/>
    <m/>
    <x v="998"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8821F85-9319-44D1-AD3B-55B9B616DBE5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multipleFieldFilters="0" chartFormat="15" rowHeaderCaption="Analise de Dados">
  <location ref="A3:B1003" firstHeaderRow="1" firstDataRow="1" firstDataCol="1"/>
  <pivotFields count="14">
    <pivotField dataField="1" showAll="0"/>
    <pivotField showAll="0"/>
    <pivotField showAll="0"/>
    <pivotField showAll="0"/>
    <pivotField showAll="0"/>
    <pivotField showAll="0"/>
    <pivotField showAll="0"/>
    <pivotField axis="axisRow" showAll="0" sortType="ascending">
      <items count="1168">
        <item m="1" x="1144"/>
        <item m="1" x="1141"/>
        <item m="1" x="1161"/>
        <item x="607"/>
        <item x="165"/>
        <item x="554"/>
        <item x="803"/>
        <item x="805"/>
        <item x="124"/>
        <item m="1" x="1045"/>
        <item m="1" x="1036"/>
        <item x="87"/>
        <item x="89"/>
        <item x="90"/>
        <item x="773"/>
        <item x="786"/>
        <item x="789"/>
        <item x="788"/>
        <item x="790"/>
        <item x="781"/>
        <item x="791"/>
        <item x="769"/>
        <item x="793"/>
        <item x="409"/>
        <item x="760"/>
        <item x="639"/>
        <item m="1" x="1051"/>
        <item x="631"/>
        <item m="1" x="1157"/>
        <item x="676"/>
        <item x="655"/>
        <item x="331"/>
        <item x="222"/>
        <item x="244"/>
        <item m="1" x="1072"/>
        <item x="64"/>
        <item m="1" x="1041"/>
        <item x="216"/>
        <item x="46"/>
        <item x="744"/>
        <item x="853"/>
        <item x="767"/>
        <item x="854"/>
        <item x="852"/>
        <item x="910"/>
        <item x="897"/>
        <item x="831"/>
        <item x="982"/>
        <item x="691"/>
        <item x="690"/>
        <item x="520"/>
        <item x="123"/>
        <item m="1" x="1046"/>
        <item m="1" x="1048"/>
        <item m="1" x="1044"/>
        <item x="660"/>
        <item x="864"/>
        <item x="363"/>
        <item x="662"/>
        <item m="1" x="1050"/>
        <item m="1" x="1034"/>
        <item m="1" x="1035"/>
        <item x="484"/>
        <item m="1" x="1047"/>
        <item x="489"/>
        <item m="1" x="1065"/>
        <item x="550"/>
        <item x="604"/>
        <item x="552"/>
        <item x="549"/>
        <item x="557"/>
        <item x="558"/>
        <item x="661"/>
        <item x="488"/>
        <item x="543"/>
        <item x="551"/>
        <item x="745"/>
        <item x="450"/>
        <item m="1" x="1049"/>
        <item x="451"/>
        <item x="616"/>
        <item x="615"/>
        <item x="617"/>
        <item x="634"/>
        <item m="1" x="1026"/>
        <item x="510"/>
        <item x="568"/>
        <item m="1" x="1028"/>
        <item x="372"/>
        <item m="1" x="1124"/>
        <item m="1" x="1040"/>
        <item x="259"/>
        <item x="342"/>
        <item x="628"/>
        <item x="349"/>
        <item m="1" x="1029"/>
        <item x="657"/>
        <item x="725"/>
        <item x="874"/>
        <item m="1" x="1042"/>
        <item x="483"/>
        <item x="421"/>
        <item x="57"/>
        <item x="27"/>
        <item m="1" x="1037"/>
        <item x="812"/>
        <item x="827"/>
        <item x="629"/>
        <item x="131"/>
        <item x="826"/>
        <item x="809"/>
        <item x="692"/>
        <item x="530"/>
        <item m="1" x="1142"/>
        <item x="774"/>
        <item x="503"/>
        <item x="619"/>
        <item x="759"/>
        <item x="106"/>
        <item x="49"/>
        <item x="23"/>
        <item x="26"/>
        <item x="645"/>
        <item x="817"/>
        <item x="816"/>
        <item x="477"/>
        <item x="137"/>
        <item x="614"/>
        <item x="273"/>
        <item x="170"/>
        <item x="392"/>
        <item x="53"/>
        <item x="677"/>
        <item x="67"/>
        <item x="694"/>
        <item x="777"/>
        <item x="771"/>
        <item x="772"/>
        <item x="394"/>
        <item x="780"/>
        <item x="944"/>
        <item x="945"/>
        <item x="787"/>
        <item x="188"/>
        <item m="1" x="1134"/>
        <item x="883"/>
        <item x="212"/>
        <item x="963"/>
        <item x="523"/>
        <item x="922"/>
        <item x="948"/>
        <item x="950"/>
        <item x="307"/>
        <item x="467"/>
        <item x="678"/>
        <item x="210"/>
        <item x="229"/>
        <item x="577"/>
        <item x="38"/>
        <item m="1" x="1063"/>
        <item x="528"/>
        <item x="990"/>
        <item x="613"/>
        <item x="606"/>
        <item x="775"/>
        <item x="403"/>
        <item x="251"/>
        <item x="66"/>
        <item x="642"/>
        <item x="92"/>
        <item x="108"/>
        <item x="659"/>
        <item x="416"/>
        <item x="344"/>
        <item x="647"/>
        <item x="949"/>
        <item x="596"/>
        <item x="208"/>
        <item x="326"/>
        <item x="680"/>
        <item x="453"/>
        <item x="470"/>
        <item x="293"/>
        <item x="901"/>
        <item x="454"/>
        <item x="665"/>
        <item x="0"/>
        <item x="186"/>
        <item x="330"/>
        <item x="156"/>
        <item x="419"/>
        <item m="1" x="1052"/>
        <item x="911"/>
        <item m="1" x="1043"/>
        <item x="696"/>
        <item x="838"/>
        <item m="1" x="1069"/>
        <item x="565"/>
        <item x="878"/>
        <item x="711"/>
        <item x="825"/>
        <item m="1" x="1039"/>
        <item x="723"/>
        <item x="764"/>
        <item x="309"/>
        <item x="505"/>
        <item x="360"/>
        <item x="399"/>
        <item x="943"/>
        <item x="779"/>
        <item m="1" x="1090"/>
        <item x="962"/>
        <item x="961"/>
        <item x="493"/>
        <item x="85"/>
        <item x="487"/>
        <item x="885"/>
        <item x="252"/>
        <item x="217"/>
        <item x="150"/>
        <item x="33"/>
        <item x="56"/>
        <item x="148"/>
        <item x="267"/>
        <item x="356"/>
        <item x="406"/>
        <item x="327"/>
        <item m="1" x="1001"/>
        <item m="1" x="1121"/>
        <item x="325"/>
        <item m="1" x="1055"/>
        <item m="1" x="1097"/>
        <item x="848"/>
        <item m="1" x="1098"/>
        <item m="1" x="1099"/>
        <item x="746"/>
        <item x="39"/>
        <item x="674"/>
        <item m="1" x="1105"/>
        <item m="1" x="1109"/>
        <item x="752"/>
        <item x="643"/>
        <item x="449"/>
        <item x="375"/>
        <item x="335"/>
        <item x="388"/>
        <item x="268"/>
        <item x="243"/>
        <item x="209"/>
        <item x="605"/>
        <item x="205"/>
        <item x="478"/>
        <item x="475"/>
        <item x="306"/>
        <item x="679"/>
        <item x="62"/>
        <item x="796"/>
        <item x="797"/>
        <item x="932"/>
        <item x="941"/>
        <item x="933"/>
        <item x="934"/>
        <item x="935"/>
        <item x="936"/>
        <item x="937"/>
        <item x="938"/>
        <item x="939"/>
        <item x="940"/>
        <item x="13"/>
        <item x="951"/>
        <item x="69"/>
        <item x="778"/>
        <item x="51"/>
        <item x="795"/>
        <item m="1" x="1143"/>
        <item x="507"/>
        <item x="720"/>
        <item m="1" x="1135"/>
        <item x="957"/>
        <item x="155"/>
        <item x="279"/>
        <item x="956"/>
        <item x="644"/>
        <item x="804"/>
        <item x="821"/>
        <item x="618"/>
        <item x="915"/>
        <item x="873"/>
        <item x="863"/>
        <item x="72"/>
        <item x="884"/>
        <item x="185"/>
        <item x="925"/>
        <item x="855"/>
        <item x="895"/>
        <item x="894"/>
        <item x="877"/>
        <item x="912"/>
        <item x="832"/>
        <item x="115"/>
        <item m="1" x="1068"/>
        <item x="476"/>
        <item x="153"/>
        <item m="1" x="1140"/>
        <item x="715"/>
        <item m="1" x="1067"/>
        <item m="1" x="1066"/>
        <item x="45"/>
        <item x="418"/>
        <item x="354"/>
        <item x="11"/>
        <item x="469"/>
        <item x="842"/>
        <item x="845"/>
        <item x="541"/>
        <item x="341"/>
        <item x="317"/>
        <item x="242"/>
        <item x="837"/>
        <item x="924"/>
        <item x="308"/>
        <item x="310"/>
        <item x="311"/>
        <item x="651"/>
        <item x="712"/>
        <item x="358"/>
        <item x="751"/>
        <item x="79"/>
        <item x="34"/>
        <item x="9"/>
        <item x="40"/>
        <item x="580"/>
        <item x="393"/>
        <item x="396"/>
        <item m="1" x="1074"/>
        <item m="1" x="1079"/>
        <item m="1" x="1075"/>
        <item m="1" x="1070"/>
        <item x="698"/>
        <item x="112"/>
        <item x="139"/>
        <item x="218"/>
        <item x="425"/>
        <item x="196"/>
        <item x="815"/>
        <item x="597"/>
        <item x="857"/>
        <item x="509"/>
        <item x="828"/>
        <item x="609"/>
        <item x="858"/>
        <item x="506"/>
        <item x="109"/>
        <item m="1" x="1078"/>
        <item m="1" x="1076"/>
        <item m="1" x="1077"/>
        <item x="215"/>
        <item x="138"/>
        <item x="234"/>
        <item x="211"/>
        <item x="515"/>
        <item x="253"/>
        <item m="1" x="1002"/>
        <item x="110"/>
        <item m="1" x="1129"/>
        <item x="301"/>
        <item x="239"/>
        <item x="270"/>
        <item x="587"/>
        <item x="303"/>
        <item x="291"/>
        <item x="292"/>
        <item x="749"/>
        <item x="194"/>
        <item x="193"/>
        <item x="407"/>
        <item m="1" x="1110"/>
        <item m="1" x="1111"/>
        <item x="316"/>
        <item x="758"/>
        <item x="365"/>
        <item x="714"/>
        <item x="898"/>
        <item x="80"/>
        <item x="490"/>
        <item x="37"/>
        <item x="802"/>
        <item x="136"/>
        <item x="290"/>
        <item x="664"/>
        <item x="438"/>
        <item x="282"/>
        <item x="870"/>
        <item x="391"/>
        <item x="583"/>
        <item x="954"/>
        <item x="86"/>
        <item x="88"/>
        <item x="91"/>
        <item x="99"/>
        <item x="100"/>
        <item x="835"/>
        <item x="964"/>
        <item x="199"/>
        <item x="570"/>
        <item x="261"/>
        <item x="892"/>
        <item x="465"/>
        <item x="512"/>
        <item x="738"/>
        <item x="71"/>
        <item x="926"/>
        <item x="966"/>
        <item x="800"/>
        <item x="59"/>
        <item m="1" x="1138"/>
        <item x="650"/>
        <item x="581"/>
        <item x="984"/>
        <item x="981"/>
        <item x="336"/>
        <item x="867"/>
        <item x="991"/>
        <item x="589"/>
        <item x="713"/>
        <item m="1" x="1133"/>
        <item m="1" x="1033"/>
        <item x="68"/>
        <item x="320"/>
        <item x="348"/>
        <item x="548"/>
        <item x="972"/>
        <item x="675"/>
        <item x="294"/>
        <item x="988"/>
        <item x="140"/>
        <item x="563"/>
        <item x="564"/>
        <item x="351"/>
        <item m="1" x="1003"/>
        <item x="384"/>
        <item x="42"/>
        <item x="700"/>
        <item x="627"/>
        <item x="753"/>
        <item x="361"/>
        <item x="521"/>
        <item x="995"/>
        <item x="70"/>
        <item x="400"/>
        <item x="518"/>
        <item x="538"/>
        <item x="337"/>
        <item x="908"/>
        <item x="859"/>
        <item x="141"/>
        <item x="280"/>
        <item x="782"/>
        <item x="50"/>
        <item x="783"/>
        <item x="717"/>
        <item x="104"/>
        <item x="102"/>
        <item x="101"/>
        <item x="105"/>
        <item x="103"/>
        <item x="630"/>
        <item x="346"/>
        <item x="378"/>
        <item x="144"/>
        <item x="575"/>
        <item x="571"/>
        <item x="572"/>
        <item x="839"/>
        <item x="175"/>
        <item m="1" x="1084"/>
        <item m="1" x="1081"/>
        <item x="841"/>
        <item x="540"/>
        <item x="413"/>
        <item x="494"/>
        <item x="197"/>
        <item x="695"/>
        <item x="389"/>
        <item x="390"/>
        <item x="843"/>
        <item x="689"/>
        <item x="754"/>
        <item x="83"/>
        <item x="184"/>
        <item x="126"/>
        <item x="412"/>
        <item x="414"/>
        <item m="1" x="1022"/>
        <item x="495"/>
        <item x="500"/>
        <item x="29"/>
        <item x="646"/>
        <item x="143"/>
        <item x="179"/>
        <item x="312"/>
        <item x="504"/>
        <item x="823"/>
        <item x="819"/>
        <item x="742"/>
        <item x="395"/>
        <item x="743"/>
        <item x="693"/>
        <item m="1" x="1056"/>
        <item x="496"/>
        <item x="182"/>
        <item x="271"/>
        <item m="1" x="1059"/>
        <item x="328"/>
        <item m="1" x="1004"/>
        <item x="756"/>
        <item x="755"/>
        <item x="417"/>
        <item x="508"/>
        <item m="1" x="1132"/>
        <item x="860"/>
        <item x="992"/>
        <item x="993"/>
        <item x="608"/>
        <item x="876"/>
        <item x="511"/>
        <item x="730"/>
        <item x="367"/>
        <item x="167"/>
        <item x="871"/>
        <item x="997"/>
        <item x="586"/>
        <item x="74"/>
        <item x="994"/>
        <item x="119"/>
        <item x="654"/>
        <item x="578"/>
        <item x="84"/>
        <item x="724"/>
        <item x="132"/>
        <item m="1" x="1092"/>
        <item x="517"/>
        <item x="561"/>
        <item x="600"/>
        <item x="77"/>
        <item x="113"/>
        <item x="411"/>
        <item x="468"/>
        <item x="685"/>
        <item x="15"/>
        <item x="868"/>
        <item x="350"/>
        <item x="125"/>
        <item x="380"/>
        <item x="158"/>
        <item x="636"/>
        <item x="154"/>
        <item x="338"/>
        <item x="736"/>
        <item x="447"/>
        <item x="387"/>
        <item m="1" x="1107"/>
        <item x="514"/>
        <item x="164"/>
        <item x="770"/>
        <item x="183"/>
        <item m="1" x="1113"/>
        <item x="286"/>
        <item m="1" x="1114"/>
        <item x="920"/>
        <item x="776"/>
        <item m="1" x="1125"/>
        <item x="681"/>
        <item x="221"/>
        <item x="128"/>
        <item x="889"/>
        <item x="576"/>
        <item x="60"/>
        <item x="829"/>
        <item m="1" x="1086"/>
        <item m="1" x="1082"/>
        <item m="1" x="1085"/>
        <item m="1" x="1083"/>
        <item m="1" x="1087"/>
        <item x="601"/>
        <item m="1" x="1130"/>
        <item x="187"/>
        <item x="653"/>
        <item x="929"/>
        <item x="240"/>
        <item x="880"/>
        <item x="130"/>
        <item x="304"/>
        <item x="315"/>
        <item x="226"/>
        <item x="472"/>
        <item x="289"/>
        <item x="904"/>
        <item x="269"/>
        <item x="652"/>
        <item x="593"/>
        <item x="536"/>
        <item x="369"/>
        <item x="260"/>
        <item x="811"/>
        <item x="909"/>
        <item x="481"/>
        <item x="748"/>
        <item m="1" x="1015"/>
        <item m="1" x="1018"/>
        <item m="1" x="1009"/>
        <item m="1" x="1016"/>
        <item m="1" x="1054"/>
        <item m="1" x="1128"/>
        <item m="1" x="1127"/>
        <item m="1" x="1163"/>
        <item m="1" x="1164"/>
        <item x="718"/>
        <item x="931"/>
        <item x="928"/>
        <item x="930"/>
        <item x="906"/>
        <item x="192"/>
        <item x="189"/>
        <item x="28"/>
        <item x="658"/>
        <item x="63"/>
        <item m="1" x="1005"/>
        <item x="224"/>
        <item x="1"/>
        <item x="2"/>
        <item x="3"/>
        <item x="542"/>
        <item x="321"/>
        <item m="1" x="1058"/>
        <item m="1" x="1061"/>
        <item x="603"/>
        <item m="1" x="1057"/>
        <item x="402"/>
        <item m="1" x="999"/>
        <item x="492"/>
        <item x="688"/>
        <item m="1" x="1062"/>
        <item x="625"/>
        <item x="668"/>
        <item x="539"/>
        <item x="254"/>
        <item x="913"/>
        <item x="93"/>
        <item x="94"/>
        <item x="95"/>
        <item x="502"/>
        <item x="757"/>
        <item x="151"/>
        <item x="146"/>
        <item x="149"/>
        <item x="147"/>
        <item x="200"/>
        <item x="673"/>
        <item x="573"/>
        <item x="847"/>
        <item x="579"/>
        <item m="1" x="1019"/>
        <item x="813"/>
        <item x="423"/>
        <item x="76"/>
        <item x="198"/>
        <item x="313"/>
        <item x="763"/>
        <item x="875"/>
        <item x="352"/>
        <item x="739"/>
        <item x="740"/>
        <item m="1" x="1117"/>
        <item x="480"/>
        <item x="255"/>
        <item x="118"/>
        <item m="1" x="1006"/>
        <item x="623"/>
        <item m="1" x="1007"/>
        <item x="323"/>
        <item m="1" x="1011"/>
        <item m="1" x="1012"/>
        <item x="322"/>
        <item x="611"/>
        <item x="473"/>
        <item x="82"/>
        <item m="1" x="1008"/>
        <item m="1" x="1014"/>
        <item m="1" x="1013"/>
        <item x="729"/>
        <item x="886"/>
        <item x="111"/>
        <item x="6"/>
        <item x="264"/>
        <item m="1" x="1010"/>
        <item x="31"/>
        <item x="432"/>
        <item x="214"/>
        <item x="747"/>
        <item x="142"/>
        <item x="697"/>
        <item x="916"/>
        <item x="801"/>
        <item x="952"/>
        <item x="953"/>
        <item x="20"/>
        <item x="955"/>
        <item x="434"/>
        <item x="278"/>
        <item x="436"/>
        <item x="437"/>
        <item x="479"/>
        <item m="1" x="1020"/>
        <item x="902"/>
        <item x="672"/>
        <item x="556"/>
        <item x="765"/>
        <item x="319"/>
        <item x="482"/>
        <item x="168"/>
        <item x="174"/>
        <item x="35"/>
        <item x="531"/>
        <item x="529"/>
        <item x="299"/>
        <item x="527"/>
        <item x="741"/>
        <item x="582"/>
        <item x="888"/>
        <item x="410"/>
        <item x="415"/>
        <item x="872"/>
        <item x="562"/>
        <item x="374"/>
        <item x="794"/>
        <item x="716"/>
        <item x="958"/>
        <item x="24"/>
        <item x="980"/>
        <item x="900"/>
        <item x="985"/>
        <item x="891"/>
        <item x="907"/>
        <item x="818"/>
        <item x="592"/>
        <item m="1" x="1064"/>
        <item x="36"/>
        <item x="408"/>
        <item x="245"/>
        <item x="172"/>
        <item x="173"/>
        <item x="276"/>
        <item x="433"/>
        <item x="626"/>
        <item x="295"/>
        <item x="288"/>
        <item x="535"/>
        <item x="808"/>
        <item x="362"/>
        <item x="25"/>
        <item x="974"/>
        <item x="275"/>
        <item x="166"/>
        <item x="621"/>
        <item x="373"/>
        <item m="1" x="1080"/>
        <item x="397"/>
        <item x="732"/>
        <item m="1" x="1137"/>
        <item x="656"/>
        <item x="699"/>
        <item x="250"/>
        <item x="474"/>
        <item x="799"/>
        <item x="534"/>
        <item x="466"/>
        <item x="180"/>
        <item x="195"/>
        <item x="190"/>
        <item x="231"/>
        <item x="228"/>
        <item x="262"/>
        <item x="919"/>
        <item x="381"/>
        <item x="219"/>
        <item x="896"/>
        <item x="905"/>
        <item x="191"/>
        <item x="430"/>
        <item x="347"/>
        <item x="302"/>
        <item x="258"/>
        <item x="683"/>
        <item x="684"/>
        <item x="81"/>
        <item x="768"/>
        <item x="329"/>
        <item m="1" x="1112"/>
        <item x="398"/>
        <item x="114"/>
        <item x="58"/>
        <item x="333"/>
        <item x="238"/>
        <item x="612"/>
        <item x="383"/>
        <item x="129"/>
        <item x="513"/>
        <item x="75"/>
        <item x="632"/>
        <item x="340"/>
        <item x="428"/>
        <item x="455"/>
        <item x="157"/>
        <item x="32"/>
        <item m="1" x="1100"/>
        <item x="47"/>
        <item x="65"/>
        <item m="1" x="1155"/>
        <item x="784"/>
        <item x="443"/>
        <item x="441"/>
        <item x="445"/>
        <item x="440"/>
        <item x="444"/>
        <item x="439"/>
        <item x="442"/>
        <item x="446"/>
        <item x="456"/>
        <item x="457"/>
        <item x="458"/>
        <item x="459"/>
        <item x="460"/>
        <item x="461"/>
        <item x="462"/>
        <item x="463"/>
        <item x="464"/>
        <item x="701"/>
        <item x="702"/>
        <item x="703"/>
        <item x="704"/>
        <item x="705"/>
        <item x="706"/>
        <item x="707"/>
        <item x="708"/>
        <item x="709"/>
        <item x="710"/>
        <item x="287"/>
        <item x="840"/>
        <item x="364"/>
        <item x="78"/>
        <item m="1" x="1104"/>
        <item m="1" x="1103"/>
        <item x="169"/>
        <item x="73"/>
        <item x="560"/>
        <item x="385"/>
        <item x="989"/>
        <item m="1" x="1021"/>
        <item x="486"/>
        <item x="61"/>
        <item x="163"/>
        <item x="986"/>
        <item x="649"/>
        <item x="719"/>
        <item x="353"/>
        <item x="903"/>
        <item m="1" x="1094"/>
        <item m="1" x="1101"/>
        <item m="1" x="1116"/>
        <item x="382"/>
        <item m="1" x="1095"/>
        <item x="798"/>
        <item x="785"/>
        <item m="1" x="1156"/>
        <item x="471"/>
        <item x="171"/>
        <item x="525"/>
        <item x="737"/>
        <item x="14"/>
        <item x="220"/>
        <item x="97"/>
        <item x="598"/>
        <item x="318"/>
        <item x="256"/>
        <item x="248"/>
        <item x="107"/>
        <item x="426"/>
        <item m="1" x="1136"/>
        <item x="610"/>
        <item x="959"/>
        <item x="927"/>
        <item x="235"/>
        <item x="923"/>
        <item x="452"/>
        <item x="285"/>
        <item x="246"/>
        <item x="861"/>
        <item x="17"/>
        <item x="996"/>
        <item x="602"/>
        <item x="585"/>
        <item x="120"/>
        <item x="116"/>
        <item x="555"/>
        <item x="633"/>
        <item x="637"/>
        <item x="824"/>
        <item x="201"/>
        <item x="921"/>
        <item x="851"/>
        <item x="968"/>
        <item x="969"/>
        <item x="970"/>
        <item x="971"/>
        <item x="975"/>
        <item x="181"/>
        <item x="862"/>
        <item x="890"/>
        <item x="967"/>
        <item x="722"/>
        <item m="1" x="1158"/>
        <item x="16"/>
        <item m="1" x="1089"/>
        <item m="1" x="1088"/>
        <item x="178"/>
        <item m="1" x="1139"/>
        <item m="1" x="1000"/>
        <item x="960"/>
        <item x="324"/>
        <item x="448"/>
        <item x="849"/>
        <item x="850"/>
        <item x="21"/>
        <item m="1" x="1165"/>
        <item x="22"/>
        <item m="1" x="1166"/>
        <item x="946"/>
        <item x="792"/>
        <item x="947"/>
        <item x="203"/>
        <item x="52"/>
        <item x="202"/>
        <item x="257"/>
        <item m="1" x="1159"/>
        <item m="1" x="1160"/>
        <item m="1" x="1162"/>
        <item x="761"/>
        <item x="899"/>
        <item x="762"/>
        <item x="135"/>
        <item x="547"/>
        <item x="537"/>
        <item x="620"/>
        <item x="386"/>
        <item x="404"/>
        <item x="485"/>
        <item m="1" x="1053"/>
        <item x="544"/>
        <item x="431"/>
        <item x="590"/>
        <item x="274"/>
        <item m="1" x="1017"/>
        <item x="727"/>
        <item x="918"/>
        <item x="422"/>
        <item x="405"/>
        <item x="979"/>
        <item x="917"/>
        <item x="339"/>
        <item x="806"/>
        <item m="1" x="1096"/>
        <item x="846"/>
        <item x="750"/>
        <item x="735"/>
        <item x="230"/>
        <item x="334"/>
        <item x="379"/>
        <item x="491"/>
        <item x="30"/>
        <item m="1" x="1032"/>
        <item x="122"/>
        <item x="161"/>
        <item x="671"/>
        <item x="160"/>
        <item x="532"/>
        <item x="343"/>
        <item x="18"/>
        <item x="12"/>
        <item x="43"/>
        <item x="5"/>
        <item x="4"/>
        <item m="1" x="1108"/>
        <item x="588"/>
        <item x="844"/>
        <item x="177"/>
        <item x="622"/>
        <item x="682"/>
        <item x="429"/>
        <item m="1" x="1118"/>
        <item m="1" x="1024"/>
        <item x="277"/>
        <item x="359"/>
        <item x="241"/>
        <item m="1" x="1023"/>
        <item m="1" x="1106"/>
        <item x="345"/>
        <item x="648"/>
        <item x="983"/>
        <item x="728"/>
        <item x="420"/>
        <item x="370"/>
        <item x="366"/>
        <item x="435"/>
        <item x="584"/>
        <item m="1" x="1131"/>
        <item m="1" x="1073"/>
        <item x="666"/>
        <item x="836"/>
        <item m="1" x="1071"/>
        <item x="973"/>
        <item x="834"/>
        <item x="526"/>
        <item m="1" x="1031"/>
        <item x="401"/>
        <item x="869"/>
        <item x="371"/>
        <item x="332"/>
        <item x="881"/>
        <item m="1" x="1038"/>
        <item m="1" x="1120"/>
        <item m="1" x="1027"/>
        <item m="1" x="1030"/>
        <item x="591"/>
        <item x="721"/>
        <item m="1" x="1025"/>
        <item x="830"/>
        <item x="127"/>
        <item x="424"/>
        <item x="524"/>
        <item x="987"/>
        <item x="227"/>
        <item x="48"/>
        <item x="574"/>
        <item x="887"/>
        <item x="41"/>
        <item x="281"/>
        <item x="638"/>
        <item x="914"/>
        <item x="856"/>
        <item x="522"/>
        <item x="134"/>
        <item x="207"/>
        <item x="19"/>
        <item x="314"/>
        <item x="283"/>
        <item x="145"/>
        <item x="566"/>
        <item x="567"/>
        <item x="670"/>
        <item x="669"/>
        <item x="206"/>
        <item x="569"/>
        <item x="133"/>
        <item x="117"/>
        <item x="265"/>
        <item x="263"/>
        <item x="734"/>
        <item m="1" x="1060"/>
        <item x="223"/>
        <item x="300"/>
        <item x="686"/>
        <item x="667"/>
        <item x="284"/>
        <item x="357"/>
        <item x="599"/>
        <item x="882"/>
        <item x="731"/>
        <item x="519"/>
        <item x="296"/>
        <item x="726"/>
        <item x="96"/>
        <item x="98"/>
        <item x="820"/>
        <item x="942"/>
        <item x="233"/>
        <item x="232"/>
        <item x="236"/>
        <item x="237"/>
        <item x="546"/>
        <item x="663"/>
        <item x="159"/>
        <item m="1" x="1122"/>
        <item x="162"/>
        <item x="807"/>
        <item x="810"/>
        <item x="977"/>
        <item x="978"/>
        <item x="976"/>
        <item x="376"/>
        <item x="44"/>
        <item x="833"/>
        <item x="641"/>
        <item m="1" x="1115"/>
        <item x="865"/>
        <item m="1" x="1102"/>
        <item x="497"/>
        <item x="498"/>
        <item x="533"/>
        <item x="499"/>
        <item x="247"/>
        <item x="213"/>
        <item x="55"/>
        <item x="204"/>
        <item x="10"/>
        <item x="7"/>
        <item x="8"/>
        <item x="272"/>
        <item m="1" x="1153"/>
        <item m="1" x="1146"/>
        <item m="1" x="1154"/>
        <item m="1" x="1147"/>
        <item m="1" x="1151"/>
        <item m="1" x="1148"/>
        <item m="1" x="1149"/>
        <item m="1" x="1150"/>
        <item m="1" x="1152"/>
        <item m="1" x="1119"/>
        <item x="501"/>
        <item m="1" x="1091"/>
        <item x="733"/>
        <item m="1" x="1093"/>
        <item x="266"/>
        <item m="1" x="1123"/>
        <item x="305"/>
        <item x="687"/>
        <item x="595"/>
        <item x="54"/>
        <item x="822"/>
        <item x="594"/>
        <item x="427"/>
        <item x="355"/>
        <item x="176"/>
        <item x="297"/>
        <item x="553"/>
        <item x="635"/>
        <item x="249"/>
        <item x="766"/>
        <item x="640"/>
        <item x="624"/>
        <item x="121"/>
        <item x="559"/>
        <item x="516"/>
        <item x="545"/>
        <item x="814"/>
        <item x="879"/>
        <item x="866"/>
        <item x="893"/>
        <item x="298"/>
        <item x="152"/>
        <item m="1" x="1145"/>
        <item x="368"/>
        <item x="225"/>
        <item x="965"/>
        <item m="1" x="1126"/>
        <item x="377"/>
        <item x="998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7"/>
  </rowFields>
  <rowItems count="1000">
    <i>
      <x v="3"/>
    </i>
    <i>
      <x v="4"/>
    </i>
    <i>
      <x v="5"/>
    </i>
    <i>
      <x v="6"/>
    </i>
    <i>
      <x v="7"/>
    </i>
    <i>
      <x v="8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7"/>
    </i>
    <i>
      <x v="29"/>
    </i>
    <i>
      <x v="30"/>
    </i>
    <i>
      <x v="31"/>
    </i>
    <i>
      <x v="32"/>
    </i>
    <i>
      <x v="33"/>
    </i>
    <i>
      <x v="35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5"/>
    </i>
    <i>
      <x v="56"/>
    </i>
    <i>
      <x v="57"/>
    </i>
    <i>
      <x v="58"/>
    </i>
    <i>
      <x v="62"/>
    </i>
    <i>
      <x v="64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9"/>
    </i>
    <i>
      <x v="80"/>
    </i>
    <i>
      <x v="81"/>
    </i>
    <i>
      <x v="82"/>
    </i>
    <i>
      <x v="83"/>
    </i>
    <i>
      <x v="85"/>
    </i>
    <i>
      <x v="86"/>
    </i>
    <i>
      <x v="88"/>
    </i>
    <i>
      <x v="91"/>
    </i>
    <i>
      <x v="92"/>
    </i>
    <i>
      <x v="93"/>
    </i>
    <i>
      <x v="94"/>
    </i>
    <i>
      <x v="96"/>
    </i>
    <i>
      <x v="97"/>
    </i>
    <i>
      <x v="98"/>
    </i>
    <i>
      <x v="100"/>
    </i>
    <i>
      <x v="101"/>
    </i>
    <i>
      <x v="102"/>
    </i>
    <i>
      <x v="103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2"/>
    </i>
    <i>
      <x v="194"/>
    </i>
    <i>
      <x v="195"/>
    </i>
    <i>
      <x v="197"/>
    </i>
    <i>
      <x v="198"/>
    </i>
    <i>
      <x v="199"/>
    </i>
    <i>
      <x v="200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9"/>
    </i>
    <i>
      <x v="232"/>
    </i>
    <i>
      <x v="235"/>
    </i>
    <i>
      <x v="236"/>
    </i>
    <i>
      <x v="237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5"/>
    </i>
    <i>
      <x v="276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1"/>
    </i>
    <i>
      <x v="302"/>
    </i>
    <i>
      <x v="304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6"/>
    </i>
    <i>
      <x v="357"/>
    </i>
    <i>
      <x v="358"/>
    </i>
    <i>
      <x v="359"/>
    </i>
    <i>
      <x v="360"/>
    </i>
    <i>
      <x v="361"/>
    </i>
    <i>
      <x v="363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9"/>
    </i>
    <i>
      <x v="510"/>
    </i>
    <i>
      <x v="511"/>
    </i>
    <i>
      <x v="513"/>
    </i>
    <i>
      <x v="515"/>
    </i>
    <i>
      <x v="516"/>
    </i>
    <i>
      <x v="517"/>
    </i>
    <i>
      <x v="518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2"/>
    </i>
    <i>
      <x v="563"/>
    </i>
    <i>
      <x v="564"/>
    </i>
    <i>
      <x v="565"/>
    </i>
    <i>
      <x v="567"/>
    </i>
    <i>
      <x v="569"/>
    </i>
    <i>
      <x v="570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84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8"/>
    </i>
    <i>
      <x v="629"/>
    </i>
    <i>
      <x v="630"/>
    </i>
    <i>
      <x v="631"/>
    </i>
    <i>
      <x v="632"/>
    </i>
    <i>
      <x v="633"/>
    </i>
    <i>
      <x v="636"/>
    </i>
    <i>
      <x v="638"/>
    </i>
    <i>
      <x v="640"/>
    </i>
    <i>
      <x v="641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4"/>
    </i>
    <i>
      <x v="675"/>
    </i>
    <i>
      <x v="676"/>
    </i>
    <i>
      <x v="678"/>
    </i>
    <i>
      <x v="680"/>
    </i>
    <i>
      <x v="683"/>
    </i>
    <i>
      <x v="684"/>
    </i>
    <i>
      <x v="685"/>
    </i>
    <i>
      <x v="686"/>
    </i>
    <i>
      <x v="690"/>
    </i>
    <i>
      <x v="691"/>
    </i>
    <i>
      <x v="692"/>
    </i>
    <i>
      <x v="693"/>
    </i>
    <i>
      <x v="694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7"/>
    </i>
    <i>
      <x v="768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6"/>
    </i>
    <i>
      <x v="817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3"/>
    </i>
    <i>
      <x v="854"/>
    </i>
    <i>
      <x v="855"/>
    </i>
    <i>
      <x v="856"/>
    </i>
    <i>
      <x v="857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70"/>
    </i>
    <i>
      <x v="872"/>
    </i>
    <i>
      <x v="873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2"/>
    </i>
    <i>
      <x v="925"/>
    </i>
    <i>
      <x v="928"/>
    </i>
    <i>
      <x v="929"/>
    </i>
    <i>
      <x v="930"/>
    </i>
    <i>
      <x v="931"/>
    </i>
    <i>
      <x v="932"/>
    </i>
    <i>
      <x v="933"/>
    </i>
    <i>
      <x v="935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8"/>
    </i>
    <i>
      <x v="959"/>
    </i>
    <i>
      <x v="960"/>
    </i>
    <i>
      <x v="961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3"/>
    </i>
    <i>
      <x v="994"/>
    </i>
    <i>
      <x v="995"/>
    </i>
    <i>
      <x v="996"/>
    </i>
    <i>
      <x v="997"/>
    </i>
    <i>
      <x v="998"/>
    </i>
    <i>
      <x v="1001"/>
    </i>
    <i>
      <x v="1002"/>
    </i>
    <i>
      <x v="1003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7"/>
    </i>
    <i>
      <x v="1018"/>
    </i>
    <i>
      <x v="1020"/>
    </i>
    <i>
      <x v="1021"/>
    </i>
    <i>
      <x v="1022"/>
    </i>
    <i>
      <x v="1024"/>
    </i>
    <i>
      <x v="1025"/>
    </i>
    <i>
      <x v="1026"/>
    </i>
    <i>
      <x v="1027"/>
    </i>
    <i>
      <x v="1028"/>
    </i>
    <i>
      <x v="1033"/>
    </i>
    <i>
      <x v="1034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4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28"/>
    </i>
    <i>
      <x v="1130"/>
    </i>
    <i>
      <x v="1132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1"/>
    </i>
    <i>
      <x v="1162"/>
    </i>
    <i>
      <x v="1163"/>
    </i>
    <i>
      <x v="1165"/>
    </i>
    <i>
      <x v="1166"/>
    </i>
    <i t="grand">
      <x/>
    </i>
  </rowItems>
  <colItems count="1">
    <i/>
  </colItems>
  <dataFields count="1">
    <dataField name="Contagem de ITEM " fld="0" subtotal="count" baseField="7" baseItem="911"/>
  </dataFields>
  <formats count="2">
    <format dxfId="38">
      <pivotArea dataOnly="0" labelOnly="1" fieldPosition="0">
        <references count="1">
          <reference field="7" count="1">
            <x v="871"/>
          </reference>
        </references>
      </pivotArea>
    </format>
    <format dxfId="37">
      <pivotArea collapsedLevelsAreSubtotals="1" fieldPosition="0">
        <references count="1">
          <reference field="7" count="1">
            <x v="527"/>
          </reference>
        </references>
      </pivotArea>
    </format>
  </formats>
  <chartFormats count="2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109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1095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099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1101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1102"/>
          </reference>
        </references>
      </pivotArea>
    </chartFormat>
    <chartFormat chart="0" format="6">
      <pivotArea type="data" outline="0" fieldPosition="0">
        <references count="2">
          <reference field="4294967294" count="1" selected="0">
            <x v="0"/>
          </reference>
          <reference field="7" count="1" selected="0">
            <x v="1104"/>
          </reference>
        </references>
      </pivotArea>
    </chartFormat>
    <chartFormat chart="0" format="7">
      <pivotArea type="data" outline="0" fieldPosition="0">
        <references count="2">
          <reference field="4294967294" count="1" selected="0">
            <x v="0"/>
          </reference>
          <reference field="7" count="1" selected="0">
            <x v="1105"/>
          </reference>
        </references>
      </pivotArea>
    </chartFormat>
    <chartFormat chart="0" format="8">
      <pivotArea type="data" outline="0" fieldPosition="0">
        <references count="2">
          <reference field="4294967294" count="1" selected="0">
            <x v="0"/>
          </reference>
          <reference field="7" count="1" selected="0">
            <x v="1106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0"/>
          </reference>
          <reference field="7" count="1" selected="0">
            <x v="1107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0"/>
          </reference>
          <reference field="7" count="1" selected="0">
            <x v="1108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0"/>
          </reference>
          <reference field="7" count="1" selected="0">
            <x v="1109"/>
          </reference>
        </references>
      </pivotArea>
    </chartFormat>
    <chartFormat chart="0" format="12">
      <pivotArea type="data" outline="0" fieldPosition="0">
        <references count="2">
          <reference field="4294967294" count="1" selected="0">
            <x v="0"/>
          </reference>
          <reference field="7" count="1" selected="0">
            <x v="1110"/>
          </reference>
        </references>
      </pivotArea>
    </chartFormat>
    <chartFormat chart="0" format="13">
      <pivotArea type="data" outline="0" fieldPosition="0">
        <references count="2">
          <reference field="4294967294" count="1" selected="0">
            <x v="0"/>
          </reference>
          <reference field="7" count="1" selected="0">
            <x v="1111"/>
          </reference>
        </references>
      </pivotArea>
    </chartFormat>
    <chartFormat chart="0" format="14">
      <pivotArea type="data" outline="0" fieldPosition="0">
        <references count="2">
          <reference field="4294967294" count="1" selected="0">
            <x v="0"/>
          </reference>
          <reference field="7" count="1" selected="0">
            <x v="1118"/>
          </reference>
        </references>
      </pivotArea>
    </chartFormat>
    <chartFormat chart="0" format="15">
      <pivotArea type="data" outline="0" fieldPosition="0">
        <references count="2">
          <reference field="4294967294" count="1" selected="0">
            <x v="0"/>
          </reference>
          <reference field="7" count="1" selected="0">
            <x v="1119"/>
          </reference>
        </references>
      </pivotArea>
    </chartFormat>
    <chartFormat chart="0" format="16">
      <pivotArea type="data" outline="0" fieldPosition="0">
        <references count="2">
          <reference field="4294967294" count="1" selected="0">
            <x v="0"/>
          </reference>
          <reference field="7" count="1" selected="0">
            <x v="1120"/>
          </reference>
        </references>
      </pivotArea>
    </chartFormat>
    <chartFormat chart="0" format="17">
      <pivotArea type="data" outline="0" fieldPosition="0">
        <references count="2">
          <reference field="4294967294" count="1" selected="0">
            <x v="0"/>
          </reference>
          <reference field="7" count="1" selected="0">
            <x v="1121"/>
          </reference>
        </references>
      </pivotArea>
    </chartFormat>
    <chartFormat chart="0" format="18">
      <pivotArea type="data" outline="0" fieldPosition="0">
        <references count="2">
          <reference field="4294967294" count="1" selected="0">
            <x v="0"/>
          </reference>
          <reference field="7" count="1" selected="0">
            <x v="1122"/>
          </reference>
        </references>
      </pivotArea>
    </chartFormat>
    <chartFormat chart="0" format="19">
      <pivotArea type="data" outline="0" fieldPosition="0">
        <references count="2">
          <reference field="4294967294" count="1" selected="0">
            <x v="0"/>
          </reference>
          <reference field="7" count="1" selected="0">
            <x v="1123"/>
          </reference>
        </references>
      </pivotArea>
    </chartFormat>
    <chartFormat chart="0" format="20">
      <pivotArea type="data" outline="0" fieldPosition="0">
        <references count="2">
          <reference field="4294967294" count="1" selected="0">
            <x v="0"/>
          </reference>
          <reference field="7" count="1" selected="0">
            <x v="1124"/>
          </reference>
        </references>
      </pivotArea>
    </chartFormat>
    <chartFormat chart="0" format="21">
      <pivotArea type="data" outline="0" fieldPosition="0">
        <references count="2">
          <reference field="4294967294" count="1" selected="0">
            <x v="0"/>
          </reference>
          <reference field="7" count="1" selected="0">
            <x v="1125"/>
          </reference>
        </references>
      </pivotArea>
    </chartFormat>
    <chartFormat chart="0" format="22">
      <pivotArea type="data" outline="0" fieldPosition="0">
        <references count="2">
          <reference field="4294967294" count="1" selected="0">
            <x v="0"/>
          </reference>
          <reference field="7" count="1" selected="0">
            <x v="1126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E0F74E3-C051-4A29-BFA8-2F71AFD6BCFD}" name="Inventory_List_Table3" displayName="Inventory_List_Table3" ref="A1:P1547" totalsRowCount="1" headerRowDxfId="42" dataDxfId="41" totalsRowDxfId="40" totalsRowBorderDxfId="39">
  <autoFilter ref="A1:P1546" xr:uid="{84A55087-352D-4BC7-B780-DACFAF75DE65}">
    <filterColumn colId="13">
      <customFilters>
        <customFilter operator="notEqual" val=" "/>
      </customFilters>
    </filterColumn>
  </autoFilter>
  <sortState xmlns:xlrd2="http://schemas.microsoft.com/office/spreadsheetml/2017/richdata2" ref="A2:P1546">
    <sortCondition ref="B1:B1546"/>
  </sortState>
  <tableColumns count="16">
    <tableColumn id="2" xr3:uid="{2C4CF617-A82F-4648-8755-C6387188A6FA}" name="ITEM " dataDxfId="31" totalsRowDxfId="30"/>
    <tableColumn id="1" xr3:uid="{78AEE62B-A8F1-409F-80E1-8F0757E40F0F}" name="IS " dataDxfId="29" totalsRowDxfId="28"/>
    <tableColumn id="13" xr3:uid="{5E536FD2-BB23-4A19-80E7-23F0B9015D5F}" name="CLASSE DO ATIVO" dataDxfId="27" totalsRowDxfId="26"/>
    <tableColumn id="15" xr3:uid="{E768D54A-8F38-4691-B2E7-F7A40C74B327}" name="LOCALIZAÇÃO DE ORIGEM" dataDxfId="25" totalsRowDxfId="24"/>
    <tableColumn id="11" xr3:uid="{4AC53584-1C22-4057-A1F2-D339EB34B663}" name="PLACA" dataDxfId="23" totalsRowDxfId="22"/>
    <tableColumn id="10" xr3:uid="{FD7F68B4-3D4B-4570-B3B1-F7131A1C4A0E}" name="CHASSI" dataDxfId="21" totalsRowDxfId="20"/>
    <tableColumn id="9" xr3:uid="{BDE2624A-6CF2-49D9-B2DA-9019273BAC3C}" name="Cor" dataDxfId="19" totalsRowDxfId="18"/>
    <tableColumn id="4" xr3:uid="{4DA400E5-2B74-4748-8C31-01D0E7AB4DA2}" name="DESCRIÇÃO DO ITEM" dataDxfId="17" totalsRowDxfId="16"/>
    <tableColumn id="7" xr3:uid="{7F96F444-4A74-4FB4-ADE7-503D8C6A6CF6}" name="OBSERVAÇÕES EXTRAS" dataDxfId="15" totalsRowDxfId="14"/>
    <tableColumn id="5" xr3:uid="{4B493085-35D0-4FFA-B1B8-BEFADC0C97CB}" name="NOTA FISCAL" dataDxfId="13" totalsRowDxfId="12"/>
    <tableColumn id="3" xr3:uid="{301893F6-2B8C-4252-B51B-EEB779319885}" name="FORNECEDOR/CLIENTE" dataDxfId="11" totalsRowDxfId="10"/>
    <tableColumn id="6" xr3:uid="{082738CC-FB78-4FC7-B8BA-FABA8F0A7A6A}" name="CNPJ" dataDxfId="9" totalsRowDxfId="8"/>
    <tableColumn id="12" xr3:uid="{FF695DDE-F25A-4AFC-B69A-AE2B9B704BB7}" name="DATA EMISSÃO" dataDxfId="7" totalsRowDxfId="6"/>
    <tableColumn id="8" xr3:uid="{98C4A541-2C79-4572-808F-74E38B5EB605}" name="VALOR" totalsRowFunction="sum" dataDxfId="5" totalsRowDxfId="4"/>
    <tableColumn id="17" xr3:uid="{8B552817-D434-4578-9654-8BFEFAEACB3C}" name="ADESIVADO" dataDxfId="3" totalsRowDxfId="2"/>
    <tableColumn id="19" xr3:uid="{DDFAAA82-B2A6-48FB-8D6C-41602C55773D}" name="FAZENDA" dataDxfId="1" totalsRowDxfId="0"/>
  </tableColumns>
  <tableStyleInfo name="TableStyleLight15" showFirstColumn="1" showLastColumn="1" showRowStripes="0" showColumnStripes="0"/>
</table>
</file>

<file path=xl/theme/theme1.xml><?xml version="1.0" encoding="utf-8"?>
<a:theme xmlns:a="http://schemas.openxmlformats.org/drawingml/2006/main" name="modelo original da planilha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Business Templates Font Set">
      <a:majorFont>
        <a:latin typeface="Franklin Gothic Book"/>
        <a:ea typeface=""/>
        <a:cs typeface=""/>
      </a:majorFont>
      <a:minorFont>
        <a:latin typeface="Franklin Gothic Book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satMod val="105000"/>
                <a:lumMod val="110000"/>
              </a:schemeClr>
            </a:gs>
            <a:gs pos="50000">
              <a:schemeClr val="phClr">
                <a:tint val="73000"/>
                <a:satMod val="103000"/>
                <a:lumMod val="105000"/>
              </a:schemeClr>
            </a:gs>
            <a:gs pos="100000">
              <a:schemeClr val="phClr">
                <a:tint val="81000"/>
                <a:satMod val="109000"/>
                <a:lumMod val="105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8000"/>
                <a:satMod val="120000"/>
                <a:lumMod val="99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140D1-1DDF-4C34-9FC9-A548878193AD}">
  <sheetPr>
    <pageSetUpPr fitToPage="1"/>
  </sheetPr>
  <dimension ref="A1:FS1548"/>
  <sheetViews>
    <sheetView tabSelected="1" topLeftCell="M1" zoomScale="80" zoomScaleNormal="80" zoomScaleSheetLayoutView="10" zoomScalePageLayoutView="10" workbookViewId="0">
      <pane ySplit="1" topLeftCell="A2" activePane="bottomLeft" state="frozen"/>
      <selection pane="bottomLeft" activeCell="R2" sqref="R2"/>
    </sheetView>
  </sheetViews>
  <sheetFormatPr defaultColWidth="23.44140625" defaultRowHeight="15.75" customHeight="1" x14ac:dyDescent="0.3"/>
  <cols>
    <col min="1" max="1" width="9.6640625" style="78" bestFit="1" customWidth="1"/>
    <col min="2" max="2" width="8.44140625" style="78" bestFit="1" customWidth="1"/>
    <col min="3" max="3" width="23.5546875" style="80" bestFit="1" customWidth="1"/>
    <col min="4" max="4" width="25" style="80" bestFit="1" customWidth="1"/>
    <col min="5" max="5" width="8.44140625" style="78" bestFit="1" customWidth="1"/>
    <col min="6" max="6" width="22.21875" style="80" bestFit="1" customWidth="1"/>
    <col min="7" max="7" width="22.21875" style="80" customWidth="1"/>
    <col min="8" max="8" width="68.77734375" style="80" bestFit="1" customWidth="1"/>
    <col min="9" max="9" width="62" style="122" bestFit="1" customWidth="1"/>
    <col min="10" max="10" width="18.88671875" style="187" bestFit="1" customWidth="1"/>
    <col min="11" max="11" width="61.33203125" style="80" bestFit="1" customWidth="1"/>
    <col min="12" max="12" width="18.88671875" style="78" bestFit="1" customWidth="1"/>
    <col min="13" max="13" width="15.6640625" style="78" bestFit="1" customWidth="1"/>
    <col min="14" max="14" width="17.88671875" style="103" bestFit="1" customWidth="1"/>
    <col min="15" max="15" width="25" style="78" bestFit="1" customWidth="1"/>
    <col min="16" max="16" width="17.88671875" style="81" bestFit="1" customWidth="1"/>
    <col min="17" max="17" width="21.109375" style="78" bestFit="1" customWidth="1"/>
    <col min="18" max="18" width="23.44140625" style="187"/>
    <col min="19" max="16384" width="23.44140625" style="78"/>
  </cols>
  <sheetData>
    <row r="1" spans="1:18" s="111" customFormat="1" ht="23.25" customHeight="1" thickBot="1" x14ac:dyDescent="0.35">
      <c r="A1" s="104" t="s">
        <v>0</v>
      </c>
      <c r="B1" s="105" t="s">
        <v>1</v>
      </c>
      <c r="C1" s="107" t="s">
        <v>3</v>
      </c>
      <c r="D1" s="107" t="s">
        <v>4517</v>
      </c>
      <c r="E1" s="107" t="s">
        <v>4</v>
      </c>
      <c r="F1" s="107" t="s">
        <v>5</v>
      </c>
      <c r="G1" s="107" t="s">
        <v>4613</v>
      </c>
      <c r="H1" s="107" t="s">
        <v>6</v>
      </c>
      <c r="I1" s="107" t="s">
        <v>4461</v>
      </c>
      <c r="J1" s="106" t="s">
        <v>2</v>
      </c>
      <c r="K1" s="108" t="s">
        <v>7</v>
      </c>
      <c r="L1" s="107" t="s">
        <v>8</v>
      </c>
      <c r="M1" s="118" t="s">
        <v>9</v>
      </c>
      <c r="N1" s="109" t="s">
        <v>10</v>
      </c>
      <c r="O1" s="110" t="s">
        <v>11</v>
      </c>
      <c r="P1" s="111" t="s">
        <v>12</v>
      </c>
      <c r="Q1" s="163" t="s">
        <v>4721</v>
      </c>
      <c r="R1" s="190" t="s">
        <v>5041</v>
      </c>
    </row>
    <row r="2" spans="1:18" s="58" customFormat="1" ht="15.75" customHeight="1" x14ac:dyDescent="0.3">
      <c r="A2" s="5" t="s">
        <v>13</v>
      </c>
      <c r="B2" s="9" t="s">
        <v>14</v>
      </c>
      <c r="C2" s="11" t="s">
        <v>4487</v>
      </c>
      <c r="D2" t="s">
        <v>4492</v>
      </c>
      <c r="E2" t="s">
        <v>15</v>
      </c>
      <c r="F2" t="s">
        <v>16</v>
      </c>
      <c r="G2" t="s">
        <v>4623</v>
      </c>
      <c r="H2" s="3" t="s">
        <v>17</v>
      </c>
      <c r="I2"/>
      <c r="J2" s="166">
        <v>1511285</v>
      </c>
      <c r="K2" s="11" t="s">
        <v>18</v>
      </c>
      <c r="L2" s="11"/>
      <c r="M2" s="13">
        <v>40410</v>
      </c>
      <c r="N2" s="86">
        <v>449715</v>
      </c>
      <c r="O2" s="28" t="s">
        <v>20</v>
      </c>
      <c r="P2" s="1"/>
      <c r="Q2" s="141"/>
      <c r="R2" s="191">
        <v>449715</v>
      </c>
    </row>
    <row r="3" spans="1:18" s="58" customFormat="1" ht="15.75" customHeight="1" x14ac:dyDescent="0.3">
      <c r="A3" s="5" t="s">
        <v>21</v>
      </c>
      <c r="B3" s="9" t="s">
        <v>22</v>
      </c>
      <c r="C3" s="11" t="s">
        <v>4488</v>
      </c>
      <c r="D3" t="s">
        <v>5040</v>
      </c>
      <c r="E3" s="3"/>
      <c r="F3" s="15"/>
      <c r="G3" s="15"/>
      <c r="H3" s="3" t="s">
        <v>24</v>
      </c>
      <c r="I3"/>
      <c r="J3" s="165"/>
      <c r="K3" s="11"/>
      <c r="L3" s="11"/>
      <c r="M3" s="13">
        <v>40550</v>
      </c>
      <c r="N3" s="86">
        <v>5160000</v>
      </c>
      <c r="O3" s="25"/>
      <c r="P3" s="1"/>
      <c r="Q3" s="141"/>
      <c r="R3" s="191">
        <v>5160000</v>
      </c>
    </row>
    <row r="4" spans="1:18" s="58" customFormat="1" ht="15.75" customHeight="1" x14ac:dyDescent="0.3">
      <c r="A4" s="5" t="s">
        <v>25</v>
      </c>
      <c r="B4" s="9" t="s">
        <v>26</v>
      </c>
      <c r="C4" s="11" t="s">
        <v>4488</v>
      </c>
      <c r="D4" t="s">
        <v>5040</v>
      </c>
      <c r="E4" s="3"/>
      <c r="F4" s="15"/>
      <c r="G4" s="15"/>
      <c r="H4" s="3" t="s">
        <v>27</v>
      </c>
      <c r="I4"/>
      <c r="J4" s="165"/>
      <c r="K4" s="11"/>
      <c r="L4" s="11"/>
      <c r="M4" s="13">
        <v>40550</v>
      </c>
      <c r="N4" s="86">
        <v>1000000</v>
      </c>
      <c r="O4" s="25"/>
      <c r="P4" s="1"/>
      <c r="Q4" s="141"/>
      <c r="R4" s="191">
        <v>1000000</v>
      </c>
    </row>
    <row r="5" spans="1:18" s="58" customFormat="1" ht="15.75" customHeight="1" x14ac:dyDescent="0.3">
      <c r="A5" s="5" t="s">
        <v>28</v>
      </c>
      <c r="B5" s="9" t="s">
        <v>29</v>
      </c>
      <c r="C5" s="11" t="s">
        <v>4488</v>
      </c>
      <c r="D5" t="s">
        <v>5040</v>
      </c>
      <c r="E5" s="3"/>
      <c r="F5" s="15"/>
      <c r="G5" s="15"/>
      <c r="H5" s="3" t="s">
        <v>30</v>
      </c>
      <c r="I5"/>
      <c r="J5" s="165"/>
      <c r="K5" s="11"/>
      <c r="L5" s="11"/>
      <c r="M5" s="13">
        <v>40550</v>
      </c>
      <c r="N5" s="86">
        <v>300000</v>
      </c>
      <c r="O5" s="25"/>
      <c r="P5" s="1"/>
      <c r="Q5" s="141"/>
      <c r="R5" s="191">
        <v>300000</v>
      </c>
    </row>
    <row r="6" spans="1:18" s="58" customFormat="1" ht="15.75" customHeight="1" x14ac:dyDescent="0.3">
      <c r="A6" s="5" t="s">
        <v>31</v>
      </c>
      <c r="B6" s="9" t="s">
        <v>32</v>
      </c>
      <c r="C6" s="11" t="s">
        <v>4488</v>
      </c>
      <c r="D6" t="s">
        <v>5040</v>
      </c>
      <c r="E6" s="3"/>
      <c r="F6" s="15"/>
      <c r="G6" s="15"/>
      <c r="H6" s="3" t="s">
        <v>33</v>
      </c>
      <c r="I6"/>
      <c r="J6" s="165"/>
      <c r="K6" s="11"/>
      <c r="L6" s="11"/>
      <c r="M6" s="13">
        <v>40557</v>
      </c>
      <c r="N6" s="86">
        <v>50000</v>
      </c>
      <c r="O6" s="25"/>
      <c r="P6" s="1"/>
      <c r="Q6" s="141"/>
      <c r="R6" s="191">
        <v>50000</v>
      </c>
    </row>
    <row r="7" spans="1:18" s="58" customFormat="1" ht="15.75" customHeight="1" x14ac:dyDescent="0.3">
      <c r="A7" s="5" t="s">
        <v>34</v>
      </c>
      <c r="B7" s="9" t="s">
        <v>35</v>
      </c>
      <c r="C7" s="11" t="s">
        <v>4488</v>
      </c>
      <c r="D7" t="s">
        <v>5040</v>
      </c>
      <c r="E7" s="132"/>
      <c r="F7" s="15"/>
      <c r="G7" s="15"/>
      <c r="H7" s="3" t="s">
        <v>36</v>
      </c>
      <c r="I7"/>
      <c r="J7" s="165"/>
      <c r="K7" s="11"/>
      <c r="L7" s="11"/>
      <c r="M7" s="13">
        <v>40557</v>
      </c>
      <c r="N7" s="86">
        <v>80000</v>
      </c>
      <c r="O7" s="25"/>
      <c r="P7" s="1"/>
      <c r="Q7" s="141"/>
      <c r="R7" s="191">
        <v>80000</v>
      </c>
    </row>
    <row r="8" spans="1:18" s="58" customFormat="1" ht="15.75" customHeight="1" x14ac:dyDescent="0.3">
      <c r="A8" s="5" t="s">
        <v>37</v>
      </c>
      <c r="B8" s="9" t="s">
        <v>38</v>
      </c>
      <c r="C8" s="11" t="s">
        <v>4489</v>
      </c>
      <c r="D8" t="s">
        <v>4493</v>
      </c>
      <c r="E8" s="3"/>
      <c r="F8" s="15"/>
      <c r="G8" s="15"/>
      <c r="H8" s="3" t="s">
        <v>40</v>
      </c>
      <c r="I8"/>
      <c r="J8" s="165" t="s">
        <v>39</v>
      </c>
      <c r="K8" s="27"/>
      <c r="L8" s="27"/>
      <c r="M8" s="13">
        <v>40602</v>
      </c>
      <c r="N8" s="86">
        <v>3843</v>
      </c>
      <c r="O8" s="28"/>
      <c r="P8" s="1"/>
      <c r="Q8" s="141"/>
      <c r="R8" s="191">
        <v>3843</v>
      </c>
    </row>
    <row r="9" spans="1:18" s="58" customFormat="1" ht="15.75" customHeight="1" x14ac:dyDescent="0.3">
      <c r="A9" s="5" t="s">
        <v>41</v>
      </c>
      <c r="B9" s="9" t="s">
        <v>42</v>
      </c>
      <c r="C9" s="11" t="s">
        <v>4490</v>
      </c>
      <c r="D9" t="s">
        <v>4494</v>
      </c>
      <c r="E9"/>
      <c r="F9">
        <v>275020382</v>
      </c>
      <c r="G9" t="s">
        <v>4643</v>
      </c>
      <c r="H9" s="3" t="s">
        <v>43</v>
      </c>
      <c r="I9"/>
      <c r="J9" s="165" t="s">
        <v>39</v>
      </c>
      <c r="K9" s="27"/>
      <c r="L9" s="27"/>
      <c r="M9" s="13">
        <v>40628</v>
      </c>
      <c r="N9" s="86">
        <v>20000</v>
      </c>
      <c r="O9" s="28" t="s">
        <v>20</v>
      </c>
      <c r="P9" s="1" t="s">
        <v>44</v>
      </c>
      <c r="Q9" s="141"/>
      <c r="R9" s="191">
        <v>20000</v>
      </c>
    </row>
    <row r="10" spans="1:18" s="58" customFormat="1" ht="15.75" customHeight="1" x14ac:dyDescent="0.3">
      <c r="A10" s="5" t="s">
        <v>45</v>
      </c>
      <c r="B10" s="9" t="s">
        <v>46</v>
      </c>
      <c r="C10" s="11" t="s">
        <v>4490</v>
      </c>
      <c r="D10" t="s">
        <v>4495</v>
      </c>
      <c r="E10" s="160"/>
      <c r="F10" t="s">
        <v>47</v>
      </c>
      <c r="G10" t="s">
        <v>4616</v>
      </c>
      <c r="H10" s="3" t="s">
        <v>48</v>
      </c>
      <c r="I10"/>
      <c r="J10" s="165" t="s">
        <v>39</v>
      </c>
      <c r="K10" s="27"/>
      <c r="L10" s="27"/>
      <c r="M10" s="13">
        <v>40633</v>
      </c>
      <c r="N10" s="86">
        <v>104000</v>
      </c>
      <c r="O10" s="28" t="s">
        <v>20</v>
      </c>
      <c r="P10" s="1" t="s">
        <v>44</v>
      </c>
      <c r="Q10" s="141"/>
      <c r="R10" s="191">
        <v>104000</v>
      </c>
    </row>
    <row r="11" spans="1:18" s="1" customFormat="1" ht="15.75" customHeight="1" x14ac:dyDescent="0.3">
      <c r="A11" s="5" t="s">
        <v>49</v>
      </c>
      <c r="B11" s="9" t="s">
        <v>50</v>
      </c>
      <c r="C11" s="11" t="s">
        <v>4490</v>
      </c>
      <c r="D11" t="s">
        <v>4495</v>
      </c>
      <c r="E11"/>
      <c r="F11"/>
      <c r="G11" t="s">
        <v>4618</v>
      </c>
      <c r="H11" s="3" t="s">
        <v>51</v>
      </c>
      <c r="I11"/>
      <c r="J11" s="165" t="s">
        <v>39</v>
      </c>
      <c r="K11" s="27"/>
      <c r="L11" s="27"/>
      <c r="M11" s="13">
        <v>40634</v>
      </c>
      <c r="N11" s="86">
        <v>17110</v>
      </c>
      <c r="O11" s="28" t="s">
        <v>20</v>
      </c>
      <c r="P11" s="1" t="s">
        <v>44</v>
      </c>
      <c r="Q11" s="141"/>
      <c r="R11" s="191">
        <v>17110</v>
      </c>
    </row>
    <row r="12" spans="1:18" s="58" customFormat="1" ht="15.75" customHeight="1" x14ac:dyDescent="0.3">
      <c r="A12" s="5" t="s">
        <v>52</v>
      </c>
      <c r="B12" s="9" t="s">
        <v>53</v>
      </c>
      <c r="C12" s="11" t="s">
        <v>4490</v>
      </c>
      <c r="D12" t="s">
        <v>4495</v>
      </c>
      <c r="E12" s="160"/>
      <c r="F12" t="s">
        <v>54</v>
      </c>
      <c r="G12" t="s">
        <v>4557</v>
      </c>
      <c r="H12" s="3" t="s">
        <v>55</v>
      </c>
      <c r="I12"/>
      <c r="J12" s="165" t="s">
        <v>39</v>
      </c>
      <c r="K12" s="27"/>
      <c r="L12" s="27"/>
      <c r="M12" s="13">
        <v>40681</v>
      </c>
      <c r="N12" s="86">
        <v>120000</v>
      </c>
      <c r="O12" s="28" t="s">
        <v>20</v>
      </c>
      <c r="P12" s="1"/>
      <c r="Q12" s="141"/>
      <c r="R12" s="191">
        <v>120000</v>
      </c>
    </row>
    <row r="13" spans="1:18" s="58" customFormat="1" ht="16.899999999999999" customHeight="1" x14ac:dyDescent="0.3">
      <c r="A13" s="5" t="s">
        <v>56</v>
      </c>
      <c r="B13" s="9" t="s">
        <v>57</v>
      </c>
      <c r="C13" s="11" t="s">
        <v>4490</v>
      </c>
      <c r="D13" t="s">
        <v>4494</v>
      </c>
      <c r="E13" s="3"/>
      <c r="F13" s="15"/>
      <c r="G13" s="15"/>
      <c r="H13" s="3" t="s">
        <v>51</v>
      </c>
      <c r="I13"/>
      <c r="J13" s="165" t="s">
        <v>39</v>
      </c>
      <c r="K13" s="27"/>
      <c r="L13" s="27"/>
      <c r="M13" s="13">
        <v>40696</v>
      </c>
      <c r="N13" s="87">
        <v>7000</v>
      </c>
      <c r="O13" s="28"/>
      <c r="P13" s="1"/>
      <c r="Q13" s="141"/>
      <c r="R13" s="192">
        <v>7000</v>
      </c>
    </row>
    <row r="14" spans="1:18" s="1" customFormat="1" ht="15.75" customHeight="1" x14ac:dyDescent="0.3">
      <c r="A14" s="5" t="s">
        <v>58</v>
      </c>
      <c r="B14" s="9" t="s">
        <v>59</v>
      </c>
      <c r="C14" s="11" t="s">
        <v>4489</v>
      </c>
      <c r="D14" t="s">
        <v>4495</v>
      </c>
      <c r="E14" s="3"/>
      <c r="F14" s="15"/>
      <c r="G14" s="15"/>
      <c r="H14" s="3" t="s">
        <v>60</v>
      </c>
      <c r="I14"/>
      <c r="J14" s="165" t="s">
        <v>39</v>
      </c>
      <c r="K14" s="27"/>
      <c r="L14" s="27"/>
      <c r="M14" s="13">
        <v>40737</v>
      </c>
      <c r="N14" s="86">
        <v>12931</v>
      </c>
      <c r="O14" s="28"/>
      <c r="Q14" s="141"/>
      <c r="R14" s="191">
        <v>12931</v>
      </c>
    </row>
    <row r="15" spans="1:18" s="1" customFormat="1" ht="15.75" customHeight="1" x14ac:dyDescent="0.3">
      <c r="A15" s="5" t="s">
        <v>61</v>
      </c>
      <c r="B15" s="9" t="s">
        <v>62</v>
      </c>
      <c r="C15" s="11" t="s">
        <v>4488</v>
      </c>
      <c r="D15" t="s">
        <v>5040</v>
      </c>
      <c r="E15" s="3"/>
      <c r="F15" s="15"/>
      <c r="G15" s="15"/>
      <c r="H15" s="3" t="s">
        <v>63</v>
      </c>
      <c r="I15"/>
      <c r="J15" s="165"/>
      <c r="K15" s="11"/>
      <c r="L15" s="11"/>
      <c r="M15" s="13">
        <v>40737</v>
      </c>
      <c r="N15" s="86">
        <v>38650.5</v>
      </c>
      <c r="O15" s="25"/>
      <c r="Q15" s="141"/>
      <c r="R15" s="191" t="s">
        <v>4722</v>
      </c>
    </row>
    <row r="16" spans="1:18" s="1" customFormat="1" ht="15" customHeight="1" x14ac:dyDescent="0.3">
      <c r="A16" s="131" t="s">
        <v>64</v>
      </c>
      <c r="B16" s="9" t="s">
        <v>64</v>
      </c>
      <c r="C16" s="11" t="s">
        <v>4488</v>
      </c>
      <c r="D16" t="s">
        <v>4495</v>
      </c>
      <c r="E16"/>
      <c r="F16" t="s">
        <v>4674</v>
      </c>
      <c r="G16"/>
      <c r="H16" s="3" t="s">
        <v>65</v>
      </c>
      <c r="I16"/>
      <c r="J16" s="165"/>
      <c r="K16" s="11"/>
      <c r="L16" s="11"/>
      <c r="M16" s="13">
        <v>40781</v>
      </c>
      <c r="N16" s="86">
        <v>2897000</v>
      </c>
      <c r="O16" s="25"/>
      <c r="P16" s="1" t="s">
        <v>66</v>
      </c>
      <c r="Q16" s="141"/>
      <c r="R16" s="191">
        <v>2897000</v>
      </c>
    </row>
    <row r="17" spans="1:18" s="1" customFormat="1" ht="15.75" customHeight="1" x14ac:dyDescent="0.3">
      <c r="A17" s="5" t="s">
        <v>67</v>
      </c>
      <c r="B17" s="9" t="s">
        <v>68</v>
      </c>
      <c r="C17" s="11" t="s">
        <v>4489</v>
      </c>
      <c r="D17" t="s">
        <v>4495</v>
      </c>
      <c r="E17"/>
      <c r="F17"/>
      <c r="G17" t="s">
        <v>4626</v>
      </c>
      <c r="H17" s="3" t="s">
        <v>69</v>
      </c>
      <c r="I17"/>
      <c r="J17" s="165" t="s">
        <v>39</v>
      </c>
      <c r="K17" s="27"/>
      <c r="L17" s="27"/>
      <c r="M17" s="13">
        <v>40798</v>
      </c>
      <c r="N17" s="88">
        <v>18000</v>
      </c>
      <c r="O17" s="28" t="s">
        <v>20</v>
      </c>
      <c r="P17" s="1" t="s">
        <v>44</v>
      </c>
      <c r="Q17" s="141"/>
      <c r="R17" s="193">
        <v>18000</v>
      </c>
    </row>
    <row r="18" spans="1:18" s="1" customFormat="1" ht="15.75" customHeight="1" x14ac:dyDescent="0.3">
      <c r="A18" s="5" t="s">
        <v>70</v>
      </c>
      <c r="B18" s="9" t="s">
        <v>71</v>
      </c>
      <c r="C18" s="11" t="s">
        <v>4518</v>
      </c>
      <c r="D18" t="s">
        <v>4495</v>
      </c>
      <c r="E18"/>
      <c r="F18"/>
      <c r="G18" t="s">
        <v>4654</v>
      </c>
      <c r="H18" s="3" t="s">
        <v>72</v>
      </c>
      <c r="I18"/>
      <c r="J18" s="165" t="s">
        <v>39</v>
      </c>
      <c r="K18" s="27"/>
      <c r="L18" s="27"/>
      <c r="M18" s="13">
        <v>40823</v>
      </c>
      <c r="N18" s="86">
        <v>10000</v>
      </c>
      <c r="O18" s="28"/>
      <c r="Q18" s="141"/>
      <c r="R18" s="191">
        <v>10000</v>
      </c>
    </row>
    <row r="19" spans="1:18" s="1" customFormat="1" ht="15.75" customHeight="1" x14ac:dyDescent="0.3">
      <c r="A19" s="16" t="s">
        <v>73</v>
      </c>
      <c r="B19" s="16" t="s">
        <v>73</v>
      </c>
      <c r="C19" s="11" t="s">
        <v>4488</v>
      </c>
      <c r="D19" t="s">
        <v>4495</v>
      </c>
      <c r="E19" s="3"/>
      <c r="F19" s="15"/>
      <c r="G19" s="15"/>
      <c r="H19" s="19" t="s">
        <v>74</v>
      </c>
      <c r="I19" s="160"/>
      <c r="J19" s="165"/>
      <c r="K19" s="18"/>
      <c r="L19" s="11"/>
      <c r="M19" s="21">
        <v>45565</v>
      </c>
      <c r="N19" s="89">
        <v>221814</v>
      </c>
      <c r="O19" s="25"/>
      <c r="P19" s="22"/>
      <c r="Q19" s="141"/>
      <c r="R19" s="194">
        <v>221814</v>
      </c>
    </row>
    <row r="20" spans="1:18" s="1" customFormat="1" ht="15.75" customHeight="1" x14ac:dyDescent="0.3">
      <c r="A20" s="5" t="s">
        <v>75</v>
      </c>
      <c r="B20" s="9" t="s">
        <v>76</v>
      </c>
      <c r="C20" s="11" t="s">
        <v>4490</v>
      </c>
      <c r="D20" t="s">
        <v>4493</v>
      </c>
      <c r="E20"/>
      <c r="F20"/>
      <c r="G20" t="s">
        <v>4642</v>
      </c>
      <c r="H20" s="3" t="s">
        <v>77</v>
      </c>
      <c r="I20"/>
      <c r="J20" s="165" t="s">
        <v>39</v>
      </c>
      <c r="K20" s="27"/>
      <c r="L20" s="27"/>
      <c r="M20" s="13">
        <v>40895</v>
      </c>
      <c r="N20" s="86">
        <v>10000</v>
      </c>
      <c r="O20" s="28" t="s">
        <v>20</v>
      </c>
      <c r="P20" s="1" t="s">
        <v>78</v>
      </c>
      <c r="Q20" s="141"/>
      <c r="R20" s="191">
        <v>10000</v>
      </c>
    </row>
    <row r="21" spans="1:18" s="1" customFormat="1" ht="15.75" customHeight="1" x14ac:dyDescent="0.3">
      <c r="A21" s="5" t="s">
        <v>79</v>
      </c>
      <c r="B21" s="9" t="s">
        <v>80</v>
      </c>
      <c r="C21" s="11" t="s">
        <v>4488</v>
      </c>
      <c r="D21" t="s">
        <v>5040</v>
      </c>
      <c r="E21" s="3"/>
      <c r="F21" s="15"/>
      <c r="G21" s="15"/>
      <c r="H21" s="3" t="s">
        <v>81</v>
      </c>
      <c r="I21"/>
      <c r="J21" s="165"/>
      <c r="K21" s="11"/>
      <c r="L21" s="11"/>
      <c r="M21" s="13">
        <v>0</v>
      </c>
      <c r="N21" s="86">
        <v>2160000</v>
      </c>
      <c r="O21" s="25"/>
      <c r="Q21" s="141"/>
      <c r="R21" s="191">
        <v>2160000</v>
      </c>
    </row>
    <row r="22" spans="1:18" s="1" customFormat="1" ht="15.75" customHeight="1" x14ac:dyDescent="0.3">
      <c r="A22" s="5" t="s">
        <v>82</v>
      </c>
      <c r="B22" s="9" t="s">
        <v>83</v>
      </c>
      <c r="C22" s="11" t="s">
        <v>4518</v>
      </c>
      <c r="D22" t="s">
        <v>4495</v>
      </c>
      <c r="E22" s="3"/>
      <c r="F22" s="15"/>
      <c r="G22" s="15"/>
      <c r="H22" s="3" t="s">
        <v>84</v>
      </c>
      <c r="I22"/>
      <c r="J22" s="165" t="s">
        <v>39</v>
      </c>
      <c r="K22" s="27"/>
      <c r="L22" s="27"/>
      <c r="M22" s="13">
        <v>40953</v>
      </c>
      <c r="N22" s="90">
        <v>25000</v>
      </c>
      <c r="O22" s="28" t="s">
        <v>20</v>
      </c>
      <c r="Q22" s="141"/>
      <c r="R22" s="193">
        <v>25000</v>
      </c>
    </row>
    <row r="23" spans="1:18" s="1" customFormat="1" ht="15.75" customHeight="1" x14ac:dyDescent="0.3">
      <c r="A23" s="5" t="s">
        <v>85</v>
      </c>
      <c r="B23" s="9" t="s">
        <v>86</v>
      </c>
      <c r="C23" s="11" t="s">
        <v>4489</v>
      </c>
      <c r="D23" t="s">
        <v>4493</v>
      </c>
      <c r="E23" s="3"/>
      <c r="F23" s="15"/>
      <c r="G23" s="15"/>
      <c r="H23" s="3" t="s">
        <v>87</v>
      </c>
      <c r="I23"/>
      <c r="J23" s="165" t="s">
        <v>39</v>
      </c>
      <c r="K23" s="27"/>
      <c r="L23" s="27"/>
      <c r="M23" s="13">
        <v>40960</v>
      </c>
      <c r="N23" s="86">
        <v>8900</v>
      </c>
      <c r="O23" s="28"/>
      <c r="Q23" s="141"/>
      <c r="R23" s="191">
        <v>8900</v>
      </c>
    </row>
    <row r="24" spans="1:18" s="1" customFormat="1" ht="15.75" customHeight="1" x14ac:dyDescent="0.3">
      <c r="A24" s="5" t="s">
        <v>88</v>
      </c>
      <c r="B24" s="9" t="s">
        <v>89</v>
      </c>
      <c r="C24" s="11" t="s">
        <v>4488</v>
      </c>
      <c r="D24" t="s">
        <v>4492</v>
      </c>
      <c r="E24" s="3"/>
      <c r="F24" s="15"/>
      <c r="G24" s="15"/>
      <c r="H24" s="3" t="s">
        <v>90</v>
      </c>
      <c r="I24"/>
      <c r="J24" s="165"/>
      <c r="K24" s="11"/>
      <c r="L24" s="11"/>
      <c r="M24" s="13">
        <v>45565</v>
      </c>
      <c r="N24" s="86">
        <v>2826000</v>
      </c>
      <c r="O24" s="25"/>
      <c r="P24" s="1" t="s">
        <v>91</v>
      </c>
      <c r="Q24" s="141"/>
      <c r="R24" s="191">
        <v>2826000</v>
      </c>
    </row>
    <row r="25" spans="1:18" s="1" customFormat="1" ht="15.75" customHeight="1" x14ac:dyDescent="0.3">
      <c r="A25" s="5" t="s">
        <v>92</v>
      </c>
      <c r="B25" s="9" t="s">
        <v>93</v>
      </c>
      <c r="C25" s="11" t="s">
        <v>4488</v>
      </c>
      <c r="D25" t="s">
        <v>4492</v>
      </c>
      <c r="E25" s="3"/>
      <c r="F25" s="15"/>
      <c r="G25" s="15"/>
      <c r="H25" s="3" t="s">
        <v>94</v>
      </c>
      <c r="I25"/>
      <c r="J25" s="165"/>
      <c r="K25" s="11"/>
      <c r="L25" s="11"/>
      <c r="M25" s="13">
        <v>41008</v>
      </c>
      <c r="N25" s="86">
        <v>5250000</v>
      </c>
      <c r="O25" s="25"/>
      <c r="P25" s="1" t="s">
        <v>91</v>
      </c>
      <c r="Q25" s="141"/>
      <c r="R25" s="191">
        <v>5250000</v>
      </c>
    </row>
    <row r="26" spans="1:18" s="1" customFormat="1" ht="15.75" customHeight="1" x14ac:dyDescent="0.3">
      <c r="A26" s="5" t="s">
        <v>95</v>
      </c>
      <c r="B26" s="9" t="s">
        <v>96</v>
      </c>
      <c r="C26" s="11" t="s">
        <v>4490</v>
      </c>
      <c r="D26" t="s">
        <v>4494</v>
      </c>
      <c r="E26" s="160"/>
      <c r="F26" t="s">
        <v>97</v>
      </c>
      <c r="G26" t="s">
        <v>4629</v>
      </c>
      <c r="H26" s="3" t="s">
        <v>98</v>
      </c>
      <c r="I26"/>
      <c r="J26" s="165" t="s">
        <v>39</v>
      </c>
      <c r="K26" s="27"/>
      <c r="L26" s="27"/>
      <c r="M26" s="13">
        <v>41008</v>
      </c>
      <c r="N26" s="86">
        <v>75000</v>
      </c>
      <c r="O26" s="28" t="s">
        <v>20</v>
      </c>
      <c r="P26" s="1" t="s">
        <v>78</v>
      </c>
      <c r="Q26" s="141"/>
      <c r="R26" s="191">
        <v>75000</v>
      </c>
    </row>
    <row r="27" spans="1:18" s="1" customFormat="1" ht="15.75" customHeight="1" x14ac:dyDescent="0.3">
      <c r="A27" s="5" t="s">
        <v>99</v>
      </c>
      <c r="B27" s="9" t="s">
        <v>100</v>
      </c>
      <c r="C27" s="11" t="s">
        <v>4490</v>
      </c>
      <c r="D27" t="s">
        <v>4494</v>
      </c>
      <c r="E27"/>
      <c r="F27" t="s">
        <v>101</v>
      </c>
      <c r="G27" t="s">
        <v>4629</v>
      </c>
      <c r="H27" s="3" t="s">
        <v>98</v>
      </c>
      <c r="I27"/>
      <c r="J27" s="165" t="s">
        <v>39</v>
      </c>
      <c r="K27" s="27"/>
      <c r="L27" s="27"/>
      <c r="M27" s="13">
        <v>41008</v>
      </c>
      <c r="N27" s="90">
        <v>50000</v>
      </c>
      <c r="O27" s="28" t="s">
        <v>20</v>
      </c>
      <c r="P27" s="1" t="s">
        <v>44</v>
      </c>
      <c r="Q27" s="141"/>
      <c r="R27" s="193">
        <v>50000</v>
      </c>
    </row>
    <row r="28" spans="1:18" s="1" customFormat="1" ht="15.75" customHeight="1" x14ac:dyDescent="0.3">
      <c r="A28" s="59" t="s">
        <v>102</v>
      </c>
      <c r="B28" s="9" t="s">
        <v>102</v>
      </c>
      <c r="C28" s="11" t="s">
        <v>4520</v>
      </c>
      <c r="D28" t="s">
        <v>4496</v>
      </c>
      <c r="E28" s="3"/>
      <c r="F28" s="15"/>
      <c r="G28" s="15"/>
      <c r="H28" s="3" t="s">
        <v>103</v>
      </c>
      <c r="I28"/>
      <c r="J28" s="165">
        <v>2718</v>
      </c>
      <c r="K28" s="11" t="s">
        <v>104</v>
      </c>
      <c r="L28" s="11" t="s">
        <v>105</v>
      </c>
      <c r="M28" s="29">
        <v>45883</v>
      </c>
      <c r="N28" s="86">
        <v>1131</v>
      </c>
      <c r="O28" s="28"/>
      <c r="P28" s="1" t="s">
        <v>106</v>
      </c>
      <c r="Q28" s="141"/>
      <c r="R28" s="191">
        <v>1131</v>
      </c>
    </row>
    <row r="29" spans="1:18" s="1" customFormat="1" ht="15.75" customHeight="1" x14ac:dyDescent="0.3">
      <c r="A29" s="9" t="s">
        <v>107</v>
      </c>
      <c r="B29" s="9" t="s">
        <v>107</v>
      </c>
      <c r="C29" s="11" t="s">
        <v>4489</v>
      </c>
      <c r="D29" t="s">
        <v>4492</v>
      </c>
      <c r="E29" s="3"/>
      <c r="F29" s="15"/>
      <c r="G29" s="15"/>
      <c r="H29" s="3" t="s">
        <v>108</v>
      </c>
      <c r="I29" t="s">
        <v>4531</v>
      </c>
      <c r="J29" s="165">
        <v>604</v>
      </c>
      <c r="K29" s="11" t="s">
        <v>109</v>
      </c>
      <c r="L29" s="11" t="s">
        <v>110</v>
      </c>
      <c r="M29" s="29">
        <v>45894</v>
      </c>
      <c r="N29" s="86">
        <v>164532.54999999999</v>
      </c>
      <c r="O29" s="28"/>
      <c r="P29" s="1" t="s">
        <v>91</v>
      </c>
      <c r="Q29" s="141"/>
      <c r="R29" s="191" t="s">
        <v>4723</v>
      </c>
    </row>
    <row r="30" spans="1:18" s="1" customFormat="1" ht="15.75" customHeight="1" x14ac:dyDescent="0.3">
      <c r="A30" s="5" t="s">
        <v>111</v>
      </c>
      <c r="B30" s="9" t="s">
        <v>112</v>
      </c>
      <c r="C30" s="11" t="s">
        <v>4519</v>
      </c>
      <c r="D30" t="s">
        <v>4495</v>
      </c>
      <c r="E30" s="3"/>
      <c r="F30" s="15"/>
      <c r="G30" s="15"/>
      <c r="H30" s="3" t="s">
        <v>113</v>
      </c>
      <c r="I30"/>
      <c r="J30" s="165" t="s">
        <v>39</v>
      </c>
      <c r="K30" s="27"/>
      <c r="L30" s="27"/>
      <c r="M30" s="13">
        <v>41019</v>
      </c>
      <c r="N30" s="90">
        <v>2165</v>
      </c>
      <c r="O30" s="28" t="s">
        <v>20</v>
      </c>
      <c r="Q30" s="141"/>
      <c r="R30" s="193">
        <v>2165</v>
      </c>
    </row>
    <row r="31" spans="1:18" s="23" customFormat="1" ht="15.75" customHeight="1" x14ac:dyDescent="0.3">
      <c r="A31" s="5" t="s">
        <v>114</v>
      </c>
      <c r="B31" s="10" t="s">
        <v>115</v>
      </c>
      <c r="C31" s="11" t="s">
        <v>4489</v>
      </c>
      <c r="D31" t="s">
        <v>4495</v>
      </c>
      <c r="E31" s="160"/>
      <c r="F31"/>
      <c r="G31"/>
      <c r="H31" s="11" t="s">
        <v>116</v>
      </c>
      <c r="I31"/>
      <c r="J31" s="165" t="s">
        <v>39</v>
      </c>
      <c r="K31" s="27"/>
      <c r="L31" s="27"/>
      <c r="M31" s="13">
        <v>41026</v>
      </c>
      <c r="N31" s="90">
        <v>100000</v>
      </c>
      <c r="O31" s="28" t="s">
        <v>20</v>
      </c>
      <c r="Q31" s="141"/>
      <c r="R31" s="193">
        <v>100000</v>
      </c>
    </row>
    <row r="32" spans="1:18" s="1" customFormat="1" ht="15.75" customHeight="1" x14ac:dyDescent="0.3">
      <c r="A32" s="5" t="s">
        <v>117</v>
      </c>
      <c r="B32" s="9" t="s">
        <v>118</v>
      </c>
      <c r="C32" s="11" t="s">
        <v>4518</v>
      </c>
      <c r="D32" t="s">
        <v>4495</v>
      </c>
      <c r="E32" s="3"/>
      <c r="F32" s="15"/>
      <c r="G32" s="15"/>
      <c r="H32" s="3" t="s">
        <v>119</v>
      </c>
      <c r="I32"/>
      <c r="J32" s="165" t="s">
        <v>39</v>
      </c>
      <c r="K32" s="27"/>
      <c r="L32" s="27"/>
      <c r="M32" s="13">
        <v>41082</v>
      </c>
      <c r="N32" s="90">
        <v>2296.44</v>
      </c>
      <c r="O32" s="28"/>
      <c r="Q32" s="141"/>
      <c r="R32" s="193" t="s">
        <v>4724</v>
      </c>
    </row>
    <row r="33" spans="1:18" s="1" customFormat="1" ht="15.75" customHeight="1" x14ac:dyDescent="0.3">
      <c r="A33" s="5" t="s">
        <v>120</v>
      </c>
      <c r="B33" s="9" t="s">
        <v>121</v>
      </c>
      <c r="C33" s="11" t="s">
        <v>4519</v>
      </c>
      <c r="D33" t="s">
        <v>4497</v>
      </c>
      <c r="E33" s="3"/>
      <c r="F33" s="15"/>
      <c r="G33" s="15"/>
      <c r="H33" s="3" t="s">
        <v>122</v>
      </c>
      <c r="I33"/>
      <c r="J33" s="166">
        <v>29698</v>
      </c>
      <c r="K33" s="3" t="s">
        <v>123</v>
      </c>
      <c r="L33" s="3" t="s">
        <v>124</v>
      </c>
      <c r="M33" s="29">
        <v>45985</v>
      </c>
      <c r="N33" s="86">
        <v>3000</v>
      </c>
      <c r="O33" s="28"/>
      <c r="Q33" s="141"/>
      <c r="R33" s="191">
        <v>3000</v>
      </c>
    </row>
    <row r="34" spans="1:18" s="1" customFormat="1" ht="15.75" customHeight="1" x14ac:dyDescent="0.3">
      <c r="A34" s="5" t="s">
        <v>125</v>
      </c>
      <c r="B34" s="9" t="s">
        <v>126</v>
      </c>
      <c r="C34" s="11" t="s">
        <v>4490</v>
      </c>
      <c r="D34" t="s">
        <v>4495</v>
      </c>
      <c r="E34"/>
      <c r="F34"/>
      <c r="G34" t="s">
        <v>4643</v>
      </c>
      <c r="H34" s="3" t="s">
        <v>127</v>
      </c>
      <c r="I34"/>
      <c r="J34" s="165" t="s">
        <v>39</v>
      </c>
      <c r="K34" s="27"/>
      <c r="L34" s="27"/>
      <c r="M34" s="13">
        <v>41156</v>
      </c>
      <c r="N34" s="90">
        <v>7500</v>
      </c>
      <c r="O34" s="28"/>
      <c r="Q34" s="141"/>
      <c r="R34" s="193">
        <v>7500</v>
      </c>
    </row>
    <row r="35" spans="1:18" s="1" customFormat="1" ht="15.75" customHeight="1" x14ac:dyDescent="0.3">
      <c r="A35" s="5" t="s">
        <v>128</v>
      </c>
      <c r="B35" s="9" t="s">
        <v>129</v>
      </c>
      <c r="C35" s="11" t="s">
        <v>4518</v>
      </c>
      <c r="D35" t="s">
        <v>4493</v>
      </c>
      <c r="E35" s="3"/>
      <c r="F35" s="15"/>
      <c r="G35" s="15"/>
      <c r="H35" s="3" t="s">
        <v>130</v>
      </c>
      <c r="I35"/>
      <c r="J35" s="165" t="s">
        <v>39</v>
      </c>
      <c r="K35" s="27"/>
      <c r="L35" s="27"/>
      <c r="M35" s="13">
        <v>41160</v>
      </c>
      <c r="N35" s="90">
        <v>3450</v>
      </c>
      <c r="O35" s="28"/>
      <c r="Q35" s="141"/>
      <c r="R35" s="193">
        <v>3450</v>
      </c>
    </row>
    <row r="36" spans="1:18" s="24" customFormat="1" ht="15.75" customHeight="1" x14ac:dyDescent="0.3">
      <c r="A36" s="6" t="s">
        <v>131</v>
      </c>
      <c r="B36" s="16" t="s">
        <v>132</v>
      </c>
      <c r="C36" s="18" t="s">
        <v>4490</v>
      </c>
      <c r="D36" t="s">
        <v>4493</v>
      </c>
      <c r="E36"/>
      <c r="F36"/>
      <c r="G36" t="s">
        <v>4623</v>
      </c>
      <c r="H36" s="19" t="s">
        <v>133</v>
      </c>
      <c r="I36"/>
      <c r="J36" s="165" t="s">
        <v>39</v>
      </c>
      <c r="K36" s="27"/>
      <c r="L36" s="27"/>
      <c r="M36" s="21">
        <v>41173</v>
      </c>
      <c r="N36" s="91">
        <v>5000</v>
      </c>
      <c r="O36" s="25"/>
      <c r="Q36" s="141"/>
      <c r="R36" s="195">
        <v>5000</v>
      </c>
    </row>
    <row r="37" spans="1:18" s="1" customFormat="1" ht="15.75" customHeight="1" x14ac:dyDescent="0.3">
      <c r="A37" s="5" t="s">
        <v>134</v>
      </c>
      <c r="B37" s="131" t="s">
        <v>135</v>
      </c>
      <c r="C37" s="142" t="s">
        <v>4489</v>
      </c>
      <c r="D37" t="s">
        <v>4495</v>
      </c>
      <c r="E37" s="132"/>
      <c r="F37" s="145"/>
      <c r="G37" s="145"/>
      <c r="H37" s="132" t="s">
        <v>87</v>
      </c>
      <c r="I37"/>
      <c r="J37" s="167" t="s">
        <v>39</v>
      </c>
      <c r="K37" s="161"/>
      <c r="L37" s="161"/>
      <c r="M37" s="162">
        <v>41184</v>
      </c>
      <c r="N37" s="151">
        <v>9485</v>
      </c>
      <c r="O37" s="153"/>
      <c r="Q37" s="141"/>
      <c r="R37" s="193">
        <v>9485</v>
      </c>
    </row>
    <row r="38" spans="1:18" s="1" customFormat="1" ht="15.75" customHeight="1" x14ac:dyDescent="0.3">
      <c r="A38" s="5" t="s">
        <v>136</v>
      </c>
      <c r="B38" s="9" t="s">
        <v>137</v>
      </c>
      <c r="C38" s="11" t="s">
        <v>4490</v>
      </c>
      <c r="D38" t="s">
        <v>4495</v>
      </c>
      <c r="E38"/>
      <c r="F38"/>
      <c r="G38" t="s">
        <v>4557</v>
      </c>
      <c r="H38" s="3" t="s">
        <v>138</v>
      </c>
      <c r="I38"/>
      <c r="J38" s="165" t="s">
        <v>39</v>
      </c>
      <c r="K38" s="27"/>
      <c r="L38" s="27"/>
      <c r="M38" s="13">
        <v>41190</v>
      </c>
      <c r="N38" s="90">
        <v>2000</v>
      </c>
      <c r="O38" s="28" t="s">
        <v>20</v>
      </c>
      <c r="P38" s="1" t="s">
        <v>66</v>
      </c>
      <c r="Q38" s="141"/>
      <c r="R38" s="193">
        <v>2000</v>
      </c>
    </row>
    <row r="39" spans="1:18" s="1" customFormat="1" ht="15.75" customHeight="1" x14ac:dyDescent="0.3">
      <c r="A39" s="5" t="s">
        <v>139</v>
      </c>
      <c r="B39" s="9" t="s">
        <v>140</v>
      </c>
      <c r="C39" s="11" t="s">
        <v>4490</v>
      </c>
      <c r="D39" t="s">
        <v>4494</v>
      </c>
      <c r="E39"/>
      <c r="F39"/>
      <c r="G39" t="s">
        <v>4642</v>
      </c>
      <c r="H39" s="3" t="s">
        <v>141</v>
      </c>
      <c r="I39"/>
      <c r="J39" s="165" t="s">
        <v>39</v>
      </c>
      <c r="K39" s="27"/>
      <c r="L39" s="27"/>
      <c r="M39" s="13">
        <v>41214</v>
      </c>
      <c r="N39" s="151">
        <v>50000</v>
      </c>
      <c r="O39" s="28"/>
      <c r="Q39" s="141"/>
      <c r="R39" s="193">
        <v>50000</v>
      </c>
    </row>
    <row r="40" spans="1:18" s="1" customFormat="1" ht="15.75" customHeight="1" x14ac:dyDescent="0.3">
      <c r="A40" s="5" t="s">
        <v>142</v>
      </c>
      <c r="B40" s="131" t="s">
        <v>143</v>
      </c>
      <c r="C40" s="11" t="s">
        <v>4489</v>
      </c>
      <c r="D40" t="s">
        <v>4495</v>
      </c>
      <c r="E40" s="132"/>
      <c r="F40" s="145"/>
      <c r="G40" s="145"/>
      <c r="H40" s="3" t="s">
        <v>144</v>
      </c>
      <c r="I40"/>
      <c r="J40" s="165" t="s">
        <v>39</v>
      </c>
      <c r="K40" s="27"/>
      <c r="L40" s="27"/>
      <c r="M40" s="13">
        <v>41302</v>
      </c>
      <c r="N40" s="90">
        <v>4000</v>
      </c>
      <c r="O40" s="28" t="s">
        <v>20</v>
      </c>
      <c r="P40" s="1" t="s">
        <v>66</v>
      </c>
      <c r="Q40" s="141"/>
      <c r="R40" s="193">
        <v>4000</v>
      </c>
    </row>
    <row r="41" spans="1:18" s="1" customFormat="1" ht="15.75" customHeight="1" x14ac:dyDescent="0.3">
      <c r="A41" s="5" t="s">
        <v>145</v>
      </c>
      <c r="B41" s="9" t="s">
        <v>146</v>
      </c>
      <c r="C41" s="11" t="s">
        <v>4489</v>
      </c>
      <c r="D41" t="s">
        <v>4495</v>
      </c>
      <c r="E41"/>
      <c r="F41"/>
      <c r="G41" t="s">
        <v>4642</v>
      </c>
      <c r="H41" s="3" t="s">
        <v>147</v>
      </c>
      <c r="I41"/>
      <c r="J41" s="165" t="s">
        <v>39</v>
      </c>
      <c r="K41" s="27"/>
      <c r="L41" s="27"/>
      <c r="M41" s="13">
        <v>41324</v>
      </c>
      <c r="N41" s="90">
        <v>623.28</v>
      </c>
      <c r="O41" s="28" t="s">
        <v>20</v>
      </c>
      <c r="P41" s="1" t="s">
        <v>91</v>
      </c>
      <c r="Q41" s="141"/>
      <c r="R41" s="193" t="s">
        <v>4725</v>
      </c>
    </row>
    <row r="42" spans="1:18" s="1" customFormat="1" ht="15.75" customHeight="1" x14ac:dyDescent="0.3">
      <c r="A42" s="5" t="s">
        <v>148</v>
      </c>
      <c r="B42" s="9" t="s">
        <v>149</v>
      </c>
      <c r="C42" s="11" t="s">
        <v>4489</v>
      </c>
      <c r="D42" t="s">
        <v>4495</v>
      </c>
      <c r="E42"/>
      <c r="F42"/>
      <c r="G42" t="s">
        <v>4642</v>
      </c>
      <c r="H42" s="3" t="s">
        <v>150</v>
      </c>
      <c r="I42"/>
      <c r="J42" s="165" t="s">
        <v>39</v>
      </c>
      <c r="K42" s="27"/>
      <c r="L42" s="27"/>
      <c r="M42" s="13">
        <v>41324</v>
      </c>
      <c r="N42" s="90">
        <v>1779.08</v>
      </c>
      <c r="O42" s="28"/>
      <c r="Q42" s="141"/>
      <c r="R42" s="193" t="s">
        <v>4726</v>
      </c>
    </row>
    <row r="43" spans="1:18" s="1" customFormat="1" ht="15.75" customHeight="1" x14ac:dyDescent="0.3">
      <c r="A43" s="5" t="s">
        <v>151</v>
      </c>
      <c r="B43" s="9" t="s">
        <v>152</v>
      </c>
      <c r="C43" s="11" t="s">
        <v>4489</v>
      </c>
      <c r="D43" t="s">
        <v>4493</v>
      </c>
      <c r="E43"/>
      <c r="F43"/>
      <c r="G43" t="s">
        <v>4626</v>
      </c>
      <c r="H43" s="3" t="s">
        <v>153</v>
      </c>
      <c r="I43"/>
      <c r="J43" s="165" t="s">
        <v>39</v>
      </c>
      <c r="K43" s="27"/>
      <c r="L43" s="27"/>
      <c r="M43" s="13">
        <v>41327</v>
      </c>
      <c r="N43" s="88">
        <v>6000</v>
      </c>
      <c r="O43" s="28"/>
      <c r="Q43" s="141"/>
      <c r="R43" s="193">
        <v>6000</v>
      </c>
    </row>
    <row r="44" spans="1:18" s="1" customFormat="1" ht="15.75" customHeight="1" x14ac:dyDescent="0.3">
      <c r="A44" s="5" t="s">
        <v>154</v>
      </c>
      <c r="B44" s="9" t="s">
        <v>155</v>
      </c>
      <c r="C44" s="11" t="s">
        <v>4489</v>
      </c>
      <c r="D44" t="s">
        <v>4493</v>
      </c>
      <c r="E44"/>
      <c r="F44"/>
      <c r="G44" t="s">
        <v>4643</v>
      </c>
      <c r="H44" s="3" t="s">
        <v>153</v>
      </c>
      <c r="I44"/>
      <c r="J44" s="165" t="s">
        <v>39</v>
      </c>
      <c r="K44" s="27"/>
      <c r="L44" s="27"/>
      <c r="M44" s="13">
        <v>41327</v>
      </c>
      <c r="N44" s="86">
        <v>6000</v>
      </c>
      <c r="O44" s="28"/>
      <c r="Q44" s="141"/>
      <c r="R44" s="191">
        <v>6000</v>
      </c>
    </row>
    <row r="45" spans="1:18" s="1" customFormat="1" ht="15.75" customHeight="1" x14ac:dyDescent="0.3">
      <c r="A45" s="5" t="s">
        <v>156</v>
      </c>
      <c r="B45" s="9" t="s">
        <v>157</v>
      </c>
      <c r="C45" s="11" t="s">
        <v>4490</v>
      </c>
      <c r="D45" t="s">
        <v>4494</v>
      </c>
      <c r="E45" s="160"/>
      <c r="F45">
        <v>15955113</v>
      </c>
      <c r="G45" t="s">
        <v>4557</v>
      </c>
      <c r="H45" s="3" t="s">
        <v>158</v>
      </c>
      <c r="I45"/>
      <c r="J45" s="165">
        <v>154536</v>
      </c>
      <c r="K45" s="11" t="s">
        <v>19</v>
      </c>
      <c r="L45" s="11"/>
      <c r="M45" s="13">
        <v>41339</v>
      </c>
      <c r="N45" s="86">
        <v>123500</v>
      </c>
      <c r="O45" s="73" t="s">
        <v>20</v>
      </c>
      <c r="P45" s="1" t="s">
        <v>44</v>
      </c>
      <c r="Q45" s="141"/>
      <c r="R45" s="191">
        <v>123500</v>
      </c>
    </row>
    <row r="46" spans="1:18" s="1" customFormat="1" ht="15.75" customHeight="1" x14ac:dyDescent="0.3">
      <c r="A46" s="5" t="s">
        <v>159</v>
      </c>
      <c r="B46" s="131" t="s">
        <v>160</v>
      </c>
      <c r="C46" s="11" t="s">
        <v>4490</v>
      </c>
      <c r="D46" t="s">
        <v>4494</v>
      </c>
      <c r="E46" s="132"/>
      <c r="F46" s="145"/>
      <c r="G46" s="145"/>
      <c r="H46" s="3" t="s">
        <v>161</v>
      </c>
      <c r="I46"/>
      <c r="J46" s="165" t="s">
        <v>39</v>
      </c>
      <c r="K46" s="27"/>
      <c r="L46" s="27"/>
      <c r="M46" s="13">
        <v>41365</v>
      </c>
      <c r="N46" s="86">
        <v>20000</v>
      </c>
      <c r="O46" s="28"/>
      <c r="Q46" s="141"/>
      <c r="R46" s="191">
        <v>20000</v>
      </c>
    </row>
    <row r="47" spans="1:18" s="1" customFormat="1" ht="15.75" customHeight="1" x14ac:dyDescent="0.3">
      <c r="A47" s="5" t="s">
        <v>162</v>
      </c>
      <c r="B47" s="9" t="s">
        <v>163</v>
      </c>
      <c r="C47" s="11" t="s">
        <v>4490</v>
      </c>
      <c r="D47" t="s">
        <v>4492</v>
      </c>
      <c r="E47"/>
      <c r="F47">
        <v>3074</v>
      </c>
      <c r="G47" t="s">
        <v>4642</v>
      </c>
      <c r="H47" s="3" t="s">
        <v>164</v>
      </c>
      <c r="I47"/>
      <c r="J47" s="165" t="s">
        <v>39</v>
      </c>
      <c r="K47" s="27"/>
      <c r="L47" s="27"/>
      <c r="M47" s="13">
        <v>41472</v>
      </c>
      <c r="N47" s="86">
        <v>50000</v>
      </c>
      <c r="O47" s="28" t="s">
        <v>20</v>
      </c>
      <c r="P47" s="1" t="s">
        <v>91</v>
      </c>
      <c r="Q47" s="141"/>
      <c r="R47" s="191">
        <v>50000</v>
      </c>
    </row>
    <row r="48" spans="1:18" s="1" customFormat="1" ht="15.75" customHeight="1" x14ac:dyDescent="0.3">
      <c r="A48" s="5" t="s">
        <v>165</v>
      </c>
      <c r="B48" s="9" t="s">
        <v>166</v>
      </c>
      <c r="C48" s="11" t="s">
        <v>4489</v>
      </c>
      <c r="D48" t="s">
        <v>4493</v>
      </c>
      <c r="E48"/>
      <c r="F48"/>
      <c r="G48" t="s">
        <v>4675</v>
      </c>
      <c r="H48" s="3" t="s">
        <v>167</v>
      </c>
      <c r="I48"/>
      <c r="J48" s="165" t="s">
        <v>39</v>
      </c>
      <c r="K48" s="27"/>
      <c r="L48" s="27"/>
      <c r="M48" s="13">
        <v>41474</v>
      </c>
      <c r="N48" s="86">
        <v>15000</v>
      </c>
      <c r="O48" s="28" t="s">
        <v>168</v>
      </c>
      <c r="Q48" s="141"/>
      <c r="R48" s="191">
        <v>15000</v>
      </c>
    </row>
    <row r="49" spans="1:18" s="1" customFormat="1" ht="15.75" customHeight="1" x14ac:dyDescent="0.3">
      <c r="A49" s="5" t="s">
        <v>169</v>
      </c>
      <c r="B49" s="131" t="s">
        <v>170</v>
      </c>
      <c r="C49" s="11" t="s">
        <v>4488</v>
      </c>
      <c r="D49" t="s">
        <v>5040</v>
      </c>
      <c r="E49" s="132"/>
      <c r="F49" s="145"/>
      <c r="G49" s="145"/>
      <c r="H49" s="3" t="s">
        <v>171</v>
      </c>
      <c r="I49"/>
      <c r="J49" s="165"/>
      <c r="K49" s="11"/>
      <c r="L49" s="11"/>
      <c r="M49" s="13">
        <v>41508</v>
      </c>
      <c r="N49" s="86">
        <v>383000</v>
      </c>
      <c r="O49" s="25"/>
      <c r="Q49" s="141"/>
      <c r="R49" s="191">
        <v>383000</v>
      </c>
    </row>
    <row r="50" spans="1:18" s="1" customFormat="1" ht="15.75" customHeight="1" x14ac:dyDescent="0.3">
      <c r="A50" s="5" t="s">
        <v>172</v>
      </c>
      <c r="B50" s="9" t="s">
        <v>173</v>
      </c>
      <c r="C50" s="11" t="s">
        <v>4490</v>
      </c>
      <c r="D50" t="s">
        <v>4495</v>
      </c>
      <c r="E50"/>
      <c r="F50" t="s">
        <v>174</v>
      </c>
      <c r="G50" t="s">
        <v>4643</v>
      </c>
      <c r="H50" s="3" t="s">
        <v>175</v>
      </c>
      <c r="I50"/>
      <c r="J50" s="165">
        <v>41585</v>
      </c>
      <c r="K50" s="11" t="s">
        <v>176</v>
      </c>
      <c r="L50" s="11"/>
      <c r="M50" s="13">
        <v>41513</v>
      </c>
      <c r="N50" s="88">
        <v>355000</v>
      </c>
      <c r="O50" s="28" t="s">
        <v>20</v>
      </c>
      <c r="P50" s="1" t="s">
        <v>44</v>
      </c>
      <c r="Q50" s="141"/>
      <c r="R50" s="193">
        <v>355000</v>
      </c>
    </row>
    <row r="51" spans="1:18" s="1" customFormat="1" ht="15.75" customHeight="1" x14ac:dyDescent="0.3">
      <c r="A51" s="5" t="s">
        <v>177</v>
      </c>
      <c r="B51" s="9" t="s">
        <v>178</v>
      </c>
      <c r="C51" s="11" t="s">
        <v>4489</v>
      </c>
      <c r="D51" t="s">
        <v>4494</v>
      </c>
      <c r="E51"/>
      <c r="F51"/>
      <c r="G51" t="s">
        <v>4629</v>
      </c>
      <c r="H51" s="3" t="s">
        <v>179</v>
      </c>
      <c r="I51"/>
      <c r="J51" s="165" t="s">
        <v>39</v>
      </c>
      <c r="K51" s="27"/>
      <c r="L51" s="27"/>
      <c r="M51" s="13">
        <v>41546</v>
      </c>
      <c r="N51" s="86">
        <v>4629</v>
      </c>
      <c r="O51" s="28"/>
      <c r="Q51" s="141"/>
      <c r="R51" s="191">
        <v>4629</v>
      </c>
    </row>
    <row r="52" spans="1:18" s="1" customFormat="1" ht="15.75" customHeight="1" x14ac:dyDescent="0.3">
      <c r="A52" s="5" t="s">
        <v>180</v>
      </c>
      <c r="B52" s="9" t="s">
        <v>181</v>
      </c>
      <c r="C52" s="11" t="s">
        <v>4489</v>
      </c>
      <c r="D52" t="s">
        <v>4493</v>
      </c>
      <c r="E52"/>
      <c r="F52"/>
      <c r="G52" t="s">
        <v>4629</v>
      </c>
      <c r="H52" s="3" t="s">
        <v>153</v>
      </c>
      <c r="I52"/>
      <c r="J52" s="165" t="s">
        <v>39</v>
      </c>
      <c r="K52" s="27"/>
      <c r="L52" s="27"/>
      <c r="M52" s="13">
        <v>41598</v>
      </c>
      <c r="N52" s="86">
        <v>10000</v>
      </c>
      <c r="O52" s="28" t="s">
        <v>20</v>
      </c>
      <c r="P52" s="1" t="s">
        <v>66</v>
      </c>
      <c r="Q52" s="141"/>
      <c r="R52" s="191">
        <v>10000</v>
      </c>
    </row>
    <row r="53" spans="1:18" s="1" customFormat="1" ht="15.75" customHeight="1" x14ac:dyDescent="0.3">
      <c r="A53" s="5" t="s">
        <v>182</v>
      </c>
      <c r="B53" s="9" t="s">
        <v>183</v>
      </c>
      <c r="C53" s="11" t="s">
        <v>4489</v>
      </c>
      <c r="D53" t="s">
        <v>4493</v>
      </c>
      <c r="E53"/>
      <c r="F53"/>
      <c r="G53" t="s">
        <v>4626</v>
      </c>
      <c r="H53" s="3" t="s">
        <v>153</v>
      </c>
      <c r="I53"/>
      <c r="J53" s="165" t="s">
        <v>39</v>
      </c>
      <c r="K53" s="27"/>
      <c r="L53" s="27"/>
      <c r="M53" s="13">
        <v>41598</v>
      </c>
      <c r="N53" s="86">
        <v>10000</v>
      </c>
      <c r="O53" s="28"/>
      <c r="Q53" s="141"/>
      <c r="R53" s="191">
        <v>10000</v>
      </c>
    </row>
    <row r="54" spans="1:18" s="1" customFormat="1" ht="15.75" customHeight="1" x14ac:dyDescent="0.3">
      <c r="A54" s="5" t="s">
        <v>184</v>
      </c>
      <c r="B54" s="131" t="s">
        <v>185</v>
      </c>
      <c r="C54" s="11" t="s">
        <v>4519</v>
      </c>
      <c r="D54" t="s">
        <v>4495</v>
      </c>
      <c r="E54" s="132"/>
      <c r="F54" s="145"/>
      <c r="G54" s="145"/>
      <c r="H54" s="3" t="s">
        <v>186</v>
      </c>
      <c r="I54"/>
      <c r="J54" s="166">
        <v>46973</v>
      </c>
      <c r="K54" s="3" t="s">
        <v>187</v>
      </c>
      <c r="L54" s="3" t="s">
        <v>188</v>
      </c>
      <c r="M54" s="29">
        <v>45965</v>
      </c>
      <c r="N54" s="86">
        <v>1713</v>
      </c>
      <c r="O54" s="28"/>
      <c r="Q54" s="141"/>
      <c r="R54" s="191">
        <v>1713</v>
      </c>
    </row>
    <row r="55" spans="1:18" s="1" customFormat="1" ht="15.75" customHeight="1" x14ac:dyDescent="0.3">
      <c r="A55" s="5" t="s">
        <v>189</v>
      </c>
      <c r="B55" s="131" t="s">
        <v>190</v>
      </c>
      <c r="C55" s="11" t="s">
        <v>4519</v>
      </c>
      <c r="D55" t="s">
        <v>4495</v>
      </c>
      <c r="E55" s="132"/>
      <c r="F55" s="145"/>
      <c r="G55" s="145"/>
      <c r="H55" s="3" t="s">
        <v>186</v>
      </c>
      <c r="I55"/>
      <c r="J55" s="166">
        <v>46973</v>
      </c>
      <c r="K55" s="3" t="s">
        <v>187</v>
      </c>
      <c r="L55" s="3" t="s">
        <v>188</v>
      </c>
      <c r="M55" s="29">
        <v>45965</v>
      </c>
      <c r="N55" s="86">
        <v>1713</v>
      </c>
      <c r="O55" s="28"/>
      <c r="Q55" s="141"/>
      <c r="R55" s="191">
        <v>1713</v>
      </c>
    </row>
    <row r="56" spans="1:18" s="1" customFormat="1" ht="15.75" customHeight="1" x14ac:dyDescent="0.3">
      <c r="A56" s="5" t="s">
        <v>191</v>
      </c>
      <c r="B56" s="9" t="s">
        <v>192</v>
      </c>
      <c r="C56" s="11" t="s">
        <v>4490</v>
      </c>
      <c r="D56" t="s">
        <v>4495</v>
      </c>
      <c r="E56"/>
      <c r="F56"/>
      <c r="G56" t="s">
        <v>4623</v>
      </c>
      <c r="H56" s="3" t="s">
        <v>193</v>
      </c>
      <c r="I56"/>
      <c r="J56" s="165" t="s">
        <v>39</v>
      </c>
      <c r="K56" s="27"/>
      <c r="L56" s="27"/>
      <c r="M56" s="13">
        <v>41634</v>
      </c>
      <c r="N56" s="86">
        <v>30000</v>
      </c>
      <c r="O56" s="28" t="s">
        <v>20</v>
      </c>
      <c r="P56" s="1" t="s">
        <v>44</v>
      </c>
      <c r="Q56" s="141"/>
      <c r="R56" s="191">
        <v>30000</v>
      </c>
    </row>
    <row r="57" spans="1:18" s="1" customFormat="1" ht="15.75" customHeight="1" x14ac:dyDescent="0.3">
      <c r="A57" s="59" t="s">
        <v>194</v>
      </c>
      <c r="B57" s="131" t="s">
        <v>194</v>
      </c>
      <c r="C57" s="11" t="s">
        <v>4520</v>
      </c>
      <c r="D57" t="s">
        <v>4492</v>
      </c>
      <c r="E57" s="132"/>
      <c r="F57" s="145"/>
      <c r="G57" s="145"/>
      <c r="H57" s="3" t="s">
        <v>195</v>
      </c>
      <c r="I57"/>
      <c r="J57" s="165">
        <v>31931</v>
      </c>
      <c r="K57" s="11" t="s">
        <v>196</v>
      </c>
      <c r="L57" s="11" t="s">
        <v>197</v>
      </c>
      <c r="M57" s="29">
        <v>45887</v>
      </c>
      <c r="N57" s="86">
        <v>1705.2</v>
      </c>
      <c r="O57" s="28"/>
      <c r="P57" s="1" t="s">
        <v>91</v>
      </c>
      <c r="Q57" s="141"/>
      <c r="R57" s="191" t="s">
        <v>4727</v>
      </c>
    </row>
    <row r="58" spans="1:18" s="1" customFormat="1" ht="15.75" customHeight="1" x14ac:dyDescent="0.3">
      <c r="A58" s="5" t="s">
        <v>198</v>
      </c>
      <c r="B58" s="9" t="s">
        <v>199</v>
      </c>
      <c r="C58" s="11" t="s">
        <v>4490</v>
      </c>
      <c r="D58" t="s">
        <v>4493</v>
      </c>
      <c r="E58"/>
      <c r="F58"/>
      <c r="G58" t="s">
        <v>4675</v>
      </c>
      <c r="H58" s="3" t="s">
        <v>200</v>
      </c>
      <c r="I58"/>
      <c r="J58" s="165" t="s">
        <v>39</v>
      </c>
      <c r="K58" s="27"/>
      <c r="L58" s="27"/>
      <c r="M58" s="13">
        <v>41697</v>
      </c>
      <c r="N58" s="86">
        <v>8000</v>
      </c>
      <c r="O58" s="28"/>
      <c r="Q58" s="141"/>
      <c r="R58" s="191">
        <v>8000</v>
      </c>
    </row>
    <row r="59" spans="1:18" s="1" customFormat="1" ht="15.75" hidden="1" customHeight="1" x14ac:dyDescent="0.3">
      <c r="A59" s="123" t="s">
        <v>201</v>
      </c>
      <c r="B59" s="10" t="s">
        <v>201</v>
      </c>
      <c r="C59" s="11" t="s">
        <v>4488</v>
      </c>
      <c r="D59" t="s">
        <v>4492</v>
      </c>
      <c r="E59" s="132"/>
      <c r="F59" s="145"/>
      <c r="G59" s="145"/>
      <c r="H59" s="11" t="s">
        <v>202</v>
      </c>
      <c r="I59"/>
      <c r="J59" s="168"/>
      <c r="K59" s="18"/>
      <c r="L59" s="11"/>
      <c r="M59" s="13"/>
      <c r="N59" s="90"/>
      <c r="O59" s="25"/>
      <c r="P59" s="46" t="s">
        <v>91</v>
      </c>
      <c r="Q59" s="141"/>
      <c r="R59" s="193"/>
    </row>
    <row r="60" spans="1:18" s="1" customFormat="1" ht="15.75" customHeight="1" x14ac:dyDescent="0.3">
      <c r="A60" s="5" t="s">
        <v>204</v>
      </c>
      <c r="B60" s="9" t="s">
        <v>205</v>
      </c>
      <c r="C60" s="11" t="s">
        <v>4490</v>
      </c>
      <c r="D60" t="s">
        <v>4494</v>
      </c>
      <c r="E60"/>
      <c r="F60"/>
      <c r="G60" t="s">
        <v>4675</v>
      </c>
      <c r="H60" s="3" t="s">
        <v>200</v>
      </c>
      <c r="I60"/>
      <c r="J60" s="165" t="s">
        <v>39</v>
      </c>
      <c r="K60" s="27"/>
      <c r="L60" s="27"/>
      <c r="M60" s="13">
        <v>41756</v>
      </c>
      <c r="N60" s="86">
        <v>8000</v>
      </c>
      <c r="O60" s="28" t="s">
        <v>20</v>
      </c>
      <c r="P60" s="1" t="s">
        <v>44</v>
      </c>
      <c r="Q60" s="141"/>
      <c r="R60" s="191">
        <v>8000</v>
      </c>
    </row>
    <row r="61" spans="1:18" s="1" customFormat="1" ht="15.75" customHeight="1" x14ac:dyDescent="0.3">
      <c r="A61" s="158" t="s">
        <v>206</v>
      </c>
      <c r="B61" s="10" t="s">
        <v>206</v>
      </c>
      <c r="C61" s="11" t="s">
        <v>4488</v>
      </c>
      <c r="D61" t="s">
        <v>4492</v>
      </c>
      <c r="E61"/>
      <c r="F61" t="s">
        <v>4614</v>
      </c>
      <c r="G61"/>
      <c r="H61" s="11" t="s">
        <v>207</v>
      </c>
      <c r="I61"/>
      <c r="J61" s="165"/>
      <c r="K61" s="11"/>
      <c r="L61" s="11"/>
      <c r="M61" s="13">
        <v>41766</v>
      </c>
      <c r="N61" s="90">
        <v>158266.82999999999</v>
      </c>
      <c r="O61" s="25"/>
      <c r="P61" s="23" t="s">
        <v>91</v>
      </c>
      <c r="Q61" s="141"/>
      <c r="R61" s="193" t="s">
        <v>4728</v>
      </c>
    </row>
    <row r="62" spans="1:18" s="1" customFormat="1" ht="15.75" customHeight="1" x14ac:dyDescent="0.3">
      <c r="A62" s="5" t="s">
        <v>208</v>
      </c>
      <c r="B62" s="9" t="s">
        <v>209</v>
      </c>
      <c r="C62" s="11" t="s">
        <v>4489</v>
      </c>
      <c r="D62" t="s">
        <v>4493</v>
      </c>
      <c r="E62"/>
      <c r="F62"/>
      <c r="G62" t="s">
        <v>4616</v>
      </c>
      <c r="H62" s="3" t="s">
        <v>210</v>
      </c>
      <c r="I62"/>
      <c r="J62" s="165" t="s">
        <v>39</v>
      </c>
      <c r="K62" s="27"/>
      <c r="L62" s="27"/>
      <c r="M62" s="13">
        <v>41788</v>
      </c>
      <c r="N62" s="86">
        <v>10000</v>
      </c>
      <c r="O62" s="28" t="s">
        <v>20</v>
      </c>
      <c r="Q62" s="141"/>
      <c r="R62" s="191">
        <v>10000</v>
      </c>
    </row>
    <row r="63" spans="1:18" s="1" customFormat="1" ht="15.75" customHeight="1" x14ac:dyDescent="0.3">
      <c r="A63" s="5" t="s">
        <v>211</v>
      </c>
      <c r="B63" s="9" t="s">
        <v>212</v>
      </c>
      <c r="C63" s="11" t="s">
        <v>4519</v>
      </c>
      <c r="D63" t="s">
        <v>4495</v>
      </c>
      <c r="E63"/>
      <c r="F63">
        <v>4362</v>
      </c>
      <c r="G63" t="s">
        <v>4618</v>
      </c>
      <c r="H63" s="3" t="s">
        <v>213</v>
      </c>
      <c r="I63"/>
      <c r="J63" s="165" t="s">
        <v>39</v>
      </c>
      <c r="K63" s="27"/>
      <c r="L63" s="27"/>
      <c r="M63" s="13">
        <v>41815</v>
      </c>
      <c r="N63" s="86">
        <v>3144</v>
      </c>
      <c r="O63" s="28"/>
      <c r="Q63" s="141"/>
      <c r="R63" s="191">
        <v>3144</v>
      </c>
    </row>
    <row r="64" spans="1:18" s="1" customFormat="1" ht="15.75" hidden="1" customHeight="1" x14ac:dyDescent="0.3">
      <c r="A64" s="5" t="s">
        <v>214</v>
      </c>
      <c r="B64" s="9" t="s">
        <v>215</v>
      </c>
      <c r="C64" s="11" t="s">
        <v>4519</v>
      </c>
      <c r="D64" t="s">
        <v>4495</v>
      </c>
      <c r="E64" s="132"/>
      <c r="F64" s="15"/>
      <c r="G64" s="15"/>
      <c r="H64" s="3" t="s">
        <v>216</v>
      </c>
      <c r="I64"/>
      <c r="J64" s="165" t="s">
        <v>39</v>
      </c>
      <c r="K64" s="27"/>
      <c r="L64" s="27"/>
      <c r="M64" s="13">
        <v>41815</v>
      </c>
      <c r="N64" s="86"/>
      <c r="O64" s="28"/>
      <c r="Q64" s="141"/>
      <c r="R64" s="191"/>
    </row>
    <row r="65" spans="1:18" s="1" customFormat="1" ht="15.75" customHeight="1" x14ac:dyDescent="0.3">
      <c r="A65" s="5" t="s">
        <v>217</v>
      </c>
      <c r="B65" s="9" t="s">
        <v>218</v>
      </c>
      <c r="C65" s="11" t="s">
        <v>4490</v>
      </c>
      <c r="D65" t="s">
        <v>4495</v>
      </c>
      <c r="E65" s="160"/>
      <c r="F65" t="s">
        <v>219</v>
      </c>
      <c r="G65" t="s">
        <v>4557</v>
      </c>
      <c r="H65" s="3" t="s">
        <v>220</v>
      </c>
      <c r="I65"/>
      <c r="J65" s="165" t="s">
        <v>39</v>
      </c>
      <c r="K65" s="27"/>
      <c r="L65" s="27"/>
      <c r="M65" s="13">
        <v>41821</v>
      </c>
      <c r="N65" s="86">
        <v>80000</v>
      </c>
      <c r="O65" s="28" t="s">
        <v>20</v>
      </c>
      <c r="Q65" s="141"/>
      <c r="R65" s="191">
        <v>80000</v>
      </c>
    </row>
    <row r="66" spans="1:18" s="1" customFormat="1" ht="15.75" customHeight="1" x14ac:dyDescent="0.3">
      <c r="A66" s="5" t="s">
        <v>221</v>
      </c>
      <c r="B66" s="9" t="s">
        <v>222</v>
      </c>
      <c r="C66" s="11" t="s">
        <v>4490</v>
      </c>
      <c r="D66" t="s">
        <v>4492</v>
      </c>
      <c r="E66"/>
      <c r="F66" t="s">
        <v>237</v>
      </c>
      <c r="G66" t="s">
        <v>4557</v>
      </c>
      <c r="H66" s="3" t="s">
        <v>220</v>
      </c>
      <c r="I66"/>
      <c r="J66" s="165" t="s">
        <v>39</v>
      </c>
      <c r="K66" s="27"/>
      <c r="L66" s="27"/>
      <c r="M66" s="13">
        <v>41821</v>
      </c>
      <c r="N66" s="86">
        <v>50000</v>
      </c>
      <c r="O66" s="28" t="s">
        <v>20</v>
      </c>
      <c r="Q66" s="141"/>
      <c r="R66" s="191">
        <v>50000</v>
      </c>
    </row>
    <row r="67" spans="1:18" s="1" customFormat="1" ht="15.75" customHeight="1" x14ac:dyDescent="0.3">
      <c r="A67" s="5" t="s">
        <v>223</v>
      </c>
      <c r="B67" s="9" t="s">
        <v>224</v>
      </c>
      <c r="C67" s="11" t="s">
        <v>4490</v>
      </c>
      <c r="D67" t="s">
        <v>4495</v>
      </c>
      <c r="E67"/>
      <c r="F67" t="s">
        <v>225</v>
      </c>
      <c r="G67" t="s">
        <v>4676</v>
      </c>
      <c r="H67" s="3" t="s">
        <v>220</v>
      </c>
      <c r="I67"/>
      <c r="J67" s="165" t="s">
        <v>39</v>
      </c>
      <c r="K67" s="27"/>
      <c r="L67" s="27"/>
      <c r="M67" s="13">
        <v>41821</v>
      </c>
      <c r="N67" s="86">
        <v>50000</v>
      </c>
      <c r="O67" s="28" t="s">
        <v>20</v>
      </c>
      <c r="Q67" s="141"/>
      <c r="R67" s="191">
        <v>50000</v>
      </c>
    </row>
    <row r="68" spans="1:18" s="1" customFormat="1" ht="15.75" customHeight="1" x14ac:dyDescent="0.3">
      <c r="A68" s="5" t="s">
        <v>226</v>
      </c>
      <c r="B68" s="9" t="s">
        <v>227</v>
      </c>
      <c r="C68" s="11" t="s">
        <v>4490</v>
      </c>
      <c r="D68" t="s">
        <v>4495</v>
      </c>
      <c r="E68" s="160"/>
      <c r="F68" t="s">
        <v>228</v>
      </c>
      <c r="G68" t="s">
        <v>4557</v>
      </c>
      <c r="H68" s="3" t="s">
        <v>220</v>
      </c>
      <c r="I68"/>
      <c r="J68" s="165" t="s">
        <v>39</v>
      </c>
      <c r="K68" s="27"/>
      <c r="L68" s="27"/>
      <c r="M68" s="13">
        <v>41821</v>
      </c>
      <c r="N68" s="86">
        <v>80000</v>
      </c>
      <c r="O68" s="28" t="s">
        <v>20</v>
      </c>
      <c r="Q68" s="141"/>
      <c r="R68" s="191">
        <v>80000</v>
      </c>
    </row>
    <row r="69" spans="1:18" s="1" customFormat="1" ht="15.75" customHeight="1" x14ac:dyDescent="0.3">
      <c r="A69" s="5" t="s">
        <v>229</v>
      </c>
      <c r="B69" s="9" t="s">
        <v>230</v>
      </c>
      <c r="C69" s="11" t="s">
        <v>4490</v>
      </c>
      <c r="D69" t="s">
        <v>4494</v>
      </c>
      <c r="E69"/>
      <c r="F69"/>
      <c r="G69" t="s">
        <v>4557</v>
      </c>
      <c r="H69" s="3" t="s">
        <v>231</v>
      </c>
      <c r="I69"/>
      <c r="J69" s="165" t="s">
        <v>39</v>
      </c>
      <c r="K69" s="27"/>
      <c r="L69" s="27"/>
      <c r="M69" s="13">
        <v>41831</v>
      </c>
      <c r="N69" s="90">
        <v>14000</v>
      </c>
      <c r="O69" s="28" t="s">
        <v>20</v>
      </c>
      <c r="P69" s="1" t="s">
        <v>44</v>
      </c>
      <c r="Q69" s="141"/>
      <c r="R69" s="193">
        <v>14000</v>
      </c>
    </row>
    <row r="70" spans="1:18" s="1" customFormat="1" ht="15.75" customHeight="1" x14ac:dyDescent="0.3">
      <c r="A70" s="5" t="s">
        <v>232</v>
      </c>
      <c r="B70" s="9" t="s">
        <v>233</v>
      </c>
      <c r="C70" s="11" t="s">
        <v>4490</v>
      </c>
      <c r="D70" t="s">
        <v>4493</v>
      </c>
      <c r="E70" s="160"/>
      <c r="F70" t="s">
        <v>234</v>
      </c>
      <c r="G70" t="s">
        <v>4557</v>
      </c>
      <c r="H70" s="3" t="s">
        <v>220</v>
      </c>
      <c r="I70"/>
      <c r="J70" s="165" t="s">
        <v>39</v>
      </c>
      <c r="K70" s="27"/>
      <c r="L70" s="27"/>
      <c r="M70" s="13">
        <v>41880</v>
      </c>
      <c r="N70" s="90">
        <v>78000</v>
      </c>
      <c r="O70" s="28" t="s">
        <v>20</v>
      </c>
      <c r="P70" s="1" t="s">
        <v>78</v>
      </c>
      <c r="Q70" s="141"/>
      <c r="R70" s="193">
        <v>78000</v>
      </c>
    </row>
    <row r="71" spans="1:18" s="1" customFormat="1" ht="15.75" customHeight="1" x14ac:dyDescent="0.3">
      <c r="A71" s="5" t="s">
        <v>235</v>
      </c>
      <c r="B71" s="9" t="s">
        <v>236</v>
      </c>
      <c r="C71" s="11" t="s">
        <v>4490</v>
      </c>
      <c r="D71" t="s">
        <v>4495</v>
      </c>
      <c r="E71" s="160"/>
      <c r="F71" t="s">
        <v>4677</v>
      </c>
      <c r="G71" t="s">
        <v>4557</v>
      </c>
      <c r="H71" s="3" t="s">
        <v>220</v>
      </c>
      <c r="I71"/>
      <c r="J71" s="165" t="s">
        <v>39</v>
      </c>
      <c r="K71" s="27"/>
      <c r="L71" s="27"/>
      <c r="M71" s="13">
        <v>41880</v>
      </c>
      <c r="N71" s="90">
        <v>78000</v>
      </c>
      <c r="O71" s="28" t="s">
        <v>20</v>
      </c>
      <c r="P71" s="1" t="s">
        <v>66</v>
      </c>
      <c r="Q71" s="141"/>
      <c r="R71" s="193">
        <v>78000</v>
      </c>
    </row>
    <row r="72" spans="1:18" s="1" customFormat="1" ht="15.75" customHeight="1" x14ac:dyDescent="0.3">
      <c r="A72" s="5" t="s">
        <v>238</v>
      </c>
      <c r="B72" s="9" t="s">
        <v>239</v>
      </c>
      <c r="C72" s="11" t="s">
        <v>4489</v>
      </c>
      <c r="D72" t="s">
        <v>4494</v>
      </c>
      <c r="E72" s="160"/>
      <c r="F72"/>
      <c r="G72"/>
      <c r="H72" s="3" t="s">
        <v>240</v>
      </c>
      <c r="I72"/>
      <c r="J72" s="165" t="s">
        <v>39</v>
      </c>
      <c r="K72" s="27"/>
      <c r="L72" s="27"/>
      <c r="M72" s="13">
        <v>41890</v>
      </c>
      <c r="N72" s="90">
        <v>116500</v>
      </c>
      <c r="O72" s="28" t="s">
        <v>20</v>
      </c>
      <c r="P72" s="1" t="s">
        <v>44</v>
      </c>
      <c r="Q72" s="141"/>
      <c r="R72" s="193">
        <v>116500</v>
      </c>
    </row>
    <row r="73" spans="1:18" s="1" customFormat="1" ht="15.75" customHeight="1" x14ac:dyDescent="0.3">
      <c r="A73" s="5" t="s">
        <v>241</v>
      </c>
      <c r="B73" s="9" t="s">
        <v>242</v>
      </c>
      <c r="C73" s="11" t="s">
        <v>4490</v>
      </c>
      <c r="D73" t="s">
        <v>4493</v>
      </c>
      <c r="E73"/>
      <c r="F73" t="s">
        <v>243</v>
      </c>
      <c r="G73" t="s">
        <v>4642</v>
      </c>
      <c r="H73" s="3" t="s">
        <v>244</v>
      </c>
      <c r="I73"/>
      <c r="J73" s="165" t="s">
        <v>39</v>
      </c>
      <c r="K73" s="27"/>
      <c r="L73" s="27"/>
      <c r="M73" s="13">
        <v>41906</v>
      </c>
      <c r="N73" s="151">
        <v>291075</v>
      </c>
      <c r="O73" s="28" t="s">
        <v>20</v>
      </c>
      <c r="P73" s="1" t="s">
        <v>44</v>
      </c>
      <c r="Q73" s="141"/>
      <c r="R73" s="193">
        <v>291075</v>
      </c>
    </row>
    <row r="74" spans="1:18" s="1" customFormat="1" ht="15.75" customHeight="1" x14ac:dyDescent="0.3">
      <c r="A74" s="5" t="s">
        <v>245</v>
      </c>
      <c r="B74" s="9" t="s">
        <v>246</v>
      </c>
      <c r="C74" s="11" t="s">
        <v>4490</v>
      </c>
      <c r="D74" t="s">
        <v>4492</v>
      </c>
      <c r="E74"/>
      <c r="F74" t="s">
        <v>247</v>
      </c>
      <c r="G74" t="s">
        <v>4557</v>
      </c>
      <c r="H74" s="3" t="s">
        <v>248</v>
      </c>
      <c r="I74" s="160"/>
      <c r="J74" s="165" t="s">
        <v>39</v>
      </c>
      <c r="K74" s="27"/>
      <c r="L74" s="27"/>
      <c r="M74" s="13">
        <v>41911</v>
      </c>
      <c r="N74" s="90">
        <v>183000</v>
      </c>
      <c r="O74" s="28" t="s">
        <v>20</v>
      </c>
      <c r="P74" s="1" t="s">
        <v>91</v>
      </c>
      <c r="Q74" s="141"/>
      <c r="R74" s="193">
        <v>183000</v>
      </c>
    </row>
    <row r="75" spans="1:18" s="1" customFormat="1" ht="15.75" customHeight="1" x14ac:dyDescent="0.3">
      <c r="A75" s="5" t="s">
        <v>249</v>
      </c>
      <c r="B75" s="9" t="s">
        <v>250</v>
      </c>
      <c r="C75" s="11" t="s">
        <v>4490</v>
      </c>
      <c r="D75" t="s">
        <v>4493</v>
      </c>
      <c r="E75"/>
      <c r="F75"/>
      <c r="G75" t="s">
        <v>4557</v>
      </c>
      <c r="H75" s="3" t="s">
        <v>248</v>
      </c>
      <c r="I75" s="160"/>
      <c r="J75" s="165" t="s">
        <v>39</v>
      </c>
      <c r="K75" s="27"/>
      <c r="L75" s="27"/>
      <c r="M75" s="13">
        <v>41911</v>
      </c>
      <c r="N75" s="90">
        <v>183000</v>
      </c>
      <c r="O75" s="28"/>
      <c r="Q75" s="141"/>
      <c r="R75" s="193">
        <v>183000</v>
      </c>
    </row>
    <row r="76" spans="1:18" s="1" customFormat="1" ht="15.75" customHeight="1" x14ac:dyDescent="0.3">
      <c r="A76" s="5" t="s">
        <v>251</v>
      </c>
      <c r="B76" s="9" t="s">
        <v>252</v>
      </c>
      <c r="C76" s="11" t="s">
        <v>4490</v>
      </c>
      <c r="D76" t="s">
        <v>4494</v>
      </c>
      <c r="E76" s="160"/>
      <c r="F76">
        <v>3015414</v>
      </c>
      <c r="G76" t="s">
        <v>4557</v>
      </c>
      <c r="H76" s="3" t="s">
        <v>253</v>
      </c>
      <c r="I76"/>
      <c r="J76" s="165" t="s">
        <v>39</v>
      </c>
      <c r="K76" s="27"/>
      <c r="L76" s="27"/>
      <c r="M76" s="13">
        <v>41911</v>
      </c>
      <c r="N76" s="90">
        <v>133000</v>
      </c>
      <c r="O76" s="28" t="s">
        <v>20</v>
      </c>
      <c r="P76" s="1" t="s">
        <v>44</v>
      </c>
      <c r="Q76" s="141"/>
      <c r="R76" s="193">
        <v>133000</v>
      </c>
    </row>
    <row r="77" spans="1:18" s="1" customFormat="1" ht="15.75" customHeight="1" x14ac:dyDescent="0.3">
      <c r="A77" s="5" t="s">
        <v>254</v>
      </c>
      <c r="B77" s="9" t="s">
        <v>255</v>
      </c>
      <c r="C77" s="11" t="s">
        <v>4490</v>
      </c>
      <c r="D77" t="s">
        <v>4493</v>
      </c>
      <c r="E77" s="160"/>
      <c r="F77">
        <v>3015614</v>
      </c>
      <c r="G77" t="s">
        <v>4557</v>
      </c>
      <c r="H77" s="3" t="s">
        <v>253</v>
      </c>
      <c r="I77"/>
      <c r="J77" s="165" t="s">
        <v>39</v>
      </c>
      <c r="K77" s="27"/>
      <c r="L77" s="27"/>
      <c r="M77" s="13">
        <v>41920</v>
      </c>
      <c r="N77" s="90">
        <v>133000</v>
      </c>
      <c r="O77" s="28" t="s">
        <v>20</v>
      </c>
      <c r="P77" s="1" t="s">
        <v>44</v>
      </c>
      <c r="Q77" s="141"/>
      <c r="R77" s="193">
        <v>133000</v>
      </c>
    </row>
    <row r="78" spans="1:18" s="1" customFormat="1" ht="15.75" customHeight="1" x14ac:dyDescent="0.3">
      <c r="A78" s="5" t="s">
        <v>256</v>
      </c>
      <c r="B78" s="9" t="s">
        <v>257</v>
      </c>
      <c r="C78" s="11" t="s">
        <v>4490</v>
      </c>
      <c r="D78" t="s">
        <v>4492</v>
      </c>
      <c r="E78"/>
      <c r="F78"/>
      <c r="G78" t="s">
        <v>4557</v>
      </c>
      <c r="H78" s="3" t="s">
        <v>258</v>
      </c>
      <c r="I78"/>
      <c r="J78" s="165" t="s">
        <v>39</v>
      </c>
      <c r="K78" s="27"/>
      <c r="L78" s="27"/>
      <c r="M78" s="13">
        <v>41920</v>
      </c>
      <c r="N78" s="90">
        <v>459000</v>
      </c>
      <c r="O78" s="28" t="s">
        <v>20</v>
      </c>
      <c r="P78" s="1" t="s">
        <v>91</v>
      </c>
      <c r="Q78" s="141"/>
      <c r="R78" s="193">
        <v>459000</v>
      </c>
    </row>
    <row r="79" spans="1:18" s="1" customFormat="1" ht="15.75" customHeight="1" x14ac:dyDescent="0.3">
      <c r="A79" s="5" t="s">
        <v>259</v>
      </c>
      <c r="B79" s="9" t="s">
        <v>260</v>
      </c>
      <c r="C79" s="11" t="s">
        <v>4490</v>
      </c>
      <c r="D79" t="s">
        <v>4494</v>
      </c>
      <c r="E79"/>
      <c r="F79" t="s">
        <v>261</v>
      </c>
      <c r="G79" t="s">
        <v>4557</v>
      </c>
      <c r="H79" s="3" t="s">
        <v>258</v>
      </c>
      <c r="I79"/>
      <c r="J79" s="165" t="s">
        <v>39</v>
      </c>
      <c r="K79" s="27"/>
      <c r="L79" s="27"/>
      <c r="M79" s="13">
        <v>41920</v>
      </c>
      <c r="N79" s="86">
        <v>459000</v>
      </c>
      <c r="O79" s="28" t="s">
        <v>20</v>
      </c>
      <c r="P79" s="1" t="s">
        <v>44</v>
      </c>
      <c r="Q79" s="141"/>
      <c r="R79" s="191">
        <v>459000</v>
      </c>
    </row>
    <row r="80" spans="1:18" s="1" customFormat="1" ht="15.75" customHeight="1" x14ac:dyDescent="0.3">
      <c r="A80" s="5" t="s">
        <v>262</v>
      </c>
      <c r="B80" s="9" t="s">
        <v>263</v>
      </c>
      <c r="C80" s="11" t="s">
        <v>4490</v>
      </c>
      <c r="D80" t="s">
        <v>4495</v>
      </c>
      <c r="E80"/>
      <c r="F80"/>
      <c r="G80" t="s">
        <v>4631</v>
      </c>
      <c r="H80" s="3" t="s">
        <v>264</v>
      </c>
      <c r="I80"/>
      <c r="J80" s="165" t="s">
        <v>39</v>
      </c>
      <c r="K80" s="27"/>
      <c r="L80" s="27"/>
      <c r="M80" s="13">
        <v>41927</v>
      </c>
      <c r="N80" s="152">
        <v>2000</v>
      </c>
      <c r="O80" s="28" t="s">
        <v>20</v>
      </c>
      <c r="P80" s="1" t="s">
        <v>66</v>
      </c>
      <c r="Q80" s="141"/>
      <c r="R80" s="191">
        <v>2000</v>
      </c>
    </row>
    <row r="81" spans="1:18" s="1" customFormat="1" ht="15.75" customHeight="1" x14ac:dyDescent="0.3">
      <c r="A81" s="5" t="s">
        <v>265</v>
      </c>
      <c r="B81" s="9" t="s">
        <v>266</v>
      </c>
      <c r="C81" s="11" t="s">
        <v>4518</v>
      </c>
      <c r="D81" t="s">
        <v>4495</v>
      </c>
      <c r="E81" s="132"/>
      <c r="F81" s="15"/>
      <c r="G81" s="15"/>
      <c r="H81" s="3" t="s">
        <v>267</v>
      </c>
      <c r="I81"/>
      <c r="J81" s="165" t="s">
        <v>39</v>
      </c>
      <c r="K81" s="27"/>
      <c r="L81" s="27"/>
      <c r="M81" s="13">
        <v>41942</v>
      </c>
      <c r="N81" s="86">
        <v>3380</v>
      </c>
      <c r="O81" s="28" t="s">
        <v>20</v>
      </c>
      <c r="Q81" s="141"/>
      <c r="R81" s="191">
        <v>3380</v>
      </c>
    </row>
    <row r="82" spans="1:18" s="1" customFormat="1" ht="15.75" customHeight="1" x14ac:dyDescent="0.3">
      <c r="A82" s="5" t="s">
        <v>268</v>
      </c>
      <c r="B82" s="9" t="s">
        <v>269</v>
      </c>
      <c r="C82" s="11" t="s">
        <v>4519</v>
      </c>
      <c r="D82" t="s">
        <v>4496</v>
      </c>
      <c r="E82" s="132"/>
      <c r="F82" s="15"/>
      <c r="G82" s="15"/>
      <c r="H82" s="3" t="s">
        <v>270</v>
      </c>
      <c r="I82"/>
      <c r="J82" s="165" t="s">
        <v>39</v>
      </c>
      <c r="K82" s="27"/>
      <c r="L82" s="27"/>
      <c r="M82" s="13">
        <v>41965</v>
      </c>
      <c r="N82" s="86">
        <v>2500</v>
      </c>
      <c r="O82" s="28"/>
      <c r="Q82" s="141"/>
      <c r="R82" s="191">
        <v>2500</v>
      </c>
    </row>
    <row r="83" spans="1:18" s="1" customFormat="1" ht="15.75" customHeight="1" x14ac:dyDescent="0.3">
      <c r="A83" s="5" t="s">
        <v>271</v>
      </c>
      <c r="B83" s="9" t="s">
        <v>272</v>
      </c>
      <c r="C83" s="11" t="s">
        <v>4519</v>
      </c>
      <c r="D83" t="s">
        <v>4496</v>
      </c>
      <c r="E83" s="132"/>
      <c r="F83" s="15"/>
      <c r="G83" s="15"/>
      <c r="H83" s="3" t="s">
        <v>270</v>
      </c>
      <c r="I83"/>
      <c r="J83" s="165" t="s">
        <v>39</v>
      </c>
      <c r="K83" s="27"/>
      <c r="L83" s="27"/>
      <c r="M83" s="13">
        <v>41965</v>
      </c>
      <c r="N83" s="86">
        <v>2500</v>
      </c>
      <c r="O83" s="28"/>
      <c r="Q83" s="141"/>
      <c r="R83" s="191">
        <v>2500</v>
      </c>
    </row>
    <row r="84" spans="1:18" s="1" customFormat="1" ht="15.75" customHeight="1" x14ac:dyDescent="0.3">
      <c r="A84" s="5" t="s">
        <v>273</v>
      </c>
      <c r="B84" s="9" t="s">
        <v>274</v>
      </c>
      <c r="C84" s="11" t="s">
        <v>4490</v>
      </c>
      <c r="D84" t="s">
        <v>4495</v>
      </c>
      <c r="E84"/>
      <c r="F84"/>
      <c r="G84" t="s">
        <v>4616</v>
      </c>
      <c r="H84" s="3" t="s">
        <v>275</v>
      </c>
      <c r="I84"/>
      <c r="J84" s="165" t="s">
        <v>39</v>
      </c>
      <c r="K84" s="27"/>
      <c r="L84" s="27"/>
      <c r="M84" s="13">
        <v>41966</v>
      </c>
      <c r="N84" s="86">
        <v>5000</v>
      </c>
      <c r="O84" s="28" t="s">
        <v>20</v>
      </c>
      <c r="P84" s="1" t="s">
        <v>91</v>
      </c>
      <c r="Q84" s="141"/>
      <c r="R84" s="191">
        <v>5000</v>
      </c>
    </row>
    <row r="85" spans="1:18" s="1" customFormat="1" ht="15.75" customHeight="1" x14ac:dyDescent="0.3">
      <c r="A85" s="5" t="s">
        <v>276</v>
      </c>
      <c r="B85" s="9" t="s">
        <v>277</v>
      </c>
      <c r="C85" s="11" t="s">
        <v>4489</v>
      </c>
      <c r="D85" t="s">
        <v>4495</v>
      </c>
      <c r="E85" s="132"/>
      <c r="F85" s="15"/>
      <c r="G85" s="15"/>
      <c r="H85" s="3" t="s">
        <v>278</v>
      </c>
      <c r="I85"/>
      <c r="J85" s="165" t="s">
        <v>39</v>
      </c>
      <c r="K85" s="27"/>
      <c r="L85" s="27"/>
      <c r="M85" s="13">
        <v>41988</v>
      </c>
      <c r="N85" s="86">
        <v>4000</v>
      </c>
      <c r="O85" s="28" t="s">
        <v>20</v>
      </c>
      <c r="P85" s="1" t="s">
        <v>91</v>
      </c>
      <c r="Q85" s="141"/>
      <c r="R85" s="191">
        <v>4000</v>
      </c>
    </row>
    <row r="86" spans="1:18" s="1" customFormat="1" ht="15.75" customHeight="1" x14ac:dyDescent="0.3">
      <c r="A86" s="5" t="s">
        <v>279</v>
      </c>
      <c r="B86" s="9" t="s">
        <v>280</v>
      </c>
      <c r="C86" s="11" t="s">
        <v>4489</v>
      </c>
      <c r="D86" t="s">
        <v>4495</v>
      </c>
      <c r="E86" s="132"/>
      <c r="F86" s="15"/>
      <c r="G86" s="15"/>
      <c r="H86" s="3" t="s">
        <v>278</v>
      </c>
      <c r="I86"/>
      <c r="J86" s="165" t="s">
        <v>39</v>
      </c>
      <c r="K86" s="27"/>
      <c r="L86" s="27"/>
      <c r="M86" s="13">
        <v>41988</v>
      </c>
      <c r="N86" s="86">
        <v>4000</v>
      </c>
      <c r="O86" s="28" t="s">
        <v>20</v>
      </c>
      <c r="Q86" s="141"/>
      <c r="R86" s="191">
        <v>4000</v>
      </c>
    </row>
    <row r="87" spans="1:18" s="1" customFormat="1" ht="15.75" customHeight="1" x14ac:dyDescent="0.3">
      <c r="A87" s="5" t="s">
        <v>281</v>
      </c>
      <c r="B87" s="9" t="s">
        <v>282</v>
      </c>
      <c r="C87" s="11" t="s">
        <v>4519</v>
      </c>
      <c r="D87" t="s">
        <v>4494</v>
      </c>
      <c r="E87" s="132"/>
      <c r="F87" s="15"/>
      <c r="G87" s="15"/>
      <c r="H87" s="3" t="s">
        <v>283</v>
      </c>
      <c r="I87"/>
      <c r="J87" s="165" t="s">
        <v>39</v>
      </c>
      <c r="K87" s="27"/>
      <c r="L87" s="27"/>
      <c r="M87" s="13">
        <v>42026</v>
      </c>
      <c r="N87" s="86">
        <v>2133</v>
      </c>
      <c r="O87" s="28" t="s">
        <v>20</v>
      </c>
      <c r="P87" s="1" t="s">
        <v>44</v>
      </c>
      <c r="Q87" s="141"/>
      <c r="R87" s="191">
        <v>2133</v>
      </c>
    </row>
    <row r="88" spans="1:18" s="1" customFormat="1" ht="15.75" customHeight="1" x14ac:dyDescent="0.3">
      <c r="A88" s="5" t="s">
        <v>284</v>
      </c>
      <c r="B88" s="9" t="s">
        <v>285</v>
      </c>
      <c r="C88" s="11" t="s">
        <v>4490</v>
      </c>
      <c r="D88" t="s">
        <v>4494</v>
      </c>
      <c r="E88"/>
      <c r="F88"/>
      <c r="G88" t="s">
        <v>4675</v>
      </c>
      <c r="H88" s="3" t="s">
        <v>286</v>
      </c>
      <c r="I88"/>
      <c r="J88" s="165" t="s">
        <v>39</v>
      </c>
      <c r="K88" s="27"/>
      <c r="L88" s="27"/>
      <c r="M88" s="13">
        <v>42095</v>
      </c>
      <c r="N88" s="86">
        <v>30000</v>
      </c>
      <c r="O88" s="28" t="s">
        <v>20</v>
      </c>
      <c r="P88" s="1" t="s">
        <v>44</v>
      </c>
      <c r="Q88" s="141"/>
      <c r="R88" s="191">
        <v>30000</v>
      </c>
    </row>
    <row r="89" spans="1:18" s="1" customFormat="1" ht="15.75" customHeight="1" x14ac:dyDescent="0.3">
      <c r="A89" s="5" t="s">
        <v>287</v>
      </c>
      <c r="B89" s="9" t="s">
        <v>288</v>
      </c>
      <c r="C89" s="11" t="s">
        <v>4488</v>
      </c>
      <c r="D89" t="s">
        <v>4494</v>
      </c>
      <c r="E89"/>
      <c r="F89" t="s">
        <v>4615</v>
      </c>
      <c r="G89"/>
      <c r="H89" s="3" t="s">
        <v>289</v>
      </c>
      <c r="I89"/>
      <c r="J89" s="165"/>
      <c r="K89" s="11"/>
      <c r="L89" s="11"/>
      <c r="M89" s="13">
        <v>45565</v>
      </c>
      <c r="N89" s="86">
        <v>2607721.91</v>
      </c>
      <c r="O89" s="25"/>
      <c r="P89" s="1" t="s">
        <v>44</v>
      </c>
      <c r="Q89" s="141"/>
      <c r="R89" s="191" t="s">
        <v>4729</v>
      </c>
    </row>
    <row r="90" spans="1:18" s="1" customFormat="1" ht="15.75" customHeight="1" x14ac:dyDescent="0.3">
      <c r="A90" s="5" t="s">
        <v>290</v>
      </c>
      <c r="B90" s="9" t="s">
        <v>291</v>
      </c>
      <c r="C90" s="11" t="s">
        <v>4522</v>
      </c>
      <c r="D90" t="s">
        <v>4495</v>
      </c>
      <c r="E90" s="132"/>
      <c r="F90" s="15"/>
      <c r="G90" s="15"/>
      <c r="H90" s="3" t="s">
        <v>292</v>
      </c>
      <c r="I90"/>
      <c r="J90" s="165" t="s">
        <v>39</v>
      </c>
      <c r="K90" s="27"/>
      <c r="L90" s="27"/>
      <c r="M90" s="13">
        <v>42146</v>
      </c>
      <c r="N90" s="86">
        <v>300000</v>
      </c>
      <c r="O90" s="28" t="s">
        <v>20</v>
      </c>
      <c r="Q90" s="141"/>
      <c r="R90" s="191">
        <v>300000</v>
      </c>
    </row>
    <row r="91" spans="1:18" s="1" customFormat="1" ht="15.75" customHeight="1" x14ac:dyDescent="0.3">
      <c r="A91" s="5" t="s">
        <v>293</v>
      </c>
      <c r="B91" s="9" t="s">
        <v>294</v>
      </c>
      <c r="C91" s="11" t="s">
        <v>4490</v>
      </c>
      <c r="D91" t="s">
        <v>4494</v>
      </c>
      <c r="E91"/>
      <c r="F91"/>
      <c r="G91" t="s">
        <v>4629</v>
      </c>
      <c r="H91" s="3" t="s">
        <v>295</v>
      </c>
      <c r="I91"/>
      <c r="J91" s="165" t="s">
        <v>39</v>
      </c>
      <c r="K91" s="27"/>
      <c r="L91" s="27"/>
      <c r="M91" s="13">
        <v>42162</v>
      </c>
      <c r="N91" s="86">
        <v>50000</v>
      </c>
      <c r="O91" s="28"/>
      <c r="P91" s="1" t="s">
        <v>66</v>
      </c>
      <c r="Q91" s="141"/>
      <c r="R91" s="191">
        <v>50000</v>
      </c>
    </row>
    <row r="92" spans="1:18" s="1" customFormat="1" ht="15.75" customHeight="1" x14ac:dyDescent="0.3">
      <c r="A92" s="5" t="s">
        <v>296</v>
      </c>
      <c r="B92" s="9" t="s">
        <v>297</v>
      </c>
      <c r="C92" s="11" t="s">
        <v>4490</v>
      </c>
      <c r="D92" t="s">
        <v>4495</v>
      </c>
      <c r="E92" s="160"/>
      <c r="F92" t="s">
        <v>298</v>
      </c>
      <c r="G92" t="s">
        <v>4557</v>
      </c>
      <c r="H92" s="3" t="s">
        <v>220</v>
      </c>
      <c r="I92"/>
      <c r="J92" s="165" t="s">
        <v>39</v>
      </c>
      <c r="K92" s="27"/>
      <c r="L92" s="27"/>
      <c r="M92" s="13">
        <v>42164</v>
      </c>
      <c r="N92" s="86">
        <v>78000</v>
      </c>
      <c r="O92" s="28" t="s">
        <v>20</v>
      </c>
      <c r="Q92" s="141"/>
      <c r="R92" s="191">
        <v>78000</v>
      </c>
    </row>
    <row r="93" spans="1:18" s="1" customFormat="1" ht="15.75" customHeight="1" x14ac:dyDescent="0.3">
      <c r="A93" s="5" t="s">
        <v>299</v>
      </c>
      <c r="B93" s="9" t="s">
        <v>300</v>
      </c>
      <c r="C93" s="11" t="s">
        <v>4490</v>
      </c>
      <c r="D93" t="s">
        <v>4495</v>
      </c>
      <c r="E93" s="160"/>
      <c r="F93" t="s">
        <v>301</v>
      </c>
      <c r="G93" t="s">
        <v>4557</v>
      </c>
      <c r="H93" s="3" t="s">
        <v>220</v>
      </c>
      <c r="I93"/>
      <c r="J93" s="165" t="s">
        <v>39</v>
      </c>
      <c r="K93" s="27"/>
      <c r="L93" s="27"/>
      <c r="M93" s="13">
        <v>42164</v>
      </c>
      <c r="N93" s="86">
        <v>80000</v>
      </c>
      <c r="O93" s="28" t="s">
        <v>20</v>
      </c>
      <c r="P93" s="1" t="s">
        <v>66</v>
      </c>
      <c r="Q93" s="141"/>
      <c r="R93" s="191">
        <v>80000</v>
      </c>
    </row>
    <row r="94" spans="1:18" s="1" customFormat="1" ht="15.75" customHeight="1" x14ac:dyDescent="0.3">
      <c r="A94" s="5" t="s">
        <v>302</v>
      </c>
      <c r="B94" s="9" t="s">
        <v>303</v>
      </c>
      <c r="C94" s="11" t="s">
        <v>4490</v>
      </c>
      <c r="D94" t="s">
        <v>4493</v>
      </c>
      <c r="E94" s="160"/>
      <c r="F94" t="s">
        <v>304</v>
      </c>
      <c r="G94" t="s">
        <v>4557</v>
      </c>
      <c r="H94" s="3" t="s">
        <v>220</v>
      </c>
      <c r="I94"/>
      <c r="J94" s="165" t="s">
        <v>39</v>
      </c>
      <c r="K94" s="27"/>
      <c r="L94" s="27"/>
      <c r="M94" s="13">
        <v>42164</v>
      </c>
      <c r="N94" s="86">
        <v>78000</v>
      </c>
      <c r="O94" s="28"/>
      <c r="Q94" s="141"/>
      <c r="R94" s="191">
        <v>78000</v>
      </c>
    </row>
    <row r="95" spans="1:18" s="1" customFormat="1" ht="15.75" customHeight="1" x14ac:dyDescent="0.3">
      <c r="A95" s="59" t="s">
        <v>305</v>
      </c>
      <c r="B95" s="9" t="s">
        <v>305</v>
      </c>
      <c r="C95" s="11" t="s">
        <v>4520</v>
      </c>
      <c r="D95" t="s">
        <v>4496</v>
      </c>
      <c r="E95" s="132"/>
      <c r="F95" s="15"/>
      <c r="G95" s="15"/>
      <c r="H95" s="3" t="s">
        <v>306</v>
      </c>
      <c r="I95"/>
      <c r="J95" s="165">
        <v>2760</v>
      </c>
      <c r="K95" s="11" t="s">
        <v>104</v>
      </c>
      <c r="L95" s="11" t="s">
        <v>105</v>
      </c>
      <c r="M95" s="29">
        <v>45895</v>
      </c>
      <c r="N95" s="86">
        <v>1900</v>
      </c>
      <c r="O95" s="28"/>
      <c r="P95" s="1" t="s">
        <v>106</v>
      </c>
      <c r="Q95" s="141"/>
      <c r="R95" s="191">
        <v>1900</v>
      </c>
    </row>
    <row r="96" spans="1:18" s="1" customFormat="1" ht="15.75" customHeight="1" x14ac:dyDescent="0.3">
      <c r="A96" s="5" t="s">
        <v>307</v>
      </c>
      <c r="B96" s="9" t="s">
        <v>308</v>
      </c>
      <c r="C96" s="11" t="s">
        <v>4490</v>
      </c>
      <c r="D96" t="s">
        <v>4495</v>
      </c>
      <c r="E96">
        <v>4588</v>
      </c>
      <c r="F96" t="s">
        <v>4678</v>
      </c>
      <c r="G96" t="s">
        <v>4629</v>
      </c>
      <c r="H96" s="3" t="s">
        <v>309</v>
      </c>
      <c r="I96" s="160"/>
      <c r="J96" s="165" t="s">
        <v>39</v>
      </c>
      <c r="K96" s="27"/>
      <c r="L96" s="27"/>
      <c r="M96" s="13">
        <v>42165</v>
      </c>
      <c r="N96" s="86">
        <v>200000</v>
      </c>
      <c r="O96" s="28"/>
      <c r="Q96" s="141"/>
      <c r="R96" s="191">
        <v>200000</v>
      </c>
    </row>
    <row r="97" spans="1:18" s="1" customFormat="1" ht="15.75" customHeight="1" x14ac:dyDescent="0.3">
      <c r="A97" s="5" t="s">
        <v>310</v>
      </c>
      <c r="B97" s="9" t="s">
        <v>311</v>
      </c>
      <c r="C97" s="11" t="s">
        <v>4490</v>
      </c>
      <c r="D97" t="s">
        <v>4494</v>
      </c>
      <c r="E97"/>
      <c r="F97"/>
      <c r="G97" t="s">
        <v>4643</v>
      </c>
      <c r="H97" s="3" t="s">
        <v>309</v>
      </c>
      <c r="I97" s="160"/>
      <c r="J97" s="165" t="s">
        <v>39</v>
      </c>
      <c r="K97" s="27"/>
      <c r="L97" s="27"/>
      <c r="M97" s="13">
        <v>42165</v>
      </c>
      <c r="N97" s="86">
        <v>200000</v>
      </c>
      <c r="O97" s="28" t="s">
        <v>20</v>
      </c>
      <c r="P97" s="1" t="s">
        <v>91</v>
      </c>
      <c r="Q97" s="141"/>
      <c r="R97" s="191">
        <v>200000</v>
      </c>
    </row>
    <row r="98" spans="1:18" s="1" customFormat="1" ht="15.75" hidden="1" customHeight="1" x14ac:dyDescent="0.3">
      <c r="A98" s="5" t="s">
        <v>312</v>
      </c>
      <c r="B98" s="9" t="s">
        <v>313</v>
      </c>
      <c r="C98" s="11" t="s">
        <v>4519</v>
      </c>
      <c r="D98" t="s">
        <v>4495</v>
      </c>
      <c r="E98" s="3"/>
      <c r="F98" s="15"/>
      <c r="G98" s="15"/>
      <c r="H98" s="3" t="s">
        <v>314</v>
      </c>
      <c r="I98"/>
      <c r="J98" s="165" t="s">
        <v>39</v>
      </c>
      <c r="K98" s="27"/>
      <c r="L98" s="27"/>
      <c r="M98" s="13">
        <v>42182</v>
      </c>
      <c r="N98" s="86"/>
      <c r="O98" s="28" t="s">
        <v>20</v>
      </c>
      <c r="Q98" s="141"/>
      <c r="R98" s="191"/>
    </row>
    <row r="99" spans="1:18" s="1" customFormat="1" ht="15.75" customHeight="1" x14ac:dyDescent="0.3">
      <c r="A99" s="5" t="s">
        <v>315</v>
      </c>
      <c r="B99" s="131" t="s">
        <v>316</v>
      </c>
      <c r="C99" s="11" t="s">
        <v>4490</v>
      </c>
      <c r="D99" t="s">
        <v>4493</v>
      </c>
      <c r="E99" s="160"/>
      <c r="F99" s="160"/>
      <c r="G99" t="s">
        <v>4557</v>
      </c>
      <c r="H99" s="3" t="s">
        <v>317</v>
      </c>
      <c r="I99"/>
      <c r="J99" s="165" t="s">
        <v>39</v>
      </c>
      <c r="K99" s="27"/>
      <c r="L99" s="27"/>
      <c r="M99" s="13">
        <v>42185</v>
      </c>
      <c r="N99" s="86">
        <v>64360</v>
      </c>
      <c r="O99" s="28"/>
      <c r="Q99" s="141"/>
      <c r="R99" s="191">
        <v>64360</v>
      </c>
    </row>
    <row r="100" spans="1:18" s="1" customFormat="1" ht="15.75" customHeight="1" x14ac:dyDescent="0.3">
      <c r="A100" s="5" t="s">
        <v>318</v>
      </c>
      <c r="B100" s="9" t="s">
        <v>319</v>
      </c>
      <c r="C100" s="11" t="s">
        <v>4489</v>
      </c>
      <c r="D100" t="s">
        <v>4493</v>
      </c>
      <c r="E100" s="3"/>
      <c r="F100" s="15"/>
      <c r="G100" s="15"/>
      <c r="H100" s="3" t="s">
        <v>320</v>
      </c>
      <c r="I100"/>
      <c r="J100" s="165" t="s">
        <v>39</v>
      </c>
      <c r="K100" s="27"/>
      <c r="L100" s="27"/>
      <c r="M100" s="13">
        <v>42193</v>
      </c>
      <c r="N100" s="86">
        <v>710</v>
      </c>
      <c r="O100" s="28"/>
      <c r="Q100" s="141"/>
      <c r="R100" s="191">
        <v>710</v>
      </c>
    </row>
    <row r="101" spans="1:18" s="1" customFormat="1" ht="15.75" customHeight="1" x14ac:dyDescent="0.3">
      <c r="A101" s="5" t="s">
        <v>321</v>
      </c>
      <c r="B101" s="131" t="s">
        <v>322</v>
      </c>
      <c r="C101" s="11" t="s">
        <v>4490</v>
      </c>
      <c r="D101" t="s">
        <v>4493</v>
      </c>
      <c r="E101" s="160"/>
      <c r="F101" s="160"/>
      <c r="G101" t="s">
        <v>4557</v>
      </c>
      <c r="H101" s="3" t="s">
        <v>317</v>
      </c>
      <c r="I101"/>
      <c r="J101" s="165" t="s">
        <v>39</v>
      </c>
      <c r="K101" s="27"/>
      <c r="L101" s="27"/>
      <c r="M101" s="13">
        <v>42195</v>
      </c>
      <c r="N101" s="86">
        <v>64360</v>
      </c>
      <c r="O101" s="28"/>
      <c r="Q101" s="141"/>
      <c r="R101" s="191">
        <v>64360</v>
      </c>
    </row>
    <row r="102" spans="1:18" s="1" customFormat="1" ht="15.75" customHeight="1" x14ac:dyDescent="0.3">
      <c r="A102" s="5" t="s">
        <v>323</v>
      </c>
      <c r="B102" s="9" t="s">
        <v>324</v>
      </c>
      <c r="C102" s="11" t="s">
        <v>4518</v>
      </c>
      <c r="D102" t="s">
        <v>4493</v>
      </c>
      <c r="E102"/>
      <c r="F102"/>
      <c r="G102" t="s">
        <v>4654</v>
      </c>
      <c r="H102" s="3" t="s">
        <v>325</v>
      </c>
      <c r="I102"/>
      <c r="J102" s="165" t="s">
        <v>39</v>
      </c>
      <c r="K102" s="27"/>
      <c r="L102" s="27"/>
      <c r="M102" s="13">
        <v>42200</v>
      </c>
      <c r="N102" s="86">
        <v>10000</v>
      </c>
      <c r="O102" s="28" t="s">
        <v>20</v>
      </c>
      <c r="P102" s="1" t="s">
        <v>78</v>
      </c>
      <c r="Q102" s="141"/>
      <c r="R102" s="191">
        <v>10000</v>
      </c>
    </row>
    <row r="103" spans="1:18" s="1" customFormat="1" ht="15.75" customHeight="1" x14ac:dyDescent="0.3">
      <c r="A103" s="5" t="s">
        <v>326</v>
      </c>
      <c r="B103" s="9" t="s">
        <v>327</v>
      </c>
      <c r="C103" s="11" t="s">
        <v>4490</v>
      </c>
      <c r="D103" t="s">
        <v>4494</v>
      </c>
      <c r="E103"/>
      <c r="F103">
        <v>1000465</v>
      </c>
      <c r="G103" t="s">
        <v>4675</v>
      </c>
      <c r="H103" s="3" t="s">
        <v>328</v>
      </c>
      <c r="I103"/>
      <c r="J103" s="165" t="s">
        <v>39</v>
      </c>
      <c r="K103" s="27"/>
      <c r="L103" s="27"/>
      <c r="M103" s="13">
        <v>42205</v>
      </c>
      <c r="N103" s="86">
        <v>40000</v>
      </c>
      <c r="O103" s="28" t="s">
        <v>20</v>
      </c>
      <c r="P103" s="1" t="s">
        <v>44</v>
      </c>
      <c r="Q103" s="141"/>
      <c r="R103" s="191">
        <v>40000</v>
      </c>
    </row>
    <row r="104" spans="1:18" s="1" customFormat="1" ht="15.75" customHeight="1" x14ac:dyDescent="0.3">
      <c r="A104" s="5" t="s">
        <v>329</v>
      </c>
      <c r="B104" s="9" t="s">
        <v>330</v>
      </c>
      <c r="C104" s="11" t="s">
        <v>4490</v>
      </c>
      <c r="D104" t="s">
        <v>4493</v>
      </c>
      <c r="E104"/>
      <c r="F104"/>
      <c r="G104" t="s">
        <v>4645</v>
      </c>
      <c r="H104" s="3" t="s">
        <v>331</v>
      </c>
      <c r="I104" s="160"/>
      <c r="J104" s="165" t="s">
        <v>39</v>
      </c>
      <c r="K104" s="27"/>
      <c r="L104" s="27"/>
      <c r="M104" s="13">
        <v>42216</v>
      </c>
      <c r="N104" s="90">
        <v>173000</v>
      </c>
      <c r="O104" s="28" t="s">
        <v>20</v>
      </c>
      <c r="P104" s="1" t="s">
        <v>78</v>
      </c>
      <c r="Q104" s="141"/>
      <c r="R104" s="193">
        <v>173000</v>
      </c>
    </row>
    <row r="105" spans="1:18" s="1" customFormat="1" ht="15.75" customHeight="1" x14ac:dyDescent="0.3">
      <c r="A105" s="5" t="s">
        <v>332</v>
      </c>
      <c r="B105" s="9" t="s">
        <v>333</v>
      </c>
      <c r="C105" s="11" t="s">
        <v>4490</v>
      </c>
      <c r="D105" t="s">
        <v>4493</v>
      </c>
      <c r="E105"/>
      <c r="F105"/>
      <c r="G105" t="s">
        <v>4645</v>
      </c>
      <c r="H105" s="3" t="s">
        <v>331</v>
      </c>
      <c r="I105" s="160"/>
      <c r="J105" s="165" t="s">
        <v>39</v>
      </c>
      <c r="K105" s="27"/>
      <c r="L105" s="27"/>
      <c r="M105" s="13">
        <v>42216</v>
      </c>
      <c r="N105" s="90">
        <v>173000</v>
      </c>
      <c r="O105" s="28" t="s">
        <v>20</v>
      </c>
      <c r="P105" s="1" t="s">
        <v>78</v>
      </c>
      <c r="Q105" s="141"/>
      <c r="R105" s="193">
        <v>173000</v>
      </c>
    </row>
    <row r="106" spans="1:18" s="1" customFormat="1" ht="15.75" customHeight="1" x14ac:dyDescent="0.3">
      <c r="A106" s="5" t="s">
        <v>334</v>
      </c>
      <c r="B106" s="9" t="s">
        <v>335</v>
      </c>
      <c r="C106" s="11" t="s">
        <v>4489</v>
      </c>
      <c r="D106" t="s">
        <v>4495</v>
      </c>
      <c r="E106"/>
      <c r="F106"/>
      <c r="G106" t="s">
        <v>4557</v>
      </c>
      <c r="H106" s="3" t="s">
        <v>336</v>
      </c>
      <c r="I106"/>
      <c r="J106" s="165" t="s">
        <v>39</v>
      </c>
      <c r="K106" s="27"/>
      <c r="L106" s="27"/>
      <c r="M106" s="13">
        <v>42239</v>
      </c>
      <c r="N106" s="90">
        <v>15000</v>
      </c>
      <c r="O106" s="28" t="s">
        <v>20</v>
      </c>
      <c r="Q106" s="141"/>
      <c r="R106" s="193">
        <v>15000</v>
      </c>
    </row>
    <row r="107" spans="1:18" s="1" customFormat="1" ht="15.75" customHeight="1" x14ac:dyDescent="0.3">
      <c r="A107" s="5" t="s">
        <v>337</v>
      </c>
      <c r="B107" s="9" t="s">
        <v>338</v>
      </c>
      <c r="C107" s="11" t="s">
        <v>4487</v>
      </c>
      <c r="D107" t="s">
        <v>4493</v>
      </c>
      <c r="E107" t="s">
        <v>339</v>
      </c>
      <c r="F107"/>
      <c r="G107" t="s">
        <v>4623</v>
      </c>
      <c r="H107" s="3" t="s">
        <v>340</v>
      </c>
      <c r="I107"/>
      <c r="J107" s="165" t="s">
        <v>39</v>
      </c>
      <c r="K107" s="27"/>
      <c r="L107" s="27"/>
      <c r="M107" s="13">
        <v>42260</v>
      </c>
      <c r="N107" s="90">
        <v>25000</v>
      </c>
      <c r="O107" s="28" t="s">
        <v>20</v>
      </c>
      <c r="P107" s="1" t="s">
        <v>78</v>
      </c>
      <c r="Q107" s="141"/>
      <c r="R107" s="193">
        <v>25000</v>
      </c>
    </row>
    <row r="108" spans="1:18" s="1" customFormat="1" ht="15.75" customHeight="1" x14ac:dyDescent="0.3">
      <c r="A108" s="5" t="s">
        <v>341</v>
      </c>
      <c r="B108" s="9" t="s">
        <v>342</v>
      </c>
      <c r="C108" s="11" t="s">
        <v>4489</v>
      </c>
      <c r="D108" t="s">
        <v>4495</v>
      </c>
      <c r="E108"/>
      <c r="F108"/>
      <c r="G108" t="s">
        <v>4626</v>
      </c>
      <c r="H108" s="3" t="s">
        <v>153</v>
      </c>
      <c r="I108"/>
      <c r="J108" s="165" t="s">
        <v>39</v>
      </c>
      <c r="K108" s="27"/>
      <c r="L108" s="27"/>
      <c r="M108" s="13">
        <v>42261</v>
      </c>
      <c r="N108" s="90">
        <v>6000</v>
      </c>
      <c r="O108" s="28"/>
      <c r="Q108" s="141"/>
      <c r="R108" s="193">
        <v>6000</v>
      </c>
    </row>
    <row r="109" spans="1:18" s="1" customFormat="1" ht="15.75" customHeight="1" x14ac:dyDescent="0.3">
      <c r="A109" s="5" t="s">
        <v>343</v>
      </c>
      <c r="B109" s="9" t="s">
        <v>344</v>
      </c>
      <c r="C109" s="11" t="s">
        <v>4489</v>
      </c>
      <c r="D109" t="s">
        <v>4493</v>
      </c>
      <c r="E109" s="132"/>
      <c r="F109" s="15"/>
      <c r="G109" s="15"/>
      <c r="H109" s="3" t="s">
        <v>345</v>
      </c>
      <c r="I109"/>
      <c r="J109" s="165" t="s">
        <v>39</v>
      </c>
      <c r="K109" s="27"/>
      <c r="L109" s="27"/>
      <c r="M109" s="13">
        <v>42273</v>
      </c>
      <c r="N109" s="90">
        <v>2799</v>
      </c>
      <c r="O109" s="28"/>
      <c r="Q109" s="141"/>
      <c r="R109" s="193">
        <v>2799</v>
      </c>
    </row>
    <row r="110" spans="1:18" s="1" customFormat="1" ht="15.75" customHeight="1" x14ac:dyDescent="0.3">
      <c r="A110" s="5" t="s">
        <v>346</v>
      </c>
      <c r="B110" s="9" t="s">
        <v>347</v>
      </c>
      <c r="C110" s="11" t="s">
        <v>4519</v>
      </c>
      <c r="D110" t="s">
        <v>4495</v>
      </c>
      <c r="E110" s="132"/>
      <c r="F110" s="15"/>
      <c r="G110" s="15"/>
      <c r="H110" s="3" t="s">
        <v>348</v>
      </c>
      <c r="I110" t="s">
        <v>4532</v>
      </c>
      <c r="J110" s="165" t="s">
        <v>39</v>
      </c>
      <c r="K110" s="27"/>
      <c r="L110" s="27"/>
      <c r="M110" s="13">
        <v>42277</v>
      </c>
      <c r="N110" s="86">
        <v>3000</v>
      </c>
      <c r="O110" s="28" t="s">
        <v>20</v>
      </c>
      <c r="Q110" s="141"/>
      <c r="R110" s="191">
        <v>3000</v>
      </c>
    </row>
    <row r="111" spans="1:18" s="1" customFormat="1" ht="15.75" customHeight="1" x14ac:dyDescent="0.3">
      <c r="A111" s="5" t="s">
        <v>349</v>
      </c>
      <c r="B111" s="9" t="s">
        <v>350</v>
      </c>
      <c r="C111" s="11" t="s">
        <v>4518</v>
      </c>
      <c r="D111" t="s">
        <v>4494</v>
      </c>
      <c r="E111"/>
      <c r="F111"/>
      <c r="G111" t="s">
        <v>4675</v>
      </c>
      <c r="H111" s="3" t="s">
        <v>351</v>
      </c>
      <c r="I111"/>
      <c r="J111" s="165" t="s">
        <v>39</v>
      </c>
      <c r="K111" s="27"/>
      <c r="L111" s="27"/>
      <c r="M111" s="13">
        <v>42285</v>
      </c>
      <c r="N111" s="86">
        <v>20000</v>
      </c>
      <c r="O111" s="28"/>
      <c r="Q111" s="141"/>
      <c r="R111" s="191">
        <v>20000</v>
      </c>
    </row>
    <row r="112" spans="1:18" s="1" customFormat="1" ht="15.75" customHeight="1" x14ac:dyDescent="0.3">
      <c r="A112" s="5" t="s">
        <v>352</v>
      </c>
      <c r="B112" s="9" t="s">
        <v>353</v>
      </c>
      <c r="C112" s="11" t="s">
        <v>4490</v>
      </c>
      <c r="D112" t="s">
        <v>4495</v>
      </c>
      <c r="E112" s="160"/>
      <c r="F112" t="s">
        <v>354</v>
      </c>
      <c r="G112" t="s">
        <v>4557</v>
      </c>
      <c r="H112" s="3" t="s">
        <v>220</v>
      </c>
      <c r="I112"/>
      <c r="J112" s="165" t="s">
        <v>39</v>
      </c>
      <c r="K112" s="27"/>
      <c r="L112" s="27"/>
      <c r="M112" s="13">
        <v>42286</v>
      </c>
      <c r="N112" s="86">
        <v>78000</v>
      </c>
      <c r="O112" s="28" t="s">
        <v>20</v>
      </c>
      <c r="P112" s="1" t="s">
        <v>44</v>
      </c>
      <c r="Q112" s="141"/>
      <c r="R112" s="191">
        <v>78000</v>
      </c>
    </row>
    <row r="113" spans="1:18" s="1" customFormat="1" ht="15.75" customHeight="1" x14ac:dyDescent="0.3">
      <c r="A113" s="5" t="s">
        <v>355</v>
      </c>
      <c r="B113" s="9" t="s">
        <v>356</v>
      </c>
      <c r="C113" s="11" t="s">
        <v>4518</v>
      </c>
      <c r="D113" t="s">
        <v>4495</v>
      </c>
      <c r="E113"/>
      <c r="F113"/>
      <c r="G113"/>
      <c r="H113" s="3" t="s">
        <v>357</v>
      </c>
      <c r="I113"/>
      <c r="J113" s="165" t="s">
        <v>39</v>
      </c>
      <c r="K113" s="27"/>
      <c r="L113" s="27"/>
      <c r="M113" s="13">
        <v>42292</v>
      </c>
      <c r="N113" s="86">
        <v>700</v>
      </c>
      <c r="O113" s="28" t="s">
        <v>20</v>
      </c>
      <c r="P113" s="1" t="s">
        <v>66</v>
      </c>
      <c r="Q113" s="141"/>
      <c r="R113" s="191">
        <v>700</v>
      </c>
    </row>
    <row r="114" spans="1:18" s="1" customFormat="1" ht="15.75" customHeight="1" x14ac:dyDescent="0.3">
      <c r="A114" s="5" t="s">
        <v>358</v>
      </c>
      <c r="B114" s="9" t="s">
        <v>359</v>
      </c>
      <c r="C114" s="11" t="s">
        <v>4521</v>
      </c>
      <c r="D114" t="s">
        <v>4498</v>
      </c>
      <c r="E114"/>
      <c r="F114"/>
      <c r="G114" t="s">
        <v>4629</v>
      </c>
      <c r="H114" s="3" t="s">
        <v>360</v>
      </c>
      <c r="I114"/>
      <c r="J114" s="165" t="s">
        <v>39</v>
      </c>
      <c r="K114" s="27"/>
      <c r="L114" s="27"/>
      <c r="M114" s="13">
        <v>42314</v>
      </c>
      <c r="N114" s="86">
        <v>150000</v>
      </c>
      <c r="O114" s="28"/>
      <c r="Q114" s="141"/>
      <c r="R114" s="191">
        <v>150000</v>
      </c>
    </row>
    <row r="115" spans="1:18" s="1" customFormat="1" ht="15.75" customHeight="1" x14ac:dyDescent="0.3">
      <c r="A115" s="5" t="s">
        <v>361</v>
      </c>
      <c r="B115" s="9" t="s">
        <v>362</v>
      </c>
      <c r="C115" s="11" t="s">
        <v>4521</v>
      </c>
      <c r="D115" t="s">
        <v>4498</v>
      </c>
      <c r="E115" s="132"/>
      <c r="F115" s="15"/>
      <c r="G115" s="15"/>
      <c r="H115" s="3" t="s">
        <v>363</v>
      </c>
      <c r="I115"/>
      <c r="J115" s="165" t="s">
        <v>39</v>
      </c>
      <c r="K115" s="27"/>
      <c r="L115" s="27"/>
      <c r="M115" s="13">
        <v>42314</v>
      </c>
      <c r="N115" s="86">
        <v>100000</v>
      </c>
      <c r="O115" s="28"/>
      <c r="Q115" s="141"/>
      <c r="R115" s="191">
        <v>100000</v>
      </c>
    </row>
    <row r="116" spans="1:18" s="1" customFormat="1" ht="15.75" customHeight="1" x14ac:dyDescent="0.3">
      <c r="A116" s="5" t="s">
        <v>364</v>
      </c>
      <c r="B116" s="9" t="s">
        <v>365</v>
      </c>
      <c r="C116" s="11" t="s">
        <v>4521</v>
      </c>
      <c r="D116" t="s">
        <v>4498</v>
      </c>
      <c r="E116" s="132"/>
      <c r="F116" s="15"/>
      <c r="G116" s="15"/>
      <c r="H116" s="3" t="s">
        <v>366</v>
      </c>
      <c r="I116"/>
      <c r="J116" s="165" t="s">
        <v>39</v>
      </c>
      <c r="K116" s="27"/>
      <c r="L116" s="27"/>
      <c r="M116" s="13">
        <v>42314</v>
      </c>
      <c r="N116" s="86">
        <v>150000</v>
      </c>
      <c r="O116" s="28"/>
      <c r="Q116" s="141"/>
      <c r="R116" s="191">
        <v>150000</v>
      </c>
    </row>
    <row r="117" spans="1:18" s="1" customFormat="1" ht="15.75" customHeight="1" x14ac:dyDescent="0.3">
      <c r="A117" s="5" t="s">
        <v>367</v>
      </c>
      <c r="B117" s="9" t="s">
        <v>368</v>
      </c>
      <c r="C117" s="11" t="s">
        <v>4521</v>
      </c>
      <c r="D117" t="s">
        <v>4498</v>
      </c>
      <c r="E117" s="132"/>
      <c r="F117" s="15"/>
      <c r="G117" s="15"/>
      <c r="H117" s="3" t="s">
        <v>369</v>
      </c>
      <c r="I117"/>
      <c r="J117" s="165" t="s">
        <v>39</v>
      </c>
      <c r="K117" s="27"/>
      <c r="L117" s="27"/>
      <c r="M117" s="13">
        <v>42314</v>
      </c>
      <c r="N117" s="86">
        <v>50000</v>
      </c>
      <c r="O117" s="28"/>
      <c r="Q117" s="141"/>
      <c r="R117" s="191">
        <v>50000</v>
      </c>
    </row>
    <row r="118" spans="1:18" s="1" customFormat="1" ht="15.75" customHeight="1" x14ac:dyDescent="0.3">
      <c r="A118" s="5" t="s">
        <v>370</v>
      </c>
      <c r="B118" s="9" t="s">
        <v>371</v>
      </c>
      <c r="C118" s="11" t="s">
        <v>4521</v>
      </c>
      <c r="D118" t="s">
        <v>4498</v>
      </c>
      <c r="E118" s="132"/>
      <c r="F118" s="15"/>
      <c r="G118" s="15"/>
      <c r="H118" s="3" t="s">
        <v>372</v>
      </c>
      <c r="I118"/>
      <c r="J118" s="165" t="s">
        <v>39</v>
      </c>
      <c r="K118" s="27"/>
      <c r="L118" s="27"/>
      <c r="M118" s="13">
        <v>42314</v>
      </c>
      <c r="N118" s="86">
        <v>50000</v>
      </c>
      <c r="O118" s="28" t="s">
        <v>20</v>
      </c>
      <c r="Q118" s="141"/>
      <c r="R118" s="191">
        <v>50000</v>
      </c>
    </row>
    <row r="119" spans="1:18" s="1" customFormat="1" ht="15.75" customHeight="1" x14ac:dyDescent="0.3">
      <c r="A119" s="5" t="s">
        <v>373</v>
      </c>
      <c r="B119" s="9" t="s">
        <v>374</v>
      </c>
      <c r="C119" s="11" t="s">
        <v>4521</v>
      </c>
      <c r="D119" t="s">
        <v>4498</v>
      </c>
      <c r="E119" s="132"/>
      <c r="F119" s="15"/>
      <c r="G119" s="15"/>
      <c r="H119" s="3" t="s">
        <v>375</v>
      </c>
      <c r="I119"/>
      <c r="J119" s="165" t="s">
        <v>39</v>
      </c>
      <c r="K119" s="27"/>
      <c r="L119" s="27"/>
      <c r="M119" s="13">
        <v>42314</v>
      </c>
      <c r="N119" s="86">
        <v>10000</v>
      </c>
      <c r="O119" s="28"/>
      <c r="Q119" s="141"/>
      <c r="R119" s="191">
        <v>10000</v>
      </c>
    </row>
    <row r="120" spans="1:18" s="1" customFormat="1" ht="15.75" customHeight="1" x14ac:dyDescent="0.3">
      <c r="A120" s="5" t="s">
        <v>376</v>
      </c>
      <c r="B120" s="9" t="s">
        <v>377</v>
      </c>
      <c r="C120" s="11" t="s">
        <v>4521</v>
      </c>
      <c r="D120" t="s">
        <v>4498</v>
      </c>
      <c r="E120" s="132"/>
      <c r="F120" s="15"/>
      <c r="G120" s="15"/>
      <c r="H120" s="3" t="s">
        <v>378</v>
      </c>
      <c r="I120"/>
      <c r="J120" s="165" t="s">
        <v>39</v>
      </c>
      <c r="K120" s="27"/>
      <c r="L120" s="27"/>
      <c r="M120" s="13">
        <v>42314</v>
      </c>
      <c r="N120" s="86">
        <v>30000</v>
      </c>
      <c r="O120" s="28"/>
      <c r="Q120" s="141"/>
      <c r="R120" s="191">
        <v>30000</v>
      </c>
    </row>
    <row r="121" spans="1:18" s="1" customFormat="1" ht="15.75" customHeight="1" x14ac:dyDescent="0.3">
      <c r="A121" s="5" t="s">
        <v>379</v>
      </c>
      <c r="B121" s="9" t="s">
        <v>380</v>
      </c>
      <c r="C121" s="11" t="s">
        <v>4521</v>
      </c>
      <c r="D121" t="s">
        <v>4498</v>
      </c>
      <c r="E121" s="132"/>
      <c r="F121" s="15"/>
      <c r="G121" s="15"/>
      <c r="H121" s="3" t="s">
        <v>381</v>
      </c>
      <c r="I121"/>
      <c r="J121" s="165" t="s">
        <v>39</v>
      </c>
      <c r="K121" s="27"/>
      <c r="L121" s="27"/>
      <c r="M121" s="13">
        <v>42314</v>
      </c>
      <c r="N121" s="86">
        <v>35000</v>
      </c>
      <c r="O121" s="28"/>
      <c r="Q121" s="141"/>
      <c r="R121" s="191">
        <v>35000</v>
      </c>
    </row>
    <row r="122" spans="1:18" s="1" customFormat="1" ht="15.75" customHeight="1" x14ac:dyDescent="0.3">
      <c r="A122" s="5" t="s">
        <v>382</v>
      </c>
      <c r="B122" s="9" t="s">
        <v>383</v>
      </c>
      <c r="C122" s="11" t="s">
        <v>4521</v>
      </c>
      <c r="D122" t="s">
        <v>4498</v>
      </c>
      <c r="E122" s="132"/>
      <c r="F122" s="15"/>
      <c r="G122" s="15"/>
      <c r="H122" s="3" t="s">
        <v>384</v>
      </c>
      <c r="I122"/>
      <c r="J122" s="165" t="s">
        <v>39</v>
      </c>
      <c r="K122" s="27"/>
      <c r="L122" s="27"/>
      <c r="M122" s="13">
        <v>42314</v>
      </c>
      <c r="N122" s="86">
        <v>35000</v>
      </c>
      <c r="O122" s="28"/>
      <c r="Q122" s="141"/>
      <c r="R122" s="191">
        <v>35000</v>
      </c>
    </row>
    <row r="123" spans="1:18" s="1" customFormat="1" ht="15.75" customHeight="1" x14ac:dyDescent="0.3">
      <c r="A123" s="5" t="s">
        <v>385</v>
      </c>
      <c r="B123" s="9" t="s">
        <v>386</v>
      </c>
      <c r="C123" s="11" t="s">
        <v>4521</v>
      </c>
      <c r="D123" t="s">
        <v>4498</v>
      </c>
      <c r="E123" s="132"/>
      <c r="F123" s="15"/>
      <c r="G123" s="15"/>
      <c r="H123" s="3" t="s">
        <v>387</v>
      </c>
      <c r="I123"/>
      <c r="J123" s="165" t="s">
        <v>39</v>
      </c>
      <c r="K123" s="27"/>
      <c r="L123" s="27"/>
      <c r="M123" s="13">
        <v>42314</v>
      </c>
      <c r="N123" s="86">
        <v>35000</v>
      </c>
      <c r="O123" s="28"/>
      <c r="Q123" s="141"/>
      <c r="R123" s="191">
        <v>35000</v>
      </c>
    </row>
    <row r="124" spans="1:18" s="1" customFormat="1" ht="15.75" customHeight="1" x14ac:dyDescent="0.3">
      <c r="A124" s="5" t="s">
        <v>388</v>
      </c>
      <c r="B124" s="9" t="s">
        <v>389</v>
      </c>
      <c r="C124" s="11" t="s">
        <v>4521</v>
      </c>
      <c r="D124" t="s">
        <v>4498</v>
      </c>
      <c r="E124" s="132"/>
      <c r="F124" s="15"/>
      <c r="G124" s="15"/>
      <c r="H124" s="3" t="s">
        <v>390</v>
      </c>
      <c r="I124"/>
      <c r="J124" s="165" t="s">
        <v>39</v>
      </c>
      <c r="K124" s="27"/>
      <c r="L124" s="27"/>
      <c r="M124" s="13">
        <v>42314</v>
      </c>
      <c r="N124" s="86">
        <v>90000</v>
      </c>
      <c r="O124" s="28"/>
      <c r="Q124" s="141"/>
      <c r="R124" s="191">
        <v>90000</v>
      </c>
    </row>
    <row r="125" spans="1:18" s="1" customFormat="1" ht="15.75" customHeight="1" x14ac:dyDescent="0.3">
      <c r="A125" s="5" t="s">
        <v>391</v>
      </c>
      <c r="B125" s="9" t="s">
        <v>392</v>
      </c>
      <c r="C125" s="11" t="s">
        <v>4521</v>
      </c>
      <c r="D125" t="s">
        <v>4498</v>
      </c>
      <c r="E125" s="132"/>
      <c r="F125" s="15"/>
      <c r="G125" s="15"/>
      <c r="H125" s="3" t="s">
        <v>393</v>
      </c>
      <c r="I125" s="160"/>
      <c r="J125" s="165" t="s">
        <v>39</v>
      </c>
      <c r="K125" s="27"/>
      <c r="L125" s="27"/>
      <c r="M125" s="13">
        <v>42314</v>
      </c>
      <c r="N125" s="86">
        <v>200000</v>
      </c>
      <c r="O125" s="28"/>
      <c r="Q125" s="141"/>
      <c r="R125" s="191">
        <v>200000</v>
      </c>
    </row>
    <row r="126" spans="1:18" s="1" customFormat="1" ht="15.75" customHeight="1" x14ac:dyDescent="0.3">
      <c r="A126" s="5" t="s">
        <v>394</v>
      </c>
      <c r="B126" s="9" t="s">
        <v>395</v>
      </c>
      <c r="C126" s="11" t="s">
        <v>4521</v>
      </c>
      <c r="D126" t="s">
        <v>4498</v>
      </c>
      <c r="E126" s="132"/>
      <c r="F126" s="15"/>
      <c r="G126" s="15"/>
      <c r="H126" s="3" t="s">
        <v>396</v>
      </c>
      <c r="I126"/>
      <c r="J126" s="165" t="s">
        <v>39</v>
      </c>
      <c r="K126" s="27"/>
      <c r="L126" s="27"/>
      <c r="M126" s="13">
        <v>42314</v>
      </c>
      <c r="N126" s="86">
        <v>50000</v>
      </c>
      <c r="O126" s="28"/>
      <c r="Q126" s="141"/>
      <c r="R126" s="191">
        <v>50000</v>
      </c>
    </row>
    <row r="127" spans="1:18" s="1" customFormat="1" ht="15.75" customHeight="1" x14ac:dyDescent="0.3">
      <c r="A127" s="5" t="s">
        <v>397</v>
      </c>
      <c r="B127" s="9" t="s">
        <v>398</v>
      </c>
      <c r="C127" s="11" t="s">
        <v>4521</v>
      </c>
      <c r="D127" t="s">
        <v>4498</v>
      </c>
      <c r="E127" s="132"/>
      <c r="F127" s="15"/>
      <c r="G127" s="15"/>
      <c r="H127" s="3" t="s">
        <v>399</v>
      </c>
      <c r="I127"/>
      <c r="J127" s="165" t="s">
        <v>39</v>
      </c>
      <c r="K127" s="27"/>
      <c r="L127" s="27"/>
      <c r="M127" s="13">
        <v>42314</v>
      </c>
      <c r="N127" s="86">
        <v>150000</v>
      </c>
      <c r="O127" s="28"/>
      <c r="Q127" s="141"/>
      <c r="R127" s="191">
        <v>150000</v>
      </c>
    </row>
    <row r="128" spans="1:18" s="1" customFormat="1" ht="15.75" customHeight="1" x14ac:dyDescent="0.3">
      <c r="A128" s="5" t="s">
        <v>400</v>
      </c>
      <c r="B128" s="9" t="s">
        <v>401</v>
      </c>
      <c r="C128" s="11" t="s">
        <v>4521</v>
      </c>
      <c r="D128" t="s">
        <v>4498</v>
      </c>
      <c r="E128" s="132"/>
      <c r="F128" s="15"/>
      <c r="G128" s="15"/>
      <c r="H128" s="3" t="s">
        <v>402</v>
      </c>
      <c r="I128"/>
      <c r="J128" s="165" t="s">
        <v>39</v>
      </c>
      <c r="K128" s="27"/>
      <c r="L128" s="27"/>
      <c r="M128" s="13">
        <v>42314</v>
      </c>
      <c r="N128" s="86">
        <v>150000</v>
      </c>
      <c r="O128" s="28"/>
      <c r="Q128" s="141"/>
      <c r="R128" s="191">
        <v>150000</v>
      </c>
    </row>
    <row r="129" spans="1:18" s="1" customFormat="1" ht="15.75" customHeight="1" x14ac:dyDescent="0.3">
      <c r="A129" s="5" t="s">
        <v>403</v>
      </c>
      <c r="B129" s="9" t="s">
        <v>404</v>
      </c>
      <c r="C129" s="11" t="s">
        <v>4521</v>
      </c>
      <c r="D129" t="s">
        <v>4498</v>
      </c>
      <c r="E129" s="132"/>
      <c r="F129" s="15"/>
      <c r="G129" s="15"/>
      <c r="H129" s="3" t="s">
        <v>405</v>
      </c>
      <c r="I129"/>
      <c r="J129" s="165" t="s">
        <v>39</v>
      </c>
      <c r="K129" s="27"/>
      <c r="L129" s="27"/>
      <c r="M129" s="13">
        <v>42314</v>
      </c>
      <c r="N129" s="86">
        <v>30000</v>
      </c>
      <c r="O129" s="28"/>
      <c r="Q129" s="141"/>
      <c r="R129" s="191">
        <v>30000</v>
      </c>
    </row>
    <row r="130" spans="1:18" s="1" customFormat="1" ht="15.75" customHeight="1" x14ac:dyDescent="0.3">
      <c r="A130" s="5" t="s">
        <v>406</v>
      </c>
      <c r="B130" s="9" t="s">
        <v>407</v>
      </c>
      <c r="C130" s="11" t="s">
        <v>4521</v>
      </c>
      <c r="D130" t="s">
        <v>4498</v>
      </c>
      <c r="E130" s="132"/>
      <c r="F130" s="15"/>
      <c r="G130" s="15"/>
      <c r="H130" s="3" t="s">
        <v>408</v>
      </c>
      <c r="I130"/>
      <c r="J130" s="167" t="s">
        <v>39</v>
      </c>
      <c r="K130" s="27"/>
      <c r="L130" s="27"/>
      <c r="M130" s="13">
        <v>42314</v>
      </c>
      <c r="N130" s="86">
        <v>30000</v>
      </c>
      <c r="O130" s="28"/>
      <c r="Q130" s="141"/>
      <c r="R130" s="191">
        <v>30000</v>
      </c>
    </row>
    <row r="131" spans="1:18" s="1" customFormat="1" ht="15.75" customHeight="1" x14ac:dyDescent="0.3">
      <c r="A131" s="5" t="s">
        <v>409</v>
      </c>
      <c r="B131" s="9" t="s">
        <v>410</v>
      </c>
      <c r="C131" s="11" t="s">
        <v>4521</v>
      </c>
      <c r="D131" t="s">
        <v>4498</v>
      </c>
      <c r="E131" s="132"/>
      <c r="F131" s="15"/>
      <c r="G131" s="15"/>
      <c r="H131" s="3" t="s">
        <v>411</v>
      </c>
      <c r="I131"/>
      <c r="J131" s="167" t="s">
        <v>39</v>
      </c>
      <c r="K131" s="27"/>
      <c r="L131" s="27"/>
      <c r="M131" s="13">
        <v>42314</v>
      </c>
      <c r="N131" s="86">
        <v>30000</v>
      </c>
      <c r="O131" s="28"/>
      <c r="Q131" s="141"/>
      <c r="R131" s="191">
        <v>30000</v>
      </c>
    </row>
    <row r="132" spans="1:18" s="1" customFormat="1" ht="15.75" customHeight="1" x14ac:dyDescent="0.3">
      <c r="A132" s="5" t="s">
        <v>412</v>
      </c>
      <c r="B132" s="9" t="s">
        <v>413</v>
      </c>
      <c r="C132" s="11" t="s">
        <v>4521</v>
      </c>
      <c r="D132" t="s">
        <v>4498</v>
      </c>
      <c r="E132" s="132"/>
      <c r="F132" s="15"/>
      <c r="G132" s="15"/>
      <c r="H132" s="3" t="s">
        <v>414</v>
      </c>
      <c r="I132"/>
      <c r="J132" s="167" t="s">
        <v>39</v>
      </c>
      <c r="K132" s="27"/>
      <c r="L132" s="27"/>
      <c r="M132" s="13">
        <v>42314</v>
      </c>
      <c r="N132" s="86">
        <v>30000</v>
      </c>
      <c r="O132" s="28"/>
      <c r="Q132" s="141"/>
      <c r="R132" s="191">
        <v>30000</v>
      </c>
    </row>
    <row r="133" spans="1:18" s="1" customFormat="1" ht="15.75" customHeight="1" x14ac:dyDescent="0.3">
      <c r="A133" s="5" t="s">
        <v>415</v>
      </c>
      <c r="B133" s="9" t="s">
        <v>416</v>
      </c>
      <c r="C133" s="11" t="s">
        <v>4521</v>
      </c>
      <c r="D133" t="s">
        <v>4498</v>
      </c>
      <c r="E133" s="132"/>
      <c r="F133" s="15"/>
      <c r="G133" s="15"/>
      <c r="H133" s="3" t="s">
        <v>417</v>
      </c>
      <c r="I133"/>
      <c r="J133" s="167" t="s">
        <v>39</v>
      </c>
      <c r="K133" s="27"/>
      <c r="L133" s="27"/>
      <c r="M133" s="13">
        <v>42314</v>
      </c>
      <c r="N133" s="86">
        <v>30000</v>
      </c>
      <c r="O133" s="28"/>
      <c r="Q133" s="141"/>
      <c r="R133" s="191">
        <v>30000</v>
      </c>
    </row>
    <row r="134" spans="1:18" s="1" customFormat="1" ht="15.75" customHeight="1" x14ac:dyDescent="0.3">
      <c r="A134" s="5" t="s">
        <v>418</v>
      </c>
      <c r="B134" s="9" t="s">
        <v>419</v>
      </c>
      <c r="C134" s="11" t="s">
        <v>4521</v>
      </c>
      <c r="D134" t="s">
        <v>4498</v>
      </c>
      <c r="E134" s="132"/>
      <c r="F134" s="15"/>
      <c r="G134" s="15"/>
      <c r="H134" s="3" t="s">
        <v>420</v>
      </c>
      <c r="I134"/>
      <c r="J134" s="165" t="s">
        <v>39</v>
      </c>
      <c r="K134" s="27"/>
      <c r="L134" s="27"/>
      <c r="M134" s="13">
        <v>42314</v>
      </c>
      <c r="N134" s="86">
        <v>55000</v>
      </c>
      <c r="O134" s="28"/>
      <c r="Q134" s="141"/>
      <c r="R134" s="191">
        <v>55000</v>
      </c>
    </row>
    <row r="135" spans="1:18" s="1" customFormat="1" ht="15.75" customHeight="1" x14ac:dyDescent="0.3">
      <c r="A135" s="5" t="s">
        <v>421</v>
      </c>
      <c r="B135" s="9" t="s">
        <v>422</v>
      </c>
      <c r="C135" s="11" t="s">
        <v>4521</v>
      </c>
      <c r="D135" t="s">
        <v>4498</v>
      </c>
      <c r="E135" s="132"/>
      <c r="F135" s="15"/>
      <c r="G135" s="15"/>
      <c r="H135" s="3" t="s">
        <v>423</v>
      </c>
      <c r="I135"/>
      <c r="J135" s="165" t="s">
        <v>39</v>
      </c>
      <c r="K135" s="27"/>
      <c r="L135" s="27"/>
      <c r="M135" s="13">
        <v>42314</v>
      </c>
      <c r="N135" s="86">
        <v>50000</v>
      </c>
      <c r="O135" s="28"/>
      <c r="Q135" s="141"/>
      <c r="R135" s="191">
        <v>50000</v>
      </c>
    </row>
    <row r="136" spans="1:18" s="1" customFormat="1" ht="15.75" customHeight="1" x14ac:dyDescent="0.3">
      <c r="A136" s="5" t="s">
        <v>424</v>
      </c>
      <c r="B136" s="9" t="s">
        <v>425</v>
      </c>
      <c r="C136" s="11" t="s">
        <v>4521</v>
      </c>
      <c r="D136" t="s">
        <v>4498</v>
      </c>
      <c r="E136" s="132"/>
      <c r="F136" s="15"/>
      <c r="G136" s="15"/>
      <c r="H136" s="3" t="s">
        <v>426</v>
      </c>
      <c r="I136"/>
      <c r="J136" s="165" t="s">
        <v>39</v>
      </c>
      <c r="K136" s="27"/>
      <c r="L136" s="27"/>
      <c r="M136" s="13">
        <v>42314</v>
      </c>
      <c r="N136" s="86">
        <v>90000</v>
      </c>
      <c r="O136" s="28"/>
      <c r="Q136" s="141"/>
      <c r="R136" s="191">
        <v>90000</v>
      </c>
    </row>
    <row r="137" spans="1:18" s="1" customFormat="1" ht="15.75" customHeight="1" x14ac:dyDescent="0.3">
      <c r="A137" s="5" t="s">
        <v>427</v>
      </c>
      <c r="B137" s="9" t="s">
        <v>428</v>
      </c>
      <c r="C137" s="11" t="s">
        <v>4521</v>
      </c>
      <c r="D137" t="s">
        <v>4498</v>
      </c>
      <c r="E137" s="132"/>
      <c r="F137" s="15"/>
      <c r="G137" s="15"/>
      <c r="H137" s="3" t="s">
        <v>429</v>
      </c>
      <c r="I137"/>
      <c r="J137" s="165" t="s">
        <v>39</v>
      </c>
      <c r="K137" s="27"/>
      <c r="L137" s="27"/>
      <c r="M137" s="13">
        <v>42314</v>
      </c>
      <c r="N137" s="90">
        <v>25000</v>
      </c>
      <c r="O137" s="28"/>
      <c r="Q137" s="141"/>
      <c r="R137" s="193">
        <v>25000</v>
      </c>
    </row>
    <row r="138" spans="1:18" s="1" customFormat="1" ht="15.75" customHeight="1" x14ac:dyDescent="0.3">
      <c r="A138" s="5" t="s">
        <v>430</v>
      </c>
      <c r="B138" s="9" t="s">
        <v>431</v>
      </c>
      <c r="C138" s="11" t="s">
        <v>4521</v>
      </c>
      <c r="D138" t="s">
        <v>4498</v>
      </c>
      <c r="E138" s="132"/>
      <c r="F138" s="15"/>
      <c r="G138" s="15"/>
      <c r="H138" s="3" t="s">
        <v>432</v>
      </c>
      <c r="I138"/>
      <c r="J138" s="165" t="s">
        <v>39</v>
      </c>
      <c r="K138" s="27"/>
      <c r="L138" s="27"/>
      <c r="M138" s="13">
        <v>42314</v>
      </c>
      <c r="N138" s="90">
        <v>145000</v>
      </c>
      <c r="O138" s="28"/>
      <c r="Q138" s="141"/>
      <c r="R138" s="193">
        <v>145000</v>
      </c>
    </row>
    <row r="139" spans="1:18" s="1" customFormat="1" ht="15.75" customHeight="1" x14ac:dyDescent="0.3">
      <c r="A139" s="5" t="s">
        <v>433</v>
      </c>
      <c r="B139" s="9" t="s">
        <v>434</v>
      </c>
      <c r="C139" s="11" t="s">
        <v>4518</v>
      </c>
      <c r="D139" t="s">
        <v>4494</v>
      </c>
      <c r="E139" s="132"/>
      <c r="F139" s="15"/>
      <c r="G139" s="15"/>
      <c r="H139" s="3" t="s">
        <v>435</v>
      </c>
      <c r="I139"/>
      <c r="J139" s="165" t="s">
        <v>39</v>
      </c>
      <c r="K139" s="27"/>
      <c r="L139" s="27"/>
      <c r="M139" s="13">
        <v>42324</v>
      </c>
      <c r="N139" s="90">
        <v>1849</v>
      </c>
      <c r="O139" s="28"/>
      <c r="Q139" s="141"/>
      <c r="R139" s="193">
        <v>1849</v>
      </c>
    </row>
    <row r="140" spans="1:18" s="22" customFormat="1" ht="15.75" hidden="1" customHeight="1" x14ac:dyDescent="0.3">
      <c r="A140" s="84" t="s">
        <v>436</v>
      </c>
      <c r="B140" s="53" t="s">
        <v>437</v>
      </c>
      <c r="C140" s="54" t="s">
        <v>4489</v>
      </c>
      <c r="D140" t="s">
        <v>4494</v>
      </c>
      <c r="E140"/>
      <c r="F140"/>
      <c r="G140" t="s">
        <v>4616</v>
      </c>
      <c r="H140" s="55" t="s">
        <v>438</v>
      </c>
      <c r="I140"/>
      <c r="J140" s="169"/>
      <c r="K140" s="54"/>
      <c r="L140" s="54"/>
      <c r="M140" s="57"/>
      <c r="N140" s="93"/>
      <c r="O140" s="82"/>
      <c r="P140" s="58"/>
      <c r="Q140" s="141"/>
      <c r="R140" s="196"/>
    </row>
    <row r="141" spans="1:18" s="1" customFormat="1" ht="15.75" customHeight="1" x14ac:dyDescent="0.3">
      <c r="A141" s="5" t="s">
        <v>439</v>
      </c>
      <c r="B141" s="9" t="s">
        <v>440</v>
      </c>
      <c r="C141" s="11" t="s">
        <v>4518</v>
      </c>
      <c r="D141" t="s">
        <v>4494</v>
      </c>
      <c r="E141"/>
      <c r="F141" t="s">
        <v>4679</v>
      </c>
      <c r="G141" t="s">
        <v>4675</v>
      </c>
      <c r="H141" s="3" t="s">
        <v>441</v>
      </c>
      <c r="I141"/>
      <c r="J141" s="165" t="s">
        <v>39</v>
      </c>
      <c r="K141" s="27"/>
      <c r="L141" s="27"/>
      <c r="M141" s="13">
        <v>42327</v>
      </c>
      <c r="N141" s="90">
        <v>30000</v>
      </c>
      <c r="O141" s="28" t="s">
        <v>20</v>
      </c>
      <c r="P141" s="1" t="s">
        <v>78</v>
      </c>
      <c r="Q141" s="141"/>
      <c r="R141" s="193">
        <v>30000</v>
      </c>
    </row>
    <row r="142" spans="1:18" s="1" customFormat="1" ht="15.75" customHeight="1" x14ac:dyDescent="0.3">
      <c r="A142" s="5" t="s">
        <v>442</v>
      </c>
      <c r="B142" s="9" t="s">
        <v>443</v>
      </c>
      <c r="C142" s="11" t="s">
        <v>4490</v>
      </c>
      <c r="D142" t="s">
        <v>4492</v>
      </c>
      <c r="E142"/>
      <c r="F142" t="s">
        <v>444</v>
      </c>
      <c r="G142" t="s">
        <v>4642</v>
      </c>
      <c r="H142" s="3" t="s">
        <v>445</v>
      </c>
      <c r="I142" s="160"/>
      <c r="J142" s="165" t="s">
        <v>39</v>
      </c>
      <c r="K142" s="27"/>
      <c r="L142" s="27"/>
      <c r="M142" s="13">
        <v>42327</v>
      </c>
      <c r="N142" s="90">
        <v>230000</v>
      </c>
      <c r="O142" s="28" t="s">
        <v>20</v>
      </c>
      <c r="Q142" s="141"/>
      <c r="R142" s="193">
        <v>230000</v>
      </c>
    </row>
    <row r="143" spans="1:18" s="1" customFormat="1" ht="15.75" customHeight="1" x14ac:dyDescent="0.3">
      <c r="A143" s="60" t="s">
        <v>446</v>
      </c>
      <c r="B143" s="16" t="s">
        <v>446</v>
      </c>
      <c r="C143" s="19" t="s">
        <v>4488</v>
      </c>
      <c r="D143" t="s">
        <v>4492</v>
      </c>
      <c r="E143"/>
      <c r="F143"/>
      <c r="G143"/>
      <c r="H143" s="19" t="s">
        <v>447</v>
      </c>
      <c r="I143"/>
      <c r="J143" s="165"/>
      <c r="K143" s="19"/>
      <c r="L143" s="11"/>
      <c r="M143" s="47">
        <v>45565</v>
      </c>
      <c r="N143" s="94">
        <v>75298</v>
      </c>
      <c r="O143" s="25"/>
      <c r="P143" s="24" t="s">
        <v>91</v>
      </c>
      <c r="Q143" s="141"/>
      <c r="R143" s="191">
        <v>75298</v>
      </c>
    </row>
    <row r="144" spans="1:18" s="1" customFormat="1" ht="15.75" customHeight="1" x14ac:dyDescent="0.3">
      <c r="A144" s="5" t="s">
        <v>448</v>
      </c>
      <c r="B144" s="9" t="s">
        <v>449</v>
      </c>
      <c r="C144" s="11" t="s">
        <v>4490</v>
      </c>
      <c r="D144" t="s">
        <v>4495</v>
      </c>
      <c r="E144" s="160"/>
      <c r="F144" t="s">
        <v>450</v>
      </c>
      <c r="G144" t="s">
        <v>4642</v>
      </c>
      <c r="H144" s="3" t="s">
        <v>451</v>
      </c>
      <c r="I144"/>
      <c r="J144" s="165" t="s">
        <v>39</v>
      </c>
      <c r="K144" s="27"/>
      <c r="L144" s="27"/>
      <c r="M144" s="13">
        <v>42332</v>
      </c>
      <c r="N144" s="86">
        <v>120000</v>
      </c>
      <c r="O144" s="28" t="s">
        <v>20</v>
      </c>
      <c r="P144" s="24" t="s">
        <v>44</v>
      </c>
      <c r="Q144" s="141"/>
      <c r="R144" s="191">
        <v>120000</v>
      </c>
    </row>
    <row r="145" spans="1:18" s="1" customFormat="1" ht="15.75" customHeight="1" x14ac:dyDescent="0.3">
      <c r="A145" s="5" t="s">
        <v>452</v>
      </c>
      <c r="B145" s="9" t="s">
        <v>453</v>
      </c>
      <c r="C145" s="11" t="s">
        <v>4490</v>
      </c>
      <c r="D145" t="s">
        <v>4494</v>
      </c>
      <c r="E145"/>
      <c r="F145"/>
      <c r="G145" t="s">
        <v>4623</v>
      </c>
      <c r="H145" s="3" t="s">
        <v>454</v>
      </c>
      <c r="I145"/>
      <c r="J145" s="165" t="s">
        <v>39</v>
      </c>
      <c r="K145" s="27"/>
      <c r="L145" s="27"/>
      <c r="M145" s="13">
        <v>42335</v>
      </c>
      <c r="N145" s="86">
        <v>30000</v>
      </c>
      <c r="O145" s="28" t="s">
        <v>20</v>
      </c>
      <c r="P145" s="1" t="s">
        <v>44</v>
      </c>
      <c r="Q145" s="141"/>
      <c r="R145" s="191">
        <v>30000</v>
      </c>
    </row>
    <row r="146" spans="1:18" s="1" customFormat="1" ht="15.75" hidden="1" customHeight="1" x14ac:dyDescent="0.3">
      <c r="A146" s="5" t="s">
        <v>455</v>
      </c>
      <c r="B146" s="9" t="s">
        <v>456</v>
      </c>
      <c r="C146" s="11" t="s">
        <v>4519</v>
      </c>
      <c r="D146" t="s">
        <v>4493</v>
      </c>
      <c r="E146" s="132"/>
      <c r="F146" s="15"/>
      <c r="G146" s="15"/>
      <c r="H146" s="3" t="s">
        <v>314</v>
      </c>
      <c r="I146"/>
      <c r="J146" s="165" t="s">
        <v>39</v>
      </c>
      <c r="K146" s="27"/>
      <c r="L146" s="27"/>
      <c r="M146" s="13">
        <v>42341</v>
      </c>
      <c r="N146" s="86"/>
      <c r="O146" s="28"/>
      <c r="P146" s="1" t="s">
        <v>78</v>
      </c>
      <c r="Q146" s="141"/>
      <c r="R146" s="191"/>
    </row>
    <row r="147" spans="1:18" s="1" customFormat="1" ht="15.75" customHeight="1" x14ac:dyDescent="0.3">
      <c r="A147" s="5" t="s">
        <v>457</v>
      </c>
      <c r="B147" s="9" t="s">
        <v>458</v>
      </c>
      <c r="C147" s="11" t="s">
        <v>4518</v>
      </c>
      <c r="D147" t="s">
        <v>4492</v>
      </c>
      <c r="E147" s="132"/>
      <c r="F147" s="15"/>
      <c r="G147" s="15"/>
      <c r="H147" s="3" t="s">
        <v>459</v>
      </c>
      <c r="I147"/>
      <c r="J147" s="165" t="s">
        <v>39</v>
      </c>
      <c r="K147" s="27"/>
      <c r="L147" s="27"/>
      <c r="M147" s="13">
        <v>42345</v>
      </c>
      <c r="N147" s="86">
        <v>2450</v>
      </c>
      <c r="O147" s="28" t="s">
        <v>20</v>
      </c>
      <c r="P147" s="1" t="s">
        <v>91</v>
      </c>
      <c r="Q147" s="141"/>
      <c r="R147" s="191">
        <v>2450</v>
      </c>
    </row>
    <row r="148" spans="1:18" s="1" customFormat="1" ht="15.75" hidden="1" customHeight="1" x14ac:dyDescent="0.3">
      <c r="A148" s="5" t="s">
        <v>460</v>
      </c>
      <c r="B148" s="9" t="s">
        <v>461</v>
      </c>
      <c r="C148" s="11" t="s">
        <v>4519</v>
      </c>
      <c r="D148" t="s">
        <v>4495</v>
      </c>
      <c r="E148" s="3"/>
      <c r="F148" s="15"/>
      <c r="G148" s="15"/>
      <c r="H148" s="3" t="s">
        <v>462</v>
      </c>
      <c r="I148"/>
      <c r="J148" s="165" t="s">
        <v>39</v>
      </c>
      <c r="K148" s="27"/>
      <c r="L148" s="27"/>
      <c r="M148" s="13">
        <v>42347</v>
      </c>
      <c r="N148" s="86"/>
      <c r="O148" s="28"/>
      <c r="P148" s="1" t="s">
        <v>91</v>
      </c>
      <c r="Q148" s="141"/>
      <c r="R148" s="191"/>
    </row>
    <row r="149" spans="1:18" s="1" customFormat="1" ht="15.75" customHeight="1" x14ac:dyDescent="0.3">
      <c r="A149" s="5" t="s">
        <v>463</v>
      </c>
      <c r="B149" s="9" t="s">
        <v>464</v>
      </c>
      <c r="C149" s="11" t="s">
        <v>4490</v>
      </c>
      <c r="D149" t="s">
        <v>4495</v>
      </c>
      <c r="E149"/>
      <c r="F149"/>
      <c r="G149" t="s">
        <v>4680</v>
      </c>
      <c r="H149" s="3" t="s">
        <v>465</v>
      </c>
      <c r="I149"/>
      <c r="J149" s="165" t="s">
        <v>39</v>
      </c>
      <c r="K149" s="27"/>
      <c r="L149" s="27"/>
      <c r="M149" s="13">
        <v>42365</v>
      </c>
      <c r="N149" s="86">
        <v>5000</v>
      </c>
      <c r="O149" s="28" t="s">
        <v>20</v>
      </c>
      <c r="P149" s="1" t="s">
        <v>44</v>
      </c>
      <c r="Q149" s="141"/>
      <c r="R149" s="191">
        <v>5000</v>
      </c>
    </row>
    <row r="150" spans="1:18" s="1" customFormat="1" ht="15.75" customHeight="1" x14ac:dyDescent="0.3">
      <c r="A150" s="5" t="s">
        <v>466</v>
      </c>
      <c r="B150" s="9" t="s">
        <v>467</v>
      </c>
      <c r="C150" s="11" t="s">
        <v>4519</v>
      </c>
      <c r="D150" t="s">
        <v>4496</v>
      </c>
      <c r="E150" s="132"/>
      <c r="F150" s="10"/>
      <c r="G150" s="10"/>
      <c r="H150" s="3" t="s">
        <v>468</v>
      </c>
      <c r="I150"/>
      <c r="J150" s="165" t="s">
        <v>39</v>
      </c>
      <c r="K150" s="27"/>
      <c r="L150" s="27"/>
      <c r="M150" s="13">
        <v>42390</v>
      </c>
      <c r="N150" s="86">
        <v>5000</v>
      </c>
      <c r="O150" s="28" t="s">
        <v>20</v>
      </c>
      <c r="P150" s="1" t="s">
        <v>78</v>
      </c>
      <c r="Q150" s="141"/>
      <c r="R150" s="191">
        <v>5000</v>
      </c>
    </row>
    <row r="151" spans="1:18" s="1" customFormat="1" ht="15.75" customHeight="1" x14ac:dyDescent="0.3">
      <c r="A151" s="5" t="s">
        <v>469</v>
      </c>
      <c r="B151" s="9" t="s">
        <v>470</v>
      </c>
      <c r="C151" s="11" t="s">
        <v>4518</v>
      </c>
      <c r="D151" t="s">
        <v>4494</v>
      </c>
      <c r="E151"/>
      <c r="F151"/>
      <c r="G151" t="s">
        <v>4642</v>
      </c>
      <c r="H151" s="3" t="s">
        <v>471</v>
      </c>
      <c r="I151"/>
      <c r="J151" s="165" t="s">
        <v>39</v>
      </c>
      <c r="K151" s="27"/>
      <c r="L151" s="27"/>
      <c r="M151" s="13">
        <v>42402</v>
      </c>
      <c r="N151" s="86">
        <v>1000</v>
      </c>
      <c r="O151" s="28"/>
      <c r="Q151" s="141"/>
      <c r="R151" s="191">
        <v>1000</v>
      </c>
    </row>
    <row r="152" spans="1:18" s="1" customFormat="1" ht="15.75" customHeight="1" x14ac:dyDescent="0.3">
      <c r="A152" s="5" t="s">
        <v>472</v>
      </c>
      <c r="B152" s="9" t="s">
        <v>473</v>
      </c>
      <c r="C152" s="11" t="s">
        <v>4519</v>
      </c>
      <c r="D152" t="s">
        <v>4495</v>
      </c>
      <c r="E152" s="132"/>
      <c r="F152" s="15"/>
      <c r="G152" s="15"/>
      <c r="H152" s="3" t="s">
        <v>474</v>
      </c>
      <c r="I152"/>
      <c r="J152" s="165" t="s">
        <v>39</v>
      </c>
      <c r="K152" s="27"/>
      <c r="L152" s="27"/>
      <c r="M152" s="13">
        <v>42411</v>
      </c>
      <c r="N152" s="86">
        <v>1470</v>
      </c>
      <c r="O152" s="28"/>
      <c r="Q152" s="141"/>
      <c r="R152" s="191">
        <v>1470</v>
      </c>
    </row>
    <row r="153" spans="1:18" s="1" customFormat="1" ht="15.75" customHeight="1" x14ac:dyDescent="0.3">
      <c r="A153" s="5" t="s">
        <v>475</v>
      </c>
      <c r="B153" s="9" t="s">
        <v>476</v>
      </c>
      <c r="C153" s="11" t="s">
        <v>4490</v>
      </c>
      <c r="D153" t="s">
        <v>4492</v>
      </c>
      <c r="E153" s="160"/>
      <c r="F153" t="s">
        <v>477</v>
      </c>
      <c r="G153" t="s">
        <v>4629</v>
      </c>
      <c r="H153" s="3" t="s">
        <v>478</v>
      </c>
      <c r="I153"/>
      <c r="J153" s="165" t="s">
        <v>39</v>
      </c>
      <c r="K153" s="27"/>
      <c r="L153" s="27"/>
      <c r="M153" s="13">
        <v>42500</v>
      </c>
      <c r="N153" s="86">
        <v>120000</v>
      </c>
      <c r="O153" s="28" t="s">
        <v>20</v>
      </c>
      <c r="P153" s="1" t="s">
        <v>78</v>
      </c>
      <c r="Q153" s="141"/>
      <c r="R153" s="191">
        <v>120000</v>
      </c>
    </row>
    <row r="154" spans="1:18" s="1" customFormat="1" ht="15.75" customHeight="1" x14ac:dyDescent="0.3">
      <c r="A154" s="5" t="s">
        <v>479</v>
      </c>
      <c r="B154" s="9" t="s">
        <v>480</v>
      </c>
      <c r="C154" s="11" t="s">
        <v>4490</v>
      </c>
      <c r="D154" t="s">
        <v>4493</v>
      </c>
      <c r="E154"/>
      <c r="F154"/>
      <c r="G154" t="s">
        <v>4645</v>
      </c>
      <c r="H154" s="3" t="s">
        <v>331</v>
      </c>
      <c r="I154" s="160"/>
      <c r="J154" s="165" t="s">
        <v>39</v>
      </c>
      <c r="K154" s="27"/>
      <c r="L154" s="27"/>
      <c r="M154" s="13">
        <v>42504</v>
      </c>
      <c r="N154" s="86">
        <v>182000</v>
      </c>
      <c r="O154" s="28" t="s">
        <v>20</v>
      </c>
      <c r="P154" s="1" t="s">
        <v>78</v>
      </c>
      <c r="Q154" s="141"/>
      <c r="R154" s="191">
        <v>182000</v>
      </c>
    </row>
    <row r="155" spans="1:18" s="1" customFormat="1" ht="15.75" customHeight="1" x14ac:dyDescent="0.3">
      <c r="A155" s="5" t="s">
        <v>481</v>
      </c>
      <c r="B155" s="9" t="s">
        <v>482</v>
      </c>
      <c r="C155" s="11" t="s">
        <v>4490</v>
      </c>
      <c r="D155" t="s">
        <v>4495</v>
      </c>
      <c r="E155"/>
      <c r="F155"/>
      <c r="G155" t="s">
        <v>4642</v>
      </c>
      <c r="H155" s="3" t="s">
        <v>483</v>
      </c>
      <c r="I155"/>
      <c r="J155" s="165" t="s">
        <v>39</v>
      </c>
      <c r="K155" s="27"/>
      <c r="L155" s="27"/>
      <c r="M155" s="13">
        <v>42538</v>
      </c>
      <c r="N155" s="86">
        <v>50000</v>
      </c>
      <c r="O155" s="28"/>
      <c r="Q155" s="141"/>
      <c r="R155" s="191">
        <v>50000</v>
      </c>
    </row>
    <row r="156" spans="1:18" s="1" customFormat="1" ht="15.75" customHeight="1" x14ac:dyDescent="0.3">
      <c r="A156" s="5" t="s">
        <v>484</v>
      </c>
      <c r="B156" s="9" t="s">
        <v>485</v>
      </c>
      <c r="C156" s="11" t="s">
        <v>4519</v>
      </c>
      <c r="D156" t="s">
        <v>4493</v>
      </c>
      <c r="E156" s="132"/>
      <c r="F156" s="15"/>
      <c r="G156" s="15"/>
      <c r="H156" s="3" t="s">
        <v>486</v>
      </c>
      <c r="I156"/>
      <c r="J156" s="165" t="s">
        <v>39</v>
      </c>
      <c r="K156" s="27"/>
      <c r="L156" s="27"/>
      <c r="M156" s="13">
        <v>42539</v>
      </c>
      <c r="N156" s="86">
        <v>2200</v>
      </c>
      <c r="O156" s="28" t="s">
        <v>20</v>
      </c>
      <c r="P156" s="1" t="s">
        <v>78</v>
      </c>
      <c r="Q156" s="141"/>
      <c r="R156" s="191">
        <v>2200</v>
      </c>
    </row>
    <row r="157" spans="1:18" s="1" customFormat="1" ht="15.75" customHeight="1" x14ac:dyDescent="0.3">
      <c r="A157" s="5" t="s">
        <v>487</v>
      </c>
      <c r="B157" s="9" t="s">
        <v>488</v>
      </c>
      <c r="C157" s="11" t="s">
        <v>4518</v>
      </c>
      <c r="D157" t="s">
        <v>4495</v>
      </c>
      <c r="E157"/>
      <c r="F157"/>
      <c r="G157" t="s">
        <v>4642</v>
      </c>
      <c r="H157" s="3" t="s">
        <v>489</v>
      </c>
      <c r="I157"/>
      <c r="J157" s="165" t="s">
        <v>39</v>
      </c>
      <c r="K157" s="27"/>
      <c r="L157" s="27"/>
      <c r="M157" s="13">
        <v>42542</v>
      </c>
      <c r="N157" s="86">
        <v>1158.05</v>
      </c>
      <c r="O157" s="28" t="s">
        <v>20</v>
      </c>
      <c r="Q157" s="141"/>
      <c r="R157" s="191" t="s">
        <v>4730</v>
      </c>
    </row>
    <row r="158" spans="1:18" s="1" customFormat="1" ht="15.75" customHeight="1" x14ac:dyDescent="0.3">
      <c r="A158" s="5" t="s">
        <v>490</v>
      </c>
      <c r="B158" s="9" t="s">
        <v>491</v>
      </c>
      <c r="C158" s="11" t="s">
        <v>4490</v>
      </c>
      <c r="D158" t="s">
        <v>4493</v>
      </c>
      <c r="E158"/>
      <c r="F158" t="s">
        <v>492</v>
      </c>
      <c r="G158" t="s">
        <v>4629</v>
      </c>
      <c r="H158" s="3" t="s">
        <v>493</v>
      </c>
      <c r="I158"/>
      <c r="J158" s="165" t="s">
        <v>39</v>
      </c>
      <c r="K158" s="27"/>
      <c r="L158" s="27"/>
      <c r="M158" s="13">
        <v>42608</v>
      </c>
      <c r="N158" s="86">
        <v>6000</v>
      </c>
      <c r="O158" s="28"/>
      <c r="P158" s="30"/>
      <c r="Q158" s="141"/>
      <c r="R158" s="191">
        <v>6000</v>
      </c>
    </row>
    <row r="159" spans="1:18" s="1" customFormat="1" ht="15.75" customHeight="1" x14ac:dyDescent="0.3">
      <c r="A159" s="45" t="s">
        <v>494</v>
      </c>
      <c r="B159" s="9" t="s">
        <v>494</v>
      </c>
      <c r="C159" s="3" t="s">
        <v>4518</v>
      </c>
      <c r="D159" t="s">
        <v>4492</v>
      </c>
      <c r="E159" s="132"/>
      <c r="F159" s="14"/>
      <c r="G159" s="14"/>
      <c r="H159" s="3" t="s">
        <v>108</v>
      </c>
      <c r="I159" t="s">
        <v>4533</v>
      </c>
      <c r="J159" s="166">
        <v>391</v>
      </c>
      <c r="K159" s="3" t="s">
        <v>109</v>
      </c>
      <c r="L159" s="39" t="s">
        <v>495</v>
      </c>
      <c r="M159" s="29">
        <v>45803</v>
      </c>
      <c r="N159" s="86">
        <v>120089.87</v>
      </c>
      <c r="O159" s="67"/>
      <c r="P159" s="1" t="s">
        <v>91</v>
      </c>
      <c r="Q159" s="141"/>
      <c r="R159" s="191" t="s">
        <v>4731</v>
      </c>
    </row>
    <row r="160" spans="1:18" s="1" customFormat="1" ht="15.75" customHeight="1" x14ac:dyDescent="0.3">
      <c r="A160" s="5" t="s">
        <v>496</v>
      </c>
      <c r="B160" s="9" t="s">
        <v>497</v>
      </c>
      <c r="C160" s="11" t="s">
        <v>4490</v>
      </c>
      <c r="D160" t="s">
        <v>4494</v>
      </c>
      <c r="E160" s="160"/>
      <c r="F160"/>
      <c r="G160" t="s">
        <v>4557</v>
      </c>
      <c r="H160" s="3" t="s">
        <v>498</v>
      </c>
      <c r="I160"/>
      <c r="J160" s="165" t="s">
        <v>39</v>
      </c>
      <c r="K160" s="27"/>
      <c r="L160" s="27"/>
      <c r="M160" s="13">
        <v>42652</v>
      </c>
      <c r="N160" s="86">
        <v>100000</v>
      </c>
      <c r="O160" s="28"/>
      <c r="Q160" s="141"/>
      <c r="R160" s="191">
        <v>100000</v>
      </c>
    </row>
    <row r="161" spans="1:18" s="1" customFormat="1" ht="15.75" customHeight="1" x14ac:dyDescent="0.3">
      <c r="A161" s="5" t="s">
        <v>499</v>
      </c>
      <c r="B161" s="9" t="s">
        <v>500</v>
      </c>
      <c r="C161" s="11" t="s">
        <v>4520</v>
      </c>
      <c r="D161" t="s">
        <v>4493</v>
      </c>
      <c r="E161" s="132"/>
      <c r="F161" s="10"/>
      <c r="G161" s="10"/>
      <c r="H161" s="3" t="s">
        <v>501</v>
      </c>
      <c r="I161"/>
      <c r="J161" s="165" t="s">
        <v>39</v>
      </c>
      <c r="K161" s="27"/>
      <c r="L161" s="27"/>
      <c r="M161" s="13">
        <v>42657</v>
      </c>
      <c r="N161" s="86">
        <v>789</v>
      </c>
      <c r="O161" s="28"/>
      <c r="Q161" s="141"/>
      <c r="R161" s="191">
        <v>789</v>
      </c>
    </row>
    <row r="162" spans="1:18" s="1" customFormat="1" ht="15.75" customHeight="1" x14ac:dyDescent="0.3">
      <c r="A162" s="5" t="s">
        <v>502</v>
      </c>
      <c r="B162" s="9" t="s">
        <v>503</v>
      </c>
      <c r="C162" s="11" t="s">
        <v>4489</v>
      </c>
      <c r="D162" t="s">
        <v>4494</v>
      </c>
      <c r="E162" s="132"/>
      <c r="F162" s="15"/>
      <c r="G162" s="15"/>
      <c r="H162" s="3" t="s">
        <v>504</v>
      </c>
      <c r="I162"/>
      <c r="J162" s="165" t="s">
        <v>39</v>
      </c>
      <c r="K162" s="27"/>
      <c r="L162" s="27"/>
      <c r="M162" s="13">
        <v>42657</v>
      </c>
      <c r="N162" s="86">
        <v>3454.25</v>
      </c>
      <c r="O162" s="28" t="s">
        <v>20</v>
      </c>
      <c r="P162" s="1" t="s">
        <v>44</v>
      </c>
      <c r="Q162" s="141"/>
      <c r="R162" s="191" t="s">
        <v>4732</v>
      </c>
    </row>
    <row r="163" spans="1:18" s="1" customFormat="1" ht="15.75" customHeight="1" x14ac:dyDescent="0.3">
      <c r="A163" s="5" t="s">
        <v>505</v>
      </c>
      <c r="B163" s="9" t="s">
        <v>506</v>
      </c>
      <c r="C163" s="11" t="s">
        <v>4489</v>
      </c>
      <c r="D163" t="s">
        <v>4499</v>
      </c>
      <c r="E163" s="132"/>
      <c r="F163" s="15"/>
      <c r="G163" s="15"/>
      <c r="H163" s="3" t="s">
        <v>504</v>
      </c>
      <c r="I163"/>
      <c r="J163" s="165" t="s">
        <v>39</v>
      </c>
      <c r="K163" s="27"/>
      <c r="L163" s="27"/>
      <c r="M163" s="13">
        <v>42657</v>
      </c>
      <c r="N163" s="86">
        <v>3454.25</v>
      </c>
      <c r="O163" s="28" t="s">
        <v>20</v>
      </c>
      <c r="P163" s="1" t="s">
        <v>66</v>
      </c>
      <c r="Q163" s="141"/>
      <c r="R163" s="191" t="s">
        <v>4732</v>
      </c>
    </row>
    <row r="164" spans="1:18" s="1" customFormat="1" ht="15.75" customHeight="1" x14ac:dyDescent="0.3">
      <c r="A164" s="5" t="s">
        <v>507</v>
      </c>
      <c r="B164" s="9" t="s">
        <v>508</v>
      </c>
      <c r="C164" s="11" t="s">
        <v>4518</v>
      </c>
      <c r="D164" t="s">
        <v>4495</v>
      </c>
      <c r="E164"/>
      <c r="F164"/>
      <c r="G164" t="s">
        <v>4675</v>
      </c>
      <c r="H164" s="3" t="s">
        <v>509</v>
      </c>
      <c r="I164"/>
      <c r="J164" s="165" t="s">
        <v>39</v>
      </c>
      <c r="K164" s="27"/>
      <c r="L164" s="27"/>
      <c r="M164" s="13">
        <v>42658</v>
      </c>
      <c r="N164" s="86">
        <v>15000</v>
      </c>
      <c r="O164" s="28"/>
      <c r="Q164" s="141"/>
      <c r="R164" s="191">
        <v>15000</v>
      </c>
    </row>
    <row r="165" spans="1:18" s="1" customFormat="1" ht="15.75" customHeight="1" x14ac:dyDescent="0.3">
      <c r="A165" s="5" t="s">
        <v>510</v>
      </c>
      <c r="B165" s="9" t="s">
        <v>511</v>
      </c>
      <c r="C165" s="11" t="s">
        <v>4490</v>
      </c>
      <c r="D165" t="s">
        <v>4494</v>
      </c>
      <c r="E165"/>
      <c r="F165"/>
      <c r="G165" t="s">
        <v>4623</v>
      </c>
      <c r="H165" s="3" t="s">
        <v>512</v>
      </c>
      <c r="I165"/>
      <c r="J165" s="165" t="s">
        <v>39</v>
      </c>
      <c r="K165" s="27"/>
      <c r="L165" s="27"/>
      <c r="M165" s="13">
        <v>42660</v>
      </c>
      <c r="N165" s="86">
        <v>5000</v>
      </c>
      <c r="O165" s="28" t="s">
        <v>20</v>
      </c>
      <c r="P165" s="1" t="s">
        <v>44</v>
      </c>
      <c r="Q165" s="141"/>
      <c r="R165" s="191">
        <v>5000</v>
      </c>
    </row>
    <row r="166" spans="1:18" s="1" customFormat="1" ht="15.75" customHeight="1" x14ac:dyDescent="0.3">
      <c r="A166" s="5" t="s">
        <v>513</v>
      </c>
      <c r="B166" s="9" t="s">
        <v>514</v>
      </c>
      <c r="C166" s="11" t="s">
        <v>4518</v>
      </c>
      <c r="D166" t="s">
        <v>4493</v>
      </c>
      <c r="E166" s="3"/>
      <c r="F166" s="15"/>
      <c r="G166" s="15"/>
      <c r="H166" s="3" t="s">
        <v>515</v>
      </c>
      <c r="I166"/>
      <c r="J166" s="165" t="s">
        <v>39</v>
      </c>
      <c r="K166" s="27"/>
      <c r="L166" s="27"/>
      <c r="M166" s="13">
        <v>42695</v>
      </c>
      <c r="N166" s="152">
        <v>5000</v>
      </c>
      <c r="O166" s="28"/>
      <c r="Q166" s="141"/>
      <c r="R166" s="191">
        <v>5000</v>
      </c>
    </row>
    <row r="167" spans="1:18" s="1" customFormat="1" ht="15.75" hidden="1" customHeight="1" x14ac:dyDescent="0.3">
      <c r="A167" s="5" t="s">
        <v>516</v>
      </c>
      <c r="B167" s="9" t="s">
        <v>517</v>
      </c>
      <c r="C167" s="11" t="s">
        <v>4519</v>
      </c>
      <c r="D167" t="s">
        <v>4494</v>
      </c>
      <c r="E167" s="3"/>
      <c r="F167" s="15"/>
      <c r="G167" s="15"/>
      <c r="H167" s="3" t="s">
        <v>518</v>
      </c>
      <c r="I167"/>
      <c r="J167" s="165" t="s">
        <v>39</v>
      </c>
      <c r="K167" s="27"/>
      <c r="L167" s="27"/>
      <c r="M167" s="13">
        <v>42707</v>
      </c>
      <c r="N167" s="86"/>
      <c r="O167" s="28" t="s">
        <v>20</v>
      </c>
      <c r="P167" s="1" t="s">
        <v>44</v>
      </c>
      <c r="Q167" s="141"/>
      <c r="R167" s="191"/>
    </row>
    <row r="168" spans="1:18" s="1" customFormat="1" ht="15.75" customHeight="1" x14ac:dyDescent="0.3">
      <c r="A168" s="5" t="s">
        <v>519</v>
      </c>
      <c r="B168" s="9" t="s">
        <v>520</v>
      </c>
      <c r="C168" s="11" t="s">
        <v>4489</v>
      </c>
      <c r="D168" t="s">
        <v>4495</v>
      </c>
      <c r="E168"/>
      <c r="F168"/>
      <c r="G168" t="s">
        <v>4557</v>
      </c>
      <c r="H168" s="3" t="s">
        <v>521</v>
      </c>
      <c r="I168"/>
      <c r="J168" s="165" t="s">
        <v>39</v>
      </c>
      <c r="K168" s="27"/>
      <c r="L168" s="27"/>
      <c r="M168" s="13">
        <v>42710</v>
      </c>
      <c r="N168" s="86">
        <v>999</v>
      </c>
      <c r="O168" s="28" t="s">
        <v>20</v>
      </c>
      <c r="P168" s="1" t="s">
        <v>66</v>
      </c>
      <c r="Q168" s="141"/>
      <c r="R168" s="191">
        <v>999</v>
      </c>
    </row>
    <row r="169" spans="1:18" s="1" customFormat="1" ht="15.75" customHeight="1" x14ac:dyDescent="0.3">
      <c r="A169" s="5" t="s">
        <v>522</v>
      </c>
      <c r="B169" s="9" t="s">
        <v>523</v>
      </c>
      <c r="C169" s="11" t="s">
        <v>4519</v>
      </c>
      <c r="D169" t="s">
        <v>4493</v>
      </c>
      <c r="E169" s="3"/>
      <c r="F169" s="15"/>
      <c r="G169" s="15"/>
      <c r="H169" s="3" t="s">
        <v>524</v>
      </c>
      <c r="I169"/>
      <c r="J169" s="165" t="s">
        <v>39</v>
      </c>
      <c r="K169" s="27"/>
      <c r="L169" s="27"/>
      <c r="M169" s="13">
        <v>42722</v>
      </c>
      <c r="N169" s="86">
        <v>2299.13</v>
      </c>
      <c r="O169" s="28" t="s">
        <v>20</v>
      </c>
      <c r="P169" s="1" t="s">
        <v>78</v>
      </c>
      <c r="Q169" s="141"/>
      <c r="R169" s="191" t="s">
        <v>4733</v>
      </c>
    </row>
    <row r="170" spans="1:18" s="1" customFormat="1" ht="15.75" customHeight="1" x14ac:dyDescent="0.3">
      <c r="A170" s="5" t="s">
        <v>525</v>
      </c>
      <c r="B170" s="9" t="s">
        <v>526</v>
      </c>
      <c r="C170" s="11" t="s">
        <v>4490</v>
      </c>
      <c r="D170" t="s">
        <v>4495</v>
      </c>
      <c r="E170"/>
      <c r="F170" t="s">
        <v>527</v>
      </c>
      <c r="G170" t="s">
        <v>4645</v>
      </c>
      <c r="H170" s="3" t="s">
        <v>331</v>
      </c>
      <c r="I170" s="160"/>
      <c r="J170" s="165" t="s">
        <v>39</v>
      </c>
      <c r="K170" s="27"/>
      <c r="L170" s="27"/>
      <c r="M170" s="13">
        <v>42730</v>
      </c>
      <c r="N170" s="86">
        <v>182000</v>
      </c>
      <c r="O170" s="28" t="s">
        <v>20</v>
      </c>
      <c r="P170" s="1" t="s">
        <v>78</v>
      </c>
      <c r="Q170" s="141"/>
      <c r="R170" s="191">
        <v>182000</v>
      </c>
    </row>
    <row r="171" spans="1:18" s="1" customFormat="1" ht="15.75" customHeight="1" x14ac:dyDescent="0.3">
      <c r="A171" s="5" t="s">
        <v>528</v>
      </c>
      <c r="B171" s="9" t="s">
        <v>529</v>
      </c>
      <c r="C171" s="11" t="s">
        <v>4490</v>
      </c>
      <c r="D171" t="s">
        <v>4495</v>
      </c>
      <c r="E171"/>
      <c r="F171" t="s">
        <v>530</v>
      </c>
      <c r="G171" t="s">
        <v>4645</v>
      </c>
      <c r="H171" s="3" t="s">
        <v>331</v>
      </c>
      <c r="I171" s="160"/>
      <c r="J171" s="165" t="s">
        <v>39</v>
      </c>
      <c r="K171" s="27"/>
      <c r="L171" s="27"/>
      <c r="M171" s="13">
        <v>42730</v>
      </c>
      <c r="N171" s="86">
        <v>173000</v>
      </c>
      <c r="O171" s="28" t="s">
        <v>20</v>
      </c>
      <c r="P171" s="1" t="s">
        <v>78</v>
      </c>
      <c r="Q171" s="141"/>
      <c r="R171" s="191">
        <v>173000</v>
      </c>
    </row>
    <row r="172" spans="1:18" s="1" customFormat="1" ht="15.75" customHeight="1" x14ac:dyDescent="0.3">
      <c r="A172" s="5" t="s">
        <v>531</v>
      </c>
      <c r="B172" s="9" t="s">
        <v>532</v>
      </c>
      <c r="C172" s="11" t="s">
        <v>4490</v>
      </c>
      <c r="D172" t="s">
        <v>4495</v>
      </c>
      <c r="E172"/>
      <c r="F172" t="s">
        <v>533</v>
      </c>
      <c r="G172" t="s">
        <v>4645</v>
      </c>
      <c r="H172" s="3" t="s">
        <v>331</v>
      </c>
      <c r="I172" s="160"/>
      <c r="J172" s="165" t="s">
        <v>39</v>
      </c>
      <c r="K172" s="27"/>
      <c r="L172" s="27"/>
      <c r="M172" s="13">
        <v>42730</v>
      </c>
      <c r="N172" s="86">
        <v>173000</v>
      </c>
      <c r="O172" s="28" t="s">
        <v>20</v>
      </c>
      <c r="P172" s="1" t="s">
        <v>78</v>
      </c>
      <c r="Q172" s="141"/>
      <c r="R172" s="191">
        <v>173000</v>
      </c>
    </row>
    <row r="173" spans="1:18" s="1" customFormat="1" ht="15.75" customHeight="1" x14ac:dyDescent="0.3">
      <c r="A173" s="5" t="s">
        <v>534</v>
      </c>
      <c r="B173" s="9" t="s">
        <v>535</v>
      </c>
      <c r="C173" s="11" t="s">
        <v>4520</v>
      </c>
      <c r="D173" t="s">
        <v>4495</v>
      </c>
      <c r="E173" s="3"/>
      <c r="F173" s="10"/>
      <c r="G173" s="10"/>
      <c r="H173" s="3" t="s">
        <v>536</v>
      </c>
      <c r="I173"/>
      <c r="J173" s="165" t="s">
        <v>39</v>
      </c>
      <c r="K173" s="27"/>
      <c r="L173" s="27"/>
      <c r="M173" s="13">
        <v>42760</v>
      </c>
      <c r="N173" s="86">
        <v>1923</v>
      </c>
      <c r="O173" s="28"/>
      <c r="Q173" s="141"/>
      <c r="R173" s="191">
        <v>1923</v>
      </c>
    </row>
    <row r="174" spans="1:18" s="1" customFormat="1" ht="15.75" customHeight="1" x14ac:dyDescent="0.3">
      <c r="A174" s="5" t="s">
        <v>537</v>
      </c>
      <c r="B174" s="9" t="s">
        <v>538</v>
      </c>
      <c r="C174" s="11" t="s">
        <v>4518</v>
      </c>
      <c r="D174" t="s">
        <v>4495</v>
      </c>
      <c r="E174"/>
      <c r="F174"/>
      <c r="G174" t="s">
        <v>4616</v>
      </c>
      <c r="H174" s="3" t="s">
        <v>539</v>
      </c>
      <c r="I174"/>
      <c r="J174" s="165" t="s">
        <v>39</v>
      </c>
      <c r="K174" s="27"/>
      <c r="L174" s="27"/>
      <c r="M174" s="13">
        <v>42764</v>
      </c>
      <c r="N174" s="86">
        <v>2000</v>
      </c>
      <c r="O174" s="28" t="s">
        <v>20</v>
      </c>
      <c r="Q174" s="141"/>
      <c r="R174" s="191">
        <v>2000</v>
      </c>
    </row>
    <row r="175" spans="1:18" s="1" customFormat="1" ht="15.75" customHeight="1" x14ac:dyDescent="0.3">
      <c r="A175" s="5" t="s">
        <v>540</v>
      </c>
      <c r="B175" s="9" t="s">
        <v>541</v>
      </c>
      <c r="C175" s="11" t="s">
        <v>4490</v>
      </c>
      <c r="D175" t="s">
        <v>4495</v>
      </c>
      <c r="E175"/>
      <c r="F175" t="s">
        <v>542</v>
      </c>
      <c r="G175" t="s">
        <v>4629</v>
      </c>
      <c r="H175" s="3" t="s">
        <v>543</v>
      </c>
      <c r="I175"/>
      <c r="J175" s="165" t="s">
        <v>39</v>
      </c>
      <c r="K175" s="27"/>
      <c r="L175" s="27"/>
      <c r="M175" s="13">
        <v>42776</v>
      </c>
      <c r="N175" s="90">
        <v>280000</v>
      </c>
      <c r="O175" s="28" t="s">
        <v>20</v>
      </c>
      <c r="P175" s="1" t="s">
        <v>91</v>
      </c>
      <c r="Q175" s="141"/>
      <c r="R175" s="193">
        <v>280000</v>
      </c>
    </row>
    <row r="176" spans="1:18" s="1" customFormat="1" ht="15.75" customHeight="1" x14ac:dyDescent="0.3">
      <c r="A176" s="59" t="s">
        <v>544</v>
      </c>
      <c r="B176" s="9" t="s">
        <v>544</v>
      </c>
      <c r="C176" s="3" t="s">
        <v>4489</v>
      </c>
      <c r="D176" t="s">
        <v>4495</v>
      </c>
      <c r="E176" s="3"/>
      <c r="F176" s="14"/>
      <c r="G176" s="14"/>
      <c r="H176" s="3" t="s">
        <v>545</v>
      </c>
      <c r="I176"/>
      <c r="J176" s="166">
        <v>3997</v>
      </c>
      <c r="K176" s="3" t="s">
        <v>546</v>
      </c>
      <c r="L176" s="11" t="s">
        <v>547</v>
      </c>
      <c r="M176" s="29">
        <v>45825</v>
      </c>
      <c r="N176" s="86">
        <v>2749.8</v>
      </c>
      <c r="O176" s="28"/>
      <c r="P176" s="1" t="s">
        <v>66</v>
      </c>
      <c r="Q176" s="141"/>
      <c r="R176" s="191" t="s">
        <v>4734</v>
      </c>
    </row>
    <row r="177" spans="1:18" s="1" customFormat="1" ht="15.75" customHeight="1" x14ac:dyDescent="0.3">
      <c r="A177" s="9" t="s">
        <v>548</v>
      </c>
      <c r="B177" s="9" t="s">
        <v>548</v>
      </c>
      <c r="C177" s="3" t="s">
        <v>4518</v>
      </c>
      <c r="D177" t="s">
        <v>4495</v>
      </c>
      <c r="E177" s="3"/>
      <c r="F177" s="14"/>
      <c r="G177" s="14"/>
      <c r="H177" s="3" t="s">
        <v>549</v>
      </c>
      <c r="I177"/>
      <c r="J177" s="166">
        <v>73700</v>
      </c>
      <c r="K177" s="3" t="s">
        <v>550</v>
      </c>
      <c r="L177" s="3" t="s">
        <v>551</v>
      </c>
      <c r="M177" s="29">
        <v>45825</v>
      </c>
      <c r="N177" s="86">
        <v>9454</v>
      </c>
      <c r="O177" s="25"/>
      <c r="Q177" s="141"/>
      <c r="R177" s="191">
        <v>9454</v>
      </c>
    </row>
    <row r="178" spans="1:18" s="1" customFormat="1" ht="15.75" customHeight="1" x14ac:dyDescent="0.3">
      <c r="A178" s="5" t="s">
        <v>552</v>
      </c>
      <c r="B178" s="9" t="s">
        <v>553</v>
      </c>
      <c r="C178" s="11" t="s">
        <v>4519</v>
      </c>
      <c r="D178" t="s">
        <v>4494</v>
      </c>
      <c r="E178" s="132"/>
      <c r="F178" s="15"/>
      <c r="G178" s="15"/>
      <c r="H178" s="3" t="s">
        <v>554</v>
      </c>
      <c r="I178"/>
      <c r="J178" s="165">
        <v>45681</v>
      </c>
      <c r="K178" s="11" t="s">
        <v>555</v>
      </c>
      <c r="L178" s="3" t="s">
        <v>556</v>
      </c>
      <c r="M178" s="13">
        <v>42822</v>
      </c>
      <c r="N178" s="86">
        <v>2549</v>
      </c>
      <c r="O178" s="28" t="s">
        <v>20</v>
      </c>
      <c r="P178" s="1" t="s">
        <v>44</v>
      </c>
      <c r="Q178" s="141"/>
      <c r="R178" s="191">
        <v>2549</v>
      </c>
    </row>
    <row r="179" spans="1:18" s="1" customFormat="1" ht="15.75" customHeight="1" x14ac:dyDescent="0.3">
      <c r="A179" s="5" t="s">
        <v>557</v>
      </c>
      <c r="B179" s="9" t="s">
        <v>558</v>
      </c>
      <c r="C179" s="11" t="s">
        <v>4490</v>
      </c>
      <c r="D179" t="s">
        <v>4495</v>
      </c>
      <c r="E179"/>
      <c r="F179" t="s">
        <v>559</v>
      </c>
      <c r="G179" t="s">
        <v>4675</v>
      </c>
      <c r="H179" s="3" t="s">
        <v>560</v>
      </c>
      <c r="I179"/>
      <c r="J179" s="165" t="s">
        <v>39</v>
      </c>
      <c r="K179" s="27"/>
      <c r="L179" s="27"/>
      <c r="M179" s="13">
        <v>42826</v>
      </c>
      <c r="N179" s="90">
        <v>35000</v>
      </c>
      <c r="O179" s="28" t="s">
        <v>20</v>
      </c>
      <c r="P179" s="1" t="s">
        <v>44</v>
      </c>
      <c r="Q179" s="141"/>
      <c r="R179" s="193">
        <v>35000</v>
      </c>
    </row>
    <row r="180" spans="1:18" s="1" customFormat="1" ht="15.75" customHeight="1" x14ac:dyDescent="0.3">
      <c r="A180" s="5" t="s">
        <v>561</v>
      </c>
      <c r="B180" s="9" t="s">
        <v>562</v>
      </c>
      <c r="C180" s="11" t="s">
        <v>4518</v>
      </c>
      <c r="D180" t="s">
        <v>4494</v>
      </c>
      <c r="E180" s="132"/>
      <c r="F180" s="15"/>
      <c r="G180" s="15"/>
      <c r="H180" s="3" t="s">
        <v>563</v>
      </c>
      <c r="I180"/>
      <c r="J180" s="165" t="s">
        <v>39</v>
      </c>
      <c r="K180" s="27"/>
      <c r="L180" s="27"/>
      <c r="M180" s="13">
        <v>42853</v>
      </c>
      <c r="N180" s="90">
        <v>20000</v>
      </c>
      <c r="O180" s="28" t="s">
        <v>20</v>
      </c>
      <c r="P180" s="1" t="s">
        <v>44</v>
      </c>
      <c r="Q180" s="141"/>
      <c r="R180" s="193">
        <v>20000</v>
      </c>
    </row>
    <row r="181" spans="1:18" s="1" customFormat="1" ht="15.75" customHeight="1" x14ac:dyDescent="0.3">
      <c r="A181" s="5" t="s">
        <v>564</v>
      </c>
      <c r="B181" s="9" t="s">
        <v>565</v>
      </c>
      <c r="C181" s="11" t="s">
        <v>4488</v>
      </c>
      <c r="D181" t="s">
        <v>5040</v>
      </c>
      <c r="E181" s="132"/>
      <c r="F181" s="15"/>
      <c r="G181" s="15"/>
      <c r="H181" s="3" t="s">
        <v>566</v>
      </c>
      <c r="I181"/>
      <c r="J181" s="165"/>
      <c r="K181" s="11"/>
      <c r="L181" s="15"/>
      <c r="M181" s="13">
        <v>42871</v>
      </c>
      <c r="N181" s="90">
        <v>2153265.29</v>
      </c>
      <c r="O181" s="25"/>
      <c r="Q181" s="141"/>
      <c r="R181" s="193" t="s">
        <v>4735</v>
      </c>
    </row>
    <row r="182" spans="1:18" s="1" customFormat="1" ht="15.75" customHeight="1" x14ac:dyDescent="0.3">
      <c r="A182" s="5" t="s">
        <v>567</v>
      </c>
      <c r="B182" s="9" t="s">
        <v>568</v>
      </c>
      <c r="C182" s="11" t="s">
        <v>4488</v>
      </c>
      <c r="D182" t="s">
        <v>5040</v>
      </c>
      <c r="E182" s="132"/>
      <c r="F182" s="15"/>
      <c r="G182" s="15"/>
      <c r="H182" s="3" t="s">
        <v>569</v>
      </c>
      <c r="I182"/>
      <c r="J182" s="165"/>
      <c r="K182" s="11"/>
      <c r="L182" s="15"/>
      <c r="M182" s="13">
        <v>42871</v>
      </c>
      <c r="N182" s="90">
        <v>4002880.92</v>
      </c>
      <c r="O182" s="25"/>
      <c r="Q182" s="141"/>
      <c r="R182" s="193" t="s">
        <v>4736</v>
      </c>
    </row>
    <row r="183" spans="1:18" s="1" customFormat="1" ht="15.75" customHeight="1" x14ac:dyDescent="0.3">
      <c r="A183" s="5" t="s">
        <v>570</v>
      </c>
      <c r="B183" s="9" t="s">
        <v>571</v>
      </c>
      <c r="C183" s="11" t="s">
        <v>4490</v>
      </c>
      <c r="D183" t="s">
        <v>4493</v>
      </c>
      <c r="E183"/>
      <c r="F183"/>
      <c r="G183" t="s">
        <v>4616</v>
      </c>
      <c r="H183" s="3" t="s">
        <v>572</v>
      </c>
      <c r="I183"/>
      <c r="J183" s="165" t="s">
        <v>39</v>
      </c>
      <c r="K183" s="27"/>
      <c r="L183" s="27"/>
      <c r="M183" s="13">
        <v>42871</v>
      </c>
      <c r="N183" s="90">
        <v>4000</v>
      </c>
      <c r="O183" s="28" t="s">
        <v>20</v>
      </c>
      <c r="P183" s="1" t="s">
        <v>78</v>
      </c>
      <c r="Q183" s="141"/>
      <c r="R183" s="193">
        <v>4000</v>
      </c>
    </row>
    <row r="184" spans="1:18" s="1" customFormat="1" ht="15.75" customHeight="1" x14ac:dyDescent="0.3">
      <c r="A184" s="5" t="s">
        <v>573</v>
      </c>
      <c r="B184" s="9" t="s">
        <v>574</v>
      </c>
      <c r="C184" s="11" t="s">
        <v>4488</v>
      </c>
      <c r="D184" t="s">
        <v>5040</v>
      </c>
      <c r="E184" s="132"/>
      <c r="F184" s="15"/>
      <c r="G184" s="15"/>
      <c r="H184" s="3" t="s">
        <v>575</v>
      </c>
      <c r="I184"/>
      <c r="J184" s="165"/>
      <c r="K184" s="11"/>
      <c r="L184" s="15"/>
      <c r="M184" s="13">
        <v>42872</v>
      </c>
      <c r="N184" s="90">
        <v>1153506.5</v>
      </c>
      <c r="O184" s="25"/>
      <c r="Q184" s="141"/>
      <c r="R184" s="193" t="s">
        <v>4737</v>
      </c>
    </row>
    <row r="185" spans="1:18" s="1" customFormat="1" ht="15.75" customHeight="1" x14ac:dyDescent="0.3">
      <c r="A185" s="5" t="s">
        <v>576</v>
      </c>
      <c r="B185" s="9" t="s">
        <v>577</v>
      </c>
      <c r="C185" s="11" t="s">
        <v>4490</v>
      </c>
      <c r="D185" t="s">
        <v>4494</v>
      </c>
      <c r="E185"/>
      <c r="F185"/>
      <c r="G185" t="s">
        <v>4617</v>
      </c>
      <c r="H185" s="3" t="s">
        <v>578</v>
      </c>
      <c r="I185"/>
      <c r="J185" s="165" t="s">
        <v>39</v>
      </c>
      <c r="K185" s="27"/>
      <c r="L185" s="27"/>
      <c r="M185" s="13">
        <v>42880</v>
      </c>
      <c r="N185" s="86">
        <v>7000</v>
      </c>
      <c r="O185" s="28" t="s">
        <v>20</v>
      </c>
      <c r="P185" s="1" t="s">
        <v>44</v>
      </c>
      <c r="Q185" s="141"/>
      <c r="R185" s="191">
        <v>7000</v>
      </c>
    </row>
    <row r="186" spans="1:18" s="1" customFormat="1" ht="15.75" customHeight="1" x14ac:dyDescent="0.3">
      <c r="A186" s="5" t="s">
        <v>579</v>
      </c>
      <c r="B186" s="9" t="s">
        <v>580</v>
      </c>
      <c r="C186" s="11" t="s">
        <v>4488</v>
      </c>
      <c r="D186" t="s">
        <v>5040</v>
      </c>
      <c r="E186" s="132"/>
      <c r="F186" s="15"/>
      <c r="G186" s="15"/>
      <c r="H186" s="3" t="s">
        <v>581</v>
      </c>
      <c r="I186"/>
      <c r="J186" s="165"/>
      <c r="K186" s="11"/>
      <c r="L186" s="15"/>
      <c r="M186" s="13">
        <v>42901</v>
      </c>
      <c r="N186" s="86">
        <v>2491054.7200000002</v>
      </c>
      <c r="O186" s="25"/>
      <c r="Q186" s="141"/>
      <c r="R186" s="191" t="s">
        <v>4738</v>
      </c>
    </row>
    <row r="187" spans="1:18" s="1" customFormat="1" ht="15.75" customHeight="1" x14ac:dyDescent="0.3">
      <c r="A187" s="5" t="s">
        <v>582</v>
      </c>
      <c r="B187" s="9" t="s">
        <v>583</v>
      </c>
      <c r="C187" s="11" t="s">
        <v>4489</v>
      </c>
      <c r="D187" t="s">
        <v>4494</v>
      </c>
      <c r="E187"/>
      <c r="F187"/>
      <c r="G187" t="s">
        <v>4626</v>
      </c>
      <c r="H187" s="3" t="s">
        <v>153</v>
      </c>
      <c r="I187"/>
      <c r="J187" s="165" t="s">
        <v>39</v>
      </c>
      <c r="K187" s="27"/>
      <c r="L187" s="27"/>
      <c r="M187" s="13">
        <v>42905</v>
      </c>
      <c r="N187" s="86">
        <v>10000</v>
      </c>
      <c r="O187" s="28"/>
      <c r="Q187" s="141"/>
      <c r="R187" s="191">
        <v>10000</v>
      </c>
    </row>
    <row r="188" spans="1:18" s="1" customFormat="1" ht="15.75" customHeight="1" x14ac:dyDescent="0.3">
      <c r="A188" s="5" t="s">
        <v>584</v>
      </c>
      <c r="B188" s="9" t="s">
        <v>585</v>
      </c>
      <c r="C188" s="11" t="s">
        <v>4519</v>
      </c>
      <c r="D188" t="s">
        <v>4494</v>
      </c>
      <c r="E188" s="132"/>
      <c r="F188" s="10"/>
      <c r="G188" s="10"/>
      <c r="H188" s="3" t="s">
        <v>586</v>
      </c>
      <c r="I188"/>
      <c r="J188" s="165">
        <v>28836</v>
      </c>
      <c r="K188" s="3" t="s">
        <v>587</v>
      </c>
      <c r="L188" s="3" t="s">
        <v>588</v>
      </c>
      <c r="M188" s="13">
        <v>42912</v>
      </c>
      <c r="N188" s="86">
        <v>2500</v>
      </c>
      <c r="O188" s="28" t="s">
        <v>20</v>
      </c>
      <c r="P188" s="1" t="s">
        <v>44</v>
      </c>
      <c r="Q188" s="141"/>
      <c r="R188" s="191">
        <v>2500</v>
      </c>
    </row>
    <row r="189" spans="1:18" s="1" customFormat="1" ht="15.75" customHeight="1" x14ac:dyDescent="0.3">
      <c r="A189" s="131" t="s">
        <v>589</v>
      </c>
      <c r="B189" s="9" t="s">
        <v>589</v>
      </c>
      <c r="C189" s="11" t="s">
        <v>4489</v>
      </c>
      <c r="D189" t="s">
        <v>4495</v>
      </c>
      <c r="E189" s="132"/>
      <c r="F189" s="15"/>
      <c r="G189" s="15"/>
      <c r="H189" s="3" t="s">
        <v>590</v>
      </c>
      <c r="I189"/>
      <c r="J189" s="170">
        <v>73700</v>
      </c>
      <c r="K189" s="11" t="s">
        <v>550</v>
      </c>
      <c r="L189" s="3" t="s">
        <v>551</v>
      </c>
      <c r="M189" s="29">
        <v>45803</v>
      </c>
      <c r="N189" s="86">
        <v>4050</v>
      </c>
      <c r="O189" s="28"/>
      <c r="Q189" s="141"/>
      <c r="R189" s="191">
        <v>4050</v>
      </c>
    </row>
    <row r="190" spans="1:18" s="1" customFormat="1" ht="15.75" customHeight="1" x14ac:dyDescent="0.3">
      <c r="A190" s="128" t="s">
        <v>591</v>
      </c>
      <c r="B190" s="9" t="s">
        <v>592</v>
      </c>
      <c r="C190" s="11" t="s">
        <v>4490</v>
      </c>
      <c r="D190" t="s">
        <v>4494</v>
      </c>
      <c r="E190"/>
      <c r="F190" t="s">
        <v>593</v>
      </c>
      <c r="G190" t="s">
        <v>4629</v>
      </c>
      <c r="H190" s="3" t="s">
        <v>594</v>
      </c>
      <c r="I190"/>
      <c r="J190" s="165" t="s">
        <v>39</v>
      </c>
      <c r="K190" s="27"/>
      <c r="L190" s="27"/>
      <c r="M190" s="13">
        <v>42917</v>
      </c>
      <c r="N190" s="86">
        <v>50000</v>
      </c>
      <c r="O190" s="28"/>
      <c r="Q190" s="141"/>
      <c r="R190" s="191">
        <v>50000</v>
      </c>
    </row>
    <row r="191" spans="1:18" s="1" customFormat="1" ht="15.75" customHeight="1" x14ac:dyDescent="0.3">
      <c r="A191" s="5" t="s">
        <v>595</v>
      </c>
      <c r="B191" s="9" t="s">
        <v>596</v>
      </c>
      <c r="C191" s="11" t="s">
        <v>4490</v>
      </c>
      <c r="D191" t="s">
        <v>4495</v>
      </c>
      <c r="E191"/>
      <c r="F191" t="s">
        <v>597</v>
      </c>
      <c r="G191" t="s">
        <v>4645</v>
      </c>
      <c r="H191" s="3" t="s">
        <v>331</v>
      </c>
      <c r="I191" s="160"/>
      <c r="J191" s="165" t="s">
        <v>39</v>
      </c>
      <c r="K191" s="27"/>
      <c r="L191" s="27"/>
      <c r="M191" s="13">
        <v>42931</v>
      </c>
      <c r="N191" s="86">
        <v>192600</v>
      </c>
      <c r="O191" s="28" t="s">
        <v>20</v>
      </c>
      <c r="P191" s="1" t="s">
        <v>78</v>
      </c>
      <c r="Q191" s="141"/>
      <c r="R191" s="191">
        <v>192600</v>
      </c>
    </row>
    <row r="192" spans="1:18" s="1" customFormat="1" ht="15.75" customHeight="1" x14ac:dyDescent="0.3">
      <c r="A192" s="5" t="s">
        <v>598</v>
      </c>
      <c r="B192" s="9" t="s">
        <v>599</v>
      </c>
      <c r="C192" s="11" t="s">
        <v>4490</v>
      </c>
      <c r="D192" t="s">
        <v>4493</v>
      </c>
      <c r="E192"/>
      <c r="F192" t="s">
        <v>600</v>
      </c>
      <c r="G192" t="s">
        <v>4629</v>
      </c>
      <c r="H192" s="3" t="s">
        <v>601</v>
      </c>
      <c r="I192" s="160"/>
      <c r="J192" s="165" t="s">
        <v>39</v>
      </c>
      <c r="K192" s="27"/>
      <c r="L192" s="27"/>
      <c r="M192" s="13">
        <v>42971</v>
      </c>
      <c r="N192" s="86">
        <v>151000</v>
      </c>
      <c r="O192" s="28" t="s">
        <v>20</v>
      </c>
      <c r="P192" s="1" t="s">
        <v>91</v>
      </c>
      <c r="Q192" s="141"/>
      <c r="R192" s="191">
        <v>151000</v>
      </c>
    </row>
    <row r="193" spans="1:18" s="1" customFormat="1" ht="15.75" customHeight="1" x14ac:dyDescent="0.3">
      <c r="A193" s="5" t="s">
        <v>602</v>
      </c>
      <c r="B193" s="9" t="s">
        <v>603</v>
      </c>
      <c r="C193" s="11" t="s">
        <v>4490</v>
      </c>
      <c r="D193" t="s">
        <v>4493</v>
      </c>
      <c r="E193"/>
      <c r="F193" t="s">
        <v>604</v>
      </c>
      <c r="G193" t="s">
        <v>4629</v>
      </c>
      <c r="H193" s="3" t="s">
        <v>601</v>
      </c>
      <c r="I193" s="160"/>
      <c r="J193" s="165" t="s">
        <v>39</v>
      </c>
      <c r="K193" s="27"/>
      <c r="L193" s="27"/>
      <c r="M193" s="13">
        <v>42971</v>
      </c>
      <c r="N193" s="86">
        <v>151000</v>
      </c>
      <c r="O193" s="28" t="s">
        <v>20</v>
      </c>
      <c r="P193" s="1" t="s">
        <v>91</v>
      </c>
      <c r="Q193" s="141"/>
      <c r="R193" s="191">
        <v>151000</v>
      </c>
    </row>
    <row r="194" spans="1:18" s="1" customFormat="1" ht="15.75" customHeight="1" x14ac:dyDescent="0.3">
      <c r="A194" s="5" t="s">
        <v>605</v>
      </c>
      <c r="B194" s="9" t="s">
        <v>606</v>
      </c>
      <c r="C194" s="11" t="s">
        <v>4490</v>
      </c>
      <c r="D194" t="s">
        <v>4493</v>
      </c>
      <c r="E194"/>
      <c r="F194"/>
      <c r="G194" t="s">
        <v>4645</v>
      </c>
      <c r="H194" s="3" t="s">
        <v>331</v>
      </c>
      <c r="I194" s="160"/>
      <c r="J194" s="165" t="s">
        <v>39</v>
      </c>
      <c r="K194" s="27"/>
      <c r="L194" s="27"/>
      <c r="M194" s="13">
        <v>42984</v>
      </c>
      <c r="N194" s="86">
        <v>192600</v>
      </c>
      <c r="O194" s="28" t="s">
        <v>20</v>
      </c>
      <c r="P194" s="1" t="s">
        <v>78</v>
      </c>
      <c r="Q194" s="141"/>
      <c r="R194" s="191">
        <v>192600</v>
      </c>
    </row>
    <row r="195" spans="1:18" s="1" customFormat="1" ht="15.75" customHeight="1" x14ac:dyDescent="0.3">
      <c r="A195" s="5" t="s">
        <v>607</v>
      </c>
      <c r="B195" s="9" t="s">
        <v>608</v>
      </c>
      <c r="C195" s="11" t="s">
        <v>4490</v>
      </c>
      <c r="D195" t="s">
        <v>4493</v>
      </c>
      <c r="E195"/>
      <c r="F195"/>
      <c r="G195" t="s">
        <v>4645</v>
      </c>
      <c r="H195" s="3" t="s">
        <v>331</v>
      </c>
      <c r="I195" s="160"/>
      <c r="J195" s="165" t="s">
        <v>39</v>
      </c>
      <c r="K195" s="27"/>
      <c r="L195" s="27"/>
      <c r="M195" s="13">
        <v>42984</v>
      </c>
      <c r="N195" s="86">
        <v>192600</v>
      </c>
      <c r="O195" s="28" t="s">
        <v>20</v>
      </c>
      <c r="P195" s="1" t="s">
        <v>78</v>
      </c>
      <c r="Q195" s="141"/>
      <c r="R195" s="191">
        <v>192600</v>
      </c>
    </row>
    <row r="196" spans="1:18" s="1" customFormat="1" ht="15.75" customHeight="1" x14ac:dyDescent="0.3">
      <c r="A196" s="5" t="s">
        <v>609</v>
      </c>
      <c r="B196" s="9" t="s">
        <v>610</v>
      </c>
      <c r="C196" s="11" t="s">
        <v>4490</v>
      </c>
      <c r="D196" t="s">
        <v>4495</v>
      </c>
      <c r="E196"/>
      <c r="F196" t="s">
        <v>611</v>
      </c>
      <c r="G196" t="s">
        <v>4645</v>
      </c>
      <c r="H196" s="3" t="s">
        <v>331</v>
      </c>
      <c r="I196" s="160"/>
      <c r="J196" s="165" t="s">
        <v>39</v>
      </c>
      <c r="K196" s="27"/>
      <c r="L196" s="27"/>
      <c r="M196" s="13">
        <v>42984</v>
      </c>
      <c r="N196" s="86">
        <v>192600</v>
      </c>
      <c r="O196" s="28" t="s">
        <v>20</v>
      </c>
      <c r="P196" s="1" t="s">
        <v>78</v>
      </c>
      <c r="Q196" s="141"/>
      <c r="R196" s="191">
        <v>192600</v>
      </c>
    </row>
    <row r="197" spans="1:18" s="1" customFormat="1" ht="15.75" customHeight="1" x14ac:dyDescent="0.3">
      <c r="A197" s="5" t="s">
        <v>612</v>
      </c>
      <c r="B197" s="9" t="s">
        <v>613</v>
      </c>
      <c r="C197" s="11" t="s">
        <v>4487</v>
      </c>
      <c r="D197" t="s">
        <v>4494</v>
      </c>
      <c r="E197" s="160" t="s">
        <v>614</v>
      </c>
      <c r="F197" t="s">
        <v>615</v>
      </c>
      <c r="G197" t="s">
        <v>4629</v>
      </c>
      <c r="H197" s="3" t="s">
        <v>616</v>
      </c>
      <c r="I197"/>
      <c r="J197" s="165" t="s">
        <v>39</v>
      </c>
      <c r="K197" s="27"/>
      <c r="L197" s="27"/>
      <c r="M197" s="13">
        <v>42998</v>
      </c>
      <c r="N197" s="86">
        <v>115000</v>
      </c>
      <c r="O197" s="28" t="s">
        <v>20</v>
      </c>
      <c r="P197" s="1" t="s">
        <v>44</v>
      </c>
      <c r="Q197" s="141"/>
      <c r="R197" s="191">
        <v>115000</v>
      </c>
    </row>
    <row r="198" spans="1:18" s="1" customFormat="1" ht="15.75" customHeight="1" x14ac:dyDescent="0.3">
      <c r="A198" s="5" t="s">
        <v>617</v>
      </c>
      <c r="B198" s="9" t="s">
        <v>618</v>
      </c>
      <c r="C198" s="11" t="s">
        <v>4490</v>
      </c>
      <c r="D198" t="s">
        <v>4493</v>
      </c>
      <c r="E198"/>
      <c r="F198"/>
      <c r="G198" t="s">
        <v>4616</v>
      </c>
      <c r="H198" s="3" t="s">
        <v>619</v>
      </c>
      <c r="I198"/>
      <c r="J198" s="165" t="s">
        <v>39</v>
      </c>
      <c r="K198" s="27"/>
      <c r="L198" s="27"/>
      <c r="M198" s="13">
        <v>43009</v>
      </c>
      <c r="N198" s="86">
        <v>10000</v>
      </c>
      <c r="O198" s="73"/>
      <c r="Q198" s="141"/>
      <c r="R198" s="191">
        <v>10000</v>
      </c>
    </row>
    <row r="199" spans="1:18" s="1" customFormat="1" ht="15.75" customHeight="1" x14ac:dyDescent="0.3">
      <c r="A199" s="5" t="s">
        <v>620</v>
      </c>
      <c r="B199" s="9" t="s">
        <v>621</v>
      </c>
      <c r="C199" s="11" t="s">
        <v>4490</v>
      </c>
      <c r="D199" t="s">
        <v>4492</v>
      </c>
      <c r="E199"/>
      <c r="F199">
        <v>4001</v>
      </c>
      <c r="G199" t="s">
        <v>4642</v>
      </c>
      <c r="H199" s="3" t="s">
        <v>622</v>
      </c>
      <c r="I199"/>
      <c r="J199" s="165" t="s">
        <v>39</v>
      </c>
      <c r="K199" s="27"/>
      <c r="L199" s="27"/>
      <c r="M199" s="13">
        <v>43009</v>
      </c>
      <c r="N199" s="86">
        <v>50000</v>
      </c>
      <c r="O199" s="28" t="s">
        <v>20</v>
      </c>
      <c r="P199" s="1" t="s">
        <v>91</v>
      </c>
      <c r="Q199" s="141"/>
      <c r="R199" s="191">
        <v>50000</v>
      </c>
    </row>
    <row r="200" spans="1:18" s="1" customFormat="1" ht="15.75" customHeight="1" x14ac:dyDescent="0.3">
      <c r="A200" s="5" t="s">
        <v>623</v>
      </c>
      <c r="B200" s="9" t="s">
        <v>624</v>
      </c>
      <c r="C200" s="11" t="s">
        <v>4489</v>
      </c>
      <c r="D200" t="s">
        <v>4495</v>
      </c>
      <c r="E200"/>
      <c r="F200"/>
      <c r="G200" t="s">
        <v>4626</v>
      </c>
      <c r="H200" s="3" t="s">
        <v>153</v>
      </c>
      <c r="I200"/>
      <c r="J200" s="165" t="s">
        <v>39</v>
      </c>
      <c r="K200" s="27"/>
      <c r="L200" s="27"/>
      <c r="M200" s="13">
        <v>43009</v>
      </c>
      <c r="N200" s="86">
        <v>6000</v>
      </c>
      <c r="O200" s="28" t="s">
        <v>20</v>
      </c>
      <c r="P200" s="1" t="s">
        <v>66</v>
      </c>
      <c r="Q200" s="141"/>
      <c r="R200" s="191">
        <v>6000</v>
      </c>
    </row>
    <row r="201" spans="1:18" s="1" customFormat="1" ht="15.75" customHeight="1" x14ac:dyDescent="0.3">
      <c r="A201" s="5" t="s">
        <v>625</v>
      </c>
      <c r="B201" s="9" t="s">
        <v>626</v>
      </c>
      <c r="C201" s="11" t="s">
        <v>4489</v>
      </c>
      <c r="D201" t="s">
        <v>4494</v>
      </c>
      <c r="E201"/>
      <c r="F201"/>
      <c r="G201" t="s">
        <v>4629</v>
      </c>
      <c r="H201" s="3" t="s">
        <v>627</v>
      </c>
      <c r="I201"/>
      <c r="J201" s="165" t="s">
        <v>39</v>
      </c>
      <c r="K201" s="27"/>
      <c r="L201" s="27"/>
      <c r="M201" s="13">
        <v>43009</v>
      </c>
      <c r="N201" s="86">
        <v>15000</v>
      </c>
      <c r="O201" s="28"/>
      <c r="Q201" s="141"/>
      <c r="R201" s="191">
        <v>15000</v>
      </c>
    </row>
    <row r="202" spans="1:18" s="1" customFormat="1" ht="15.75" customHeight="1" x14ac:dyDescent="0.3">
      <c r="A202" s="5" t="s">
        <v>628</v>
      </c>
      <c r="B202" s="9" t="s">
        <v>629</v>
      </c>
      <c r="C202" s="11" t="s">
        <v>4489</v>
      </c>
      <c r="D202" t="s">
        <v>4495</v>
      </c>
      <c r="E202"/>
      <c r="F202"/>
      <c r="G202" t="s">
        <v>4626</v>
      </c>
      <c r="H202" s="3" t="s">
        <v>153</v>
      </c>
      <c r="I202"/>
      <c r="J202" s="165" t="s">
        <v>39</v>
      </c>
      <c r="K202" s="27"/>
      <c r="L202" s="27"/>
      <c r="M202" s="13">
        <v>43009</v>
      </c>
      <c r="N202" s="86">
        <v>10000</v>
      </c>
      <c r="O202" s="28"/>
      <c r="Q202" s="141"/>
      <c r="R202" s="191">
        <v>10000</v>
      </c>
    </row>
    <row r="203" spans="1:18" s="1" customFormat="1" ht="15.75" customHeight="1" x14ac:dyDescent="0.3">
      <c r="A203" s="5" t="s">
        <v>630</v>
      </c>
      <c r="B203" s="9" t="s">
        <v>631</v>
      </c>
      <c r="C203" s="11" t="s">
        <v>4490</v>
      </c>
      <c r="D203" t="s">
        <v>4494</v>
      </c>
      <c r="E203"/>
      <c r="F203"/>
      <c r="G203" t="s">
        <v>4617</v>
      </c>
      <c r="H203" s="3" t="s">
        <v>632</v>
      </c>
      <c r="I203"/>
      <c r="J203" s="165" t="s">
        <v>39</v>
      </c>
      <c r="K203" s="27"/>
      <c r="L203" s="27"/>
      <c r="M203" s="13">
        <v>43018</v>
      </c>
      <c r="N203" s="86">
        <v>10000</v>
      </c>
      <c r="O203" s="28"/>
      <c r="Q203" s="141"/>
      <c r="R203" s="191">
        <v>10000</v>
      </c>
    </row>
    <row r="204" spans="1:18" s="1" customFormat="1" ht="15.75" customHeight="1" x14ac:dyDescent="0.3">
      <c r="A204" s="5" t="s">
        <v>633</v>
      </c>
      <c r="B204" s="9" t="s">
        <v>634</v>
      </c>
      <c r="C204" s="11" t="s">
        <v>4490</v>
      </c>
      <c r="D204" t="s">
        <v>4494</v>
      </c>
      <c r="E204"/>
      <c r="F204"/>
      <c r="G204" t="s">
        <v>4617</v>
      </c>
      <c r="H204" s="3" t="s">
        <v>632</v>
      </c>
      <c r="I204"/>
      <c r="J204" s="165" t="s">
        <v>39</v>
      </c>
      <c r="K204" s="27"/>
      <c r="L204" s="27"/>
      <c r="M204" s="13">
        <v>43018</v>
      </c>
      <c r="N204" s="86">
        <v>10000</v>
      </c>
      <c r="O204" s="28"/>
      <c r="Q204" s="141"/>
      <c r="R204" s="191">
        <v>10000</v>
      </c>
    </row>
    <row r="205" spans="1:18" s="1" customFormat="1" ht="15.75" customHeight="1" x14ac:dyDescent="0.3">
      <c r="A205" s="5" t="s">
        <v>635</v>
      </c>
      <c r="B205" s="9" t="s">
        <v>636</v>
      </c>
      <c r="C205" s="11" t="s">
        <v>4490</v>
      </c>
      <c r="D205" t="s">
        <v>4494</v>
      </c>
      <c r="E205"/>
      <c r="F205"/>
      <c r="G205" t="s">
        <v>4617</v>
      </c>
      <c r="H205" s="3" t="s">
        <v>632</v>
      </c>
      <c r="I205"/>
      <c r="J205" s="165" t="s">
        <v>39</v>
      </c>
      <c r="K205" s="27"/>
      <c r="L205" s="27"/>
      <c r="M205" s="13">
        <v>43018</v>
      </c>
      <c r="N205" s="86">
        <v>10000</v>
      </c>
      <c r="O205" s="28"/>
      <c r="Q205" s="141"/>
      <c r="R205" s="191">
        <v>10000</v>
      </c>
    </row>
    <row r="206" spans="1:18" s="1" customFormat="1" ht="15.75" customHeight="1" x14ac:dyDescent="0.3">
      <c r="A206" s="5" t="s">
        <v>637</v>
      </c>
      <c r="B206" s="9" t="s">
        <v>638</v>
      </c>
      <c r="C206" s="11" t="s">
        <v>4490</v>
      </c>
      <c r="D206" t="s">
        <v>4494</v>
      </c>
      <c r="E206"/>
      <c r="F206"/>
      <c r="G206" t="s">
        <v>4617</v>
      </c>
      <c r="H206" s="3" t="s">
        <v>639</v>
      </c>
      <c r="I206"/>
      <c r="J206" s="165" t="s">
        <v>39</v>
      </c>
      <c r="K206" s="27"/>
      <c r="L206" s="27"/>
      <c r="M206" s="13">
        <v>43018</v>
      </c>
      <c r="N206" s="86">
        <v>10000</v>
      </c>
      <c r="O206" s="28"/>
      <c r="Q206" s="141"/>
      <c r="R206" s="191">
        <v>10000</v>
      </c>
    </row>
    <row r="207" spans="1:18" s="1" customFormat="1" ht="15.75" customHeight="1" x14ac:dyDescent="0.3">
      <c r="A207" s="5" t="s">
        <v>640</v>
      </c>
      <c r="B207" s="9" t="s">
        <v>641</v>
      </c>
      <c r="C207" s="11" t="s">
        <v>4490</v>
      </c>
      <c r="D207" t="s">
        <v>4494</v>
      </c>
      <c r="E207"/>
      <c r="F207"/>
      <c r="G207" t="s">
        <v>4617</v>
      </c>
      <c r="H207" s="3" t="s">
        <v>639</v>
      </c>
      <c r="I207"/>
      <c r="J207" s="165" t="s">
        <v>39</v>
      </c>
      <c r="K207" s="27"/>
      <c r="L207" s="27"/>
      <c r="M207" s="13">
        <v>43018</v>
      </c>
      <c r="N207" s="86">
        <v>10000</v>
      </c>
      <c r="O207" s="28"/>
      <c r="Q207" s="141"/>
      <c r="R207" s="191">
        <v>10000</v>
      </c>
    </row>
    <row r="208" spans="1:18" s="1" customFormat="1" ht="15.75" customHeight="1" x14ac:dyDescent="0.3">
      <c r="A208" s="5" t="s">
        <v>642</v>
      </c>
      <c r="B208" s="9" t="s">
        <v>643</v>
      </c>
      <c r="C208" s="11" t="s">
        <v>4490</v>
      </c>
      <c r="D208" t="s">
        <v>4494</v>
      </c>
      <c r="E208"/>
      <c r="F208"/>
      <c r="G208" t="s">
        <v>4617</v>
      </c>
      <c r="H208" s="3" t="s">
        <v>639</v>
      </c>
      <c r="I208"/>
      <c r="J208" s="165" t="s">
        <v>39</v>
      </c>
      <c r="K208" s="27"/>
      <c r="L208" s="27"/>
      <c r="M208" s="13">
        <v>43018</v>
      </c>
      <c r="N208" s="86">
        <v>10000</v>
      </c>
      <c r="O208" s="28"/>
      <c r="Q208" s="141"/>
      <c r="R208" s="191">
        <v>10000</v>
      </c>
    </row>
    <row r="209" spans="1:18" s="1" customFormat="1" ht="15.75" customHeight="1" x14ac:dyDescent="0.3">
      <c r="A209" s="5" t="s">
        <v>644</v>
      </c>
      <c r="B209" s="9" t="s">
        <v>645</v>
      </c>
      <c r="C209" s="11" t="s">
        <v>4518</v>
      </c>
      <c r="D209" t="s">
        <v>4494</v>
      </c>
      <c r="E209"/>
      <c r="F209"/>
      <c r="G209" t="s">
        <v>4629</v>
      </c>
      <c r="H209" s="3" t="s">
        <v>646</v>
      </c>
      <c r="I209"/>
      <c r="J209" s="165" t="s">
        <v>39</v>
      </c>
      <c r="K209" s="27"/>
      <c r="L209" s="27"/>
      <c r="M209" s="13">
        <v>43019</v>
      </c>
      <c r="N209" s="86">
        <v>22000</v>
      </c>
      <c r="O209" s="28" t="s">
        <v>20</v>
      </c>
      <c r="P209" s="1" t="s">
        <v>44</v>
      </c>
      <c r="Q209" s="141"/>
      <c r="R209" s="191">
        <v>22000</v>
      </c>
    </row>
    <row r="210" spans="1:18" s="1" customFormat="1" ht="15.75" customHeight="1" x14ac:dyDescent="0.3">
      <c r="A210" s="5" t="s">
        <v>647</v>
      </c>
      <c r="B210" s="9" t="s">
        <v>648</v>
      </c>
      <c r="C210" s="11" t="s">
        <v>4489</v>
      </c>
      <c r="D210" t="s">
        <v>4495</v>
      </c>
      <c r="E210"/>
      <c r="F210"/>
      <c r="G210" t="s">
        <v>4629</v>
      </c>
      <c r="H210" s="3" t="s">
        <v>646</v>
      </c>
      <c r="I210"/>
      <c r="J210" s="165" t="s">
        <v>39</v>
      </c>
      <c r="K210" s="27"/>
      <c r="L210" s="27"/>
      <c r="M210" s="13">
        <v>43019</v>
      </c>
      <c r="N210" s="86">
        <v>22000</v>
      </c>
      <c r="O210" s="28" t="s">
        <v>20</v>
      </c>
      <c r="P210" s="1" t="s">
        <v>66</v>
      </c>
      <c r="Q210" s="141"/>
      <c r="R210" s="191">
        <v>22000</v>
      </c>
    </row>
    <row r="211" spans="1:18" s="1" customFormat="1" ht="15.75" customHeight="1" x14ac:dyDescent="0.3">
      <c r="A211" s="5" t="s">
        <v>649</v>
      </c>
      <c r="B211" s="9" t="s">
        <v>650</v>
      </c>
      <c r="C211" s="11" t="s">
        <v>4490</v>
      </c>
      <c r="D211" t="s">
        <v>4494</v>
      </c>
      <c r="E211"/>
      <c r="F211" t="s">
        <v>651</v>
      </c>
      <c r="G211" t="s">
        <v>4557</v>
      </c>
      <c r="H211" s="3" t="s">
        <v>652</v>
      </c>
      <c r="I211"/>
      <c r="J211" s="165">
        <v>23581</v>
      </c>
      <c r="K211" s="11" t="s">
        <v>653</v>
      </c>
      <c r="L211" s="3" t="s">
        <v>654</v>
      </c>
      <c r="M211" s="13">
        <v>43034</v>
      </c>
      <c r="N211" s="86">
        <v>810000</v>
      </c>
      <c r="O211" s="28" t="s">
        <v>20</v>
      </c>
      <c r="P211" s="1" t="s">
        <v>44</v>
      </c>
      <c r="Q211" s="141"/>
      <c r="R211" s="191">
        <v>810000</v>
      </c>
    </row>
    <row r="212" spans="1:18" s="1" customFormat="1" ht="15.75" customHeight="1" x14ac:dyDescent="0.3">
      <c r="A212" s="59" t="s">
        <v>655</v>
      </c>
      <c r="B212" s="9" t="s">
        <v>655</v>
      </c>
      <c r="C212" s="11" t="s">
        <v>4488</v>
      </c>
      <c r="D212" t="s">
        <v>4495</v>
      </c>
      <c r="E212"/>
      <c r="F212" t="s">
        <v>4681</v>
      </c>
      <c r="G212"/>
      <c r="H212" s="3" t="s">
        <v>656</v>
      </c>
      <c r="I212"/>
      <c r="J212" s="165"/>
      <c r="K212" s="3"/>
      <c r="L212" s="15"/>
      <c r="M212" s="29">
        <v>45565</v>
      </c>
      <c r="N212" s="86">
        <v>90473.48</v>
      </c>
      <c r="O212" s="25"/>
      <c r="P212" s="1" t="s">
        <v>66</v>
      </c>
      <c r="Q212" s="141"/>
      <c r="R212" s="191" t="s">
        <v>4739</v>
      </c>
    </row>
    <row r="213" spans="1:18" s="1" customFormat="1" ht="15.75" customHeight="1" x14ac:dyDescent="0.3">
      <c r="A213" s="5" t="s">
        <v>657</v>
      </c>
      <c r="B213" s="9" t="s">
        <v>658</v>
      </c>
      <c r="C213" s="11" t="s">
        <v>4491</v>
      </c>
      <c r="D213" t="s">
        <v>4496</v>
      </c>
      <c r="E213"/>
      <c r="F213" t="s">
        <v>4682</v>
      </c>
      <c r="G213" t="s">
        <v>4617</v>
      </c>
      <c r="H213" s="3" t="s">
        <v>659</v>
      </c>
      <c r="I213"/>
      <c r="J213" s="165">
        <v>1512</v>
      </c>
      <c r="K213" s="11" t="s">
        <v>19</v>
      </c>
      <c r="L213" s="11"/>
      <c r="M213" s="13">
        <v>43063</v>
      </c>
      <c r="N213" s="86">
        <v>2302725.16</v>
      </c>
      <c r="O213" s="28"/>
      <c r="Q213" s="141"/>
      <c r="R213" s="191" t="s">
        <v>4740</v>
      </c>
    </row>
    <row r="214" spans="1:18" s="1" customFormat="1" ht="15.75" customHeight="1" x14ac:dyDescent="0.3">
      <c r="A214" s="5" t="s">
        <v>660</v>
      </c>
      <c r="B214" s="9" t="s">
        <v>661</v>
      </c>
      <c r="C214" s="11" t="s">
        <v>4487</v>
      </c>
      <c r="D214" t="s">
        <v>4494</v>
      </c>
      <c r="E214"/>
      <c r="F214" t="s">
        <v>662</v>
      </c>
      <c r="G214" t="s">
        <v>4629</v>
      </c>
      <c r="H214" s="3" t="s">
        <v>663</v>
      </c>
      <c r="I214"/>
      <c r="J214" s="165" t="s">
        <v>39</v>
      </c>
      <c r="K214" s="27"/>
      <c r="L214" s="27"/>
      <c r="M214" s="13">
        <v>43069</v>
      </c>
      <c r="N214" s="86">
        <v>11800</v>
      </c>
      <c r="O214" s="28" t="s">
        <v>20</v>
      </c>
      <c r="P214" s="1" t="s">
        <v>44</v>
      </c>
      <c r="Q214" s="141"/>
      <c r="R214" s="191">
        <v>11800</v>
      </c>
    </row>
    <row r="215" spans="1:18" s="1" customFormat="1" ht="15.75" customHeight="1" x14ac:dyDescent="0.3">
      <c r="A215" s="59" t="s">
        <v>665</v>
      </c>
      <c r="B215" s="9" t="s">
        <v>665</v>
      </c>
      <c r="C215" s="3" t="s">
        <v>4488</v>
      </c>
      <c r="D215" t="s">
        <v>4494</v>
      </c>
      <c r="E215"/>
      <c r="F215" t="s">
        <v>4683</v>
      </c>
      <c r="G215"/>
      <c r="H215" s="3" t="s">
        <v>666</v>
      </c>
      <c r="I215"/>
      <c r="J215" s="165"/>
      <c r="K215" s="3"/>
      <c r="L215" s="15"/>
      <c r="M215" s="29">
        <v>45565</v>
      </c>
      <c r="N215" s="86">
        <v>253385.86</v>
      </c>
      <c r="O215" s="25"/>
      <c r="P215" s="1" t="s">
        <v>44</v>
      </c>
      <c r="Q215" s="141"/>
      <c r="R215" s="191" t="s">
        <v>4741</v>
      </c>
    </row>
    <row r="216" spans="1:18" s="1" customFormat="1" ht="15.75" hidden="1" customHeight="1" x14ac:dyDescent="0.3">
      <c r="A216" s="9" t="s">
        <v>667</v>
      </c>
      <c r="B216" s="9" t="s">
        <v>667</v>
      </c>
      <c r="C216" s="11" t="e">
        <v>#N/A</v>
      </c>
      <c r="D216" t="s">
        <v>4495</v>
      </c>
      <c r="E216" s="132"/>
      <c r="F216" s="15"/>
      <c r="G216" s="15"/>
      <c r="H216" s="11" t="s">
        <v>668</v>
      </c>
      <c r="I216"/>
      <c r="J216" s="165"/>
      <c r="K216" s="11"/>
      <c r="L216" s="11"/>
      <c r="M216" s="13"/>
      <c r="N216" s="90"/>
      <c r="O216" s="28"/>
      <c r="Q216" s="141"/>
      <c r="R216" s="193"/>
    </row>
    <row r="217" spans="1:18" s="1" customFormat="1" ht="15.75" customHeight="1" x14ac:dyDescent="0.3">
      <c r="A217" s="5" t="s">
        <v>669</v>
      </c>
      <c r="B217" s="9" t="s">
        <v>670</v>
      </c>
      <c r="C217" s="11" t="s">
        <v>4490</v>
      </c>
      <c r="D217" t="s">
        <v>4497</v>
      </c>
      <c r="E217"/>
      <c r="F217"/>
      <c r="G217" t="s">
        <v>4616</v>
      </c>
      <c r="H217" s="11" t="s">
        <v>671</v>
      </c>
      <c r="I217"/>
      <c r="J217" s="165" t="s">
        <v>39</v>
      </c>
      <c r="K217" s="27"/>
      <c r="L217" s="27"/>
      <c r="M217" s="13">
        <v>43101</v>
      </c>
      <c r="N217" s="90">
        <v>10000</v>
      </c>
      <c r="O217" s="28" t="s">
        <v>20</v>
      </c>
      <c r="P217" s="1" t="s">
        <v>44</v>
      </c>
      <c r="Q217" s="141"/>
      <c r="R217" s="193">
        <v>10000</v>
      </c>
    </row>
    <row r="218" spans="1:18" s="1" customFormat="1" ht="15.75" customHeight="1" x14ac:dyDescent="0.3">
      <c r="A218" s="5" t="s">
        <v>672</v>
      </c>
      <c r="B218" s="9" t="s">
        <v>673</v>
      </c>
      <c r="C218" s="11" t="s">
        <v>4519</v>
      </c>
      <c r="D218" t="s">
        <v>4493</v>
      </c>
      <c r="E218" s="132"/>
      <c r="F218" s="15"/>
      <c r="G218" s="15"/>
      <c r="H218" s="11" t="s">
        <v>674</v>
      </c>
      <c r="I218"/>
      <c r="J218" s="165" t="s">
        <v>39</v>
      </c>
      <c r="K218" s="27"/>
      <c r="L218" s="27"/>
      <c r="M218" s="13">
        <v>43117</v>
      </c>
      <c r="N218" s="90">
        <v>3290</v>
      </c>
      <c r="O218" s="28" t="s">
        <v>20</v>
      </c>
      <c r="P218" s="1" t="s">
        <v>78</v>
      </c>
      <c r="Q218" s="141"/>
      <c r="R218" s="193">
        <v>3290</v>
      </c>
    </row>
    <row r="219" spans="1:18" s="1" customFormat="1" ht="15.75" customHeight="1" x14ac:dyDescent="0.3">
      <c r="A219" s="5" t="s">
        <v>675</v>
      </c>
      <c r="B219" s="9" t="s">
        <v>676</v>
      </c>
      <c r="C219" s="11" t="s">
        <v>4518</v>
      </c>
      <c r="D219" t="s">
        <v>4493</v>
      </c>
      <c r="E219" s="132"/>
      <c r="F219" s="15"/>
      <c r="G219" s="15"/>
      <c r="H219" s="11" t="s">
        <v>677</v>
      </c>
      <c r="I219"/>
      <c r="J219" s="165">
        <v>30739</v>
      </c>
      <c r="K219" s="11" t="s">
        <v>678</v>
      </c>
      <c r="L219" s="3" t="s">
        <v>679</v>
      </c>
      <c r="M219" s="13">
        <v>43126</v>
      </c>
      <c r="N219" s="90">
        <v>2456.81</v>
      </c>
      <c r="O219" s="28" t="s">
        <v>20</v>
      </c>
      <c r="P219" s="1" t="s">
        <v>78</v>
      </c>
      <c r="Q219" s="141"/>
      <c r="R219" s="193" t="s">
        <v>4742</v>
      </c>
    </row>
    <row r="220" spans="1:18" s="1" customFormat="1" ht="15.75" customHeight="1" x14ac:dyDescent="0.3">
      <c r="A220" s="5" t="s">
        <v>680</v>
      </c>
      <c r="B220" s="10" t="s">
        <v>681</v>
      </c>
      <c r="C220" s="11" t="s">
        <v>4489</v>
      </c>
      <c r="D220" t="s">
        <v>4495</v>
      </c>
      <c r="E220"/>
      <c r="F220"/>
      <c r="G220" t="s">
        <v>4629</v>
      </c>
      <c r="H220" s="11" t="s">
        <v>682</v>
      </c>
      <c r="I220"/>
      <c r="J220" s="165">
        <v>47242</v>
      </c>
      <c r="K220" s="11" t="s">
        <v>683</v>
      </c>
      <c r="L220" s="3" t="s">
        <v>684</v>
      </c>
      <c r="M220" s="13">
        <v>43133</v>
      </c>
      <c r="N220" s="90">
        <v>3050</v>
      </c>
      <c r="O220" s="28" t="s">
        <v>20</v>
      </c>
      <c r="Q220" s="141"/>
      <c r="R220" s="193">
        <v>3050</v>
      </c>
    </row>
    <row r="221" spans="1:18" s="1" customFormat="1" ht="15.75" customHeight="1" x14ac:dyDescent="0.3">
      <c r="A221" s="5" t="s">
        <v>685</v>
      </c>
      <c r="B221" s="10" t="s">
        <v>686</v>
      </c>
      <c r="C221" s="11" t="s">
        <v>4489</v>
      </c>
      <c r="D221" t="s">
        <v>4495</v>
      </c>
      <c r="E221"/>
      <c r="F221"/>
      <c r="G221" t="s">
        <v>4629</v>
      </c>
      <c r="H221" s="11" t="s">
        <v>687</v>
      </c>
      <c r="I221"/>
      <c r="J221" s="165">
        <v>47242</v>
      </c>
      <c r="K221" s="11" t="s">
        <v>683</v>
      </c>
      <c r="L221" s="3" t="s">
        <v>684</v>
      </c>
      <c r="M221" s="13">
        <v>43133</v>
      </c>
      <c r="N221" s="90">
        <v>3050</v>
      </c>
      <c r="O221" s="28" t="s">
        <v>20</v>
      </c>
      <c r="Q221" s="141"/>
      <c r="R221" s="193">
        <v>3050</v>
      </c>
    </row>
    <row r="222" spans="1:18" s="1" customFormat="1" ht="15.75" customHeight="1" x14ac:dyDescent="0.3">
      <c r="A222" s="6" t="s">
        <v>688</v>
      </c>
      <c r="B222" s="17" t="s">
        <v>689</v>
      </c>
      <c r="C222" s="11" t="s">
        <v>4489</v>
      </c>
      <c r="D222" t="s">
        <v>4494</v>
      </c>
      <c r="E222"/>
      <c r="F222"/>
      <c r="G222"/>
      <c r="H222" s="18" t="s">
        <v>690</v>
      </c>
      <c r="I222"/>
      <c r="J222" s="165" t="s">
        <v>39</v>
      </c>
      <c r="K222" s="27"/>
      <c r="L222" s="27"/>
      <c r="M222" s="21">
        <v>43136</v>
      </c>
      <c r="N222" s="91">
        <v>12000</v>
      </c>
      <c r="O222" s="25" t="s">
        <v>20</v>
      </c>
      <c r="P222" s="26"/>
      <c r="Q222" s="141"/>
      <c r="R222" s="195">
        <v>12000</v>
      </c>
    </row>
    <row r="223" spans="1:18" s="1" customFormat="1" ht="15.75" customHeight="1" x14ac:dyDescent="0.3">
      <c r="A223" s="5" t="s">
        <v>691</v>
      </c>
      <c r="B223" s="10" t="s">
        <v>692</v>
      </c>
      <c r="C223" s="11" t="s">
        <v>4488</v>
      </c>
      <c r="D223" t="s">
        <v>5040</v>
      </c>
      <c r="E223" s="132"/>
      <c r="F223" s="15"/>
      <c r="G223" s="15"/>
      <c r="H223" s="11" t="s">
        <v>693</v>
      </c>
      <c r="I223"/>
      <c r="J223" s="165"/>
      <c r="K223" s="11"/>
      <c r="L223" s="15"/>
      <c r="M223" s="13">
        <v>43150</v>
      </c>
      <c r="N223" s="90">
        <v>1730625.39</v>
      </c>
      <c r="O223" s="25"/>
      <c r="Q223" s="141"/>
      <c r="R223" s="193" t="s">
        <v>4743</v>
      </c>
    </row>
    <row r="224" spans="1:18" s="1" customFormat="1" ht="15.75" customHeight="1" x14ac:dyDescent="0.3">
      <c r="A224" s="5" t="s">
        <v>694</v>
      </c>
      <c r="B224" s="10" t="s">
        <v>695</v>
      </c>
      <c r="C224" s="11" t="s">
        <v>4519</v>
      </c>
      <c r="D224" t="s">
        <v>4492</v>
      </c>
      <c r="E224" s="132"/>
      <c r="F224" s="15"/>
      <c r="G224" s="15"/>
      <c r="H224" s="11" t="s">
        <v>696</v>
      </c>
      <c r="I224"/>
      <c r="J224" s="165">
        <v>25585</v>
      </c>
      <c r="K224" s="11" t="s">
        <v>697</v>
      </c>
      <c r="L224" s="3" t="s">
        <v>556</v>
      </c>
      <c r="M224" s="13">
        <v>43152</v>
      </c>
      <c r="N224" s="86">
        <v>1749</v>
      </c>
      <c r="O224" s="28"/>
      <c r="Q224" s="141"/>
      <c r="R224" s="191">
        <v>1749</v>
      </c>
    </row>
    <row r="225" spans="1:18" s="1" customFormat="1" ht="15.75" customHeight="1" x14ac:dyDescent="0.3">
      <c r="A225" s="5" t="s">
        <v>698</v>
      </c>
      <c r="B225" s="9" t="s">
        <v>699</v>
      </c>
      <c r="C225" s="11" t="s">
        <v>4519</v>
      </c>
      <c r="D225" t="s">
        <v>4495</v>
      </c>
      <c r="E225" s="132"/>
      <c r="F225" s="15"/>
      <c r="G225" s="15"/>
      <c r="H225" s="11" t="s">
        <v>700</v>
      </c>
      <c r="I225"/>
      <c r="J225" s="166">
        <v>44918</v>
      </c>
      <c r="K225" s="3" t="s">
        <v>701</v>
      </c>
      <c r="L225" s="3" t="s">
        <v>702</v>
      </c>
      <c r="M225" s="13">
        <v>43161</v>
      </c>
      <c r="N225" s="86">
        <v>1635</v>
      </c>
      <c r="O225" s="28" t="s">
        <v>20</v>
      </c>
      <c r="Q225" s="141"/>
      <c r="R225" s="191">
        <v>1635</v>
      </c>
    </row>
    <row r="226" spans="1:18" s="1" customFormat="1" ht="15.75" customHeight="1" x14ac:dyDescent="0.3">
      <c r="A226" s="5" t="s">
        <v>703</v>
      </c>
      <c r="B226" s="9" t="s">
        <v>704</v>
      </c>
      <c r="C226" s="11" t="s">
        <v>4489</v>
      </c>
      <c r="D226" t="s">
        <v>4496</v>
      </c>
      <c r="E226" s="132"/>
      <c r="F226" s="15"/>
      <c r="G226" s="15"/>
      <c r="H226" s="3" t="s">
        <v>705</v>
      </c>
      <c r="I226"/>
      <c r="J226" s="165" t="s">
        <v>39</v>
      </c>
      <c r="K226" s="27"/>
      <c r="L226" s="27"/>
      <c r="M226" s="13">
        <v>43164</v>
      </c>
      <c r="N226" s="86">
        <v>1398</v>
      </c>
      <c r="O226" s="28"/>
      <c r="Q226" s="141"/>
      <c r="R226" s="191">
        <v>1398</v>
      </c>
    </row>
    <row r="227" spans="1:18" s="1" customFormat="1" ht="15.75" customHeight="1" x14ac:dyDescent="0.3">
      <c r="A227" s="5" t="s">
        <v>706</v>
      </c>
      <c r="B227" s="9" t="s">
        <v>707</v>
      </c>
      <c r="C227" s="11" t="s">
        <v>4519</v>
      </c>
      <c r="D227" t="s">
        <v>4494</v>
      </c>
      <c r="E227" s="132"/>
      <c r="F227" s="15"/>
      <c r="G227" s="15"/>
      <c r="H227" s="3" t="s">
        <v>708</v>
      </c>
      <c r="I227"/>
      <c r="J227" s="165" t="s">
        <v>39</v>
      </c>
      <c r="K227" s="27"/>
      <c r="L227" s="27"/>
      <c r="M227" s="13">
        <v>43167</v>
      </c>
      <c r="N227" s="86">
        <v>2701.25</v>
      </c>
      <c r="O227" s="28" t="s">
        <v>20</v>
      </c>
      <c r="P227" s="1" t="s">
        <v>44</v>
      </c>
      <c r="Q227" s="141"/>
      <c r="R227" s="191" t="s">
        <v>4744</v>
      </c>
    </row>
    <row r="228" spans="1:18" s="1" customFormat="1" ht="15.75" customHeight="1" x14ac:dyDescent="0.3">
      <c r="A228" s="5" t="s">
        <v>709</v>
      </c>
      <c r="B228" s="9" t="s">
        <v>710</v>
      </c>
      <c r="C228" s="11" t="s">
        <v>4520</v>
      </c>
      <c r="D228" t="s">
        <v>4494</v>
      </c>
      <c r="E228" s="132"/>
      <c r="F228" s="10"/>
      <c r="G228" s="10"/>
      <c r="H228" s="3" t="s">
        <v>711</v>
      </c>
      <c r="I228"/>
      <c r="J228" s="166">
        <v>304858</v>
      </c>
      <c r="K228" s="11" t="s">
        <v>712</v>
      </c>
      <c r="L228" s="11" t="s">
        <v>713</v>
      </c>
      <c r="M228" s="13">
        <v>43180</v>
      </c>
      <c r="N228" s="86">
        <v>1520</v>
      </c>
      <c r="O228" s="28"/>
      <c r="Q228" s="141"/>
      <c r="R228" s="191">
        <v>1520</v>
      </c>
    </row>
    <row r="229" spans="1:18" s="1" customFormat="1" ht="15.75" customHeight="1" x14ac:dyDescent="0.3">
      <c r="A229" s="45" t="s">
        <v>714</v>
      </c>
      <c r="B229" s="9" t="s">
        <v>714</v>
      </c>
      <c r="C229" s="3" t="s">
        <v>4520</v>
      </c>
      <c r="D229" t="s">
        <v>4500</v>
      </c>
      <c r="E229" s="132"/>
      <c r="F229" s="14"/>
      <c r="G229" s="14"/>
      <c r="H229" s="3" t="s">
        <v>715</v>
      </c>
      <c r="I229"/>
      <c r="J229" s="165">
        <v>29887</v>
      </c>
      <c r="K229" s="3" t="s">
        <v>196</v>
      </c>
      <c r="L229" s="71" t="s">
        <v>197</v>
      </c>
      <c r="M229" s="29">
        <v>45763</v>
      </c>
      <c r="N229" s="86">
        <v>3799</v>
      </c>
      <c r="O229" s="28"/>
      <c r="P229" s="1" t="s">
        <v>66</v>
      </c>
      <c r="Q229" s="141"/>
      <c r="R229" s="191">
        <v>3799</v>
      </c>
    </row>
    <row r="230" spans="1:18" s="1" customFormat="1" ht="15.75" hidden="1" customHeight="1" x14ac:dyDescent="0.3">
      <c r="A230" s="5" t="s">
        <v>716</v>
      </c>
      <c r="B230" s="9" t="s">
        <v>717</v>
      </c>
      <c r="C230" s="11" t="s">
        <v>4519</v>
      </c>
      <c r="D230" t="s">
        <v>4495</v>
      </c>
      <c r="E230" s="132"/>
      <c r="F230" s="15"/>
      <c r="G230" s="15"/>
      <c r="H230" s="3" t="s">
        <v>718</v>
      </c>
      <c r="I230"/>
      <c r="J230" s="165">
        <v>26035</v>
      </c>
      <c r="K230" s="11" t="s">
        <v>697</v>
      </c>
      <c r="L230" s="3" t="s">
        <v>556</v>
      </c>
      <c r="M230" s="13">
        <v>43187</v>
      </c>
      <c r="N230" s="86"/>
      <c r="O230" s="28" t="s">
        <v>719</v>
      </c>
      <c r="P230" s="1" t="s">
        <v>91</v>
      </c>
      <c r="Q230" s="141"/>
      <c r="R230" s="191"/>
    </row>
    <row r="231" spans="1:18" s="1" customFormat="1" ht="15.75" customHeight="1" x14ac:dyDescent="0.3">
      <c r="A231" s="5" t="s">
        <v>720</v>
      </c>
      <c r="B231" s="9" t="s">
        <v>721</v>
      </c>
      <c r="C231" s="11" t="s">
        <v>4490</v>
      </c>
      <c r="D231" t="s">
        <v>4495</v>
      </c>
      <c r="E231"/>
      <c r="F231"/>
      <c r="G231" t="s">
        <v>4629</v>
      </c>
      <c r="H231" s="3" t="s">
        <v>722</v>
      </c>
      <c r="I231"/>
      <c r="J231" s="165" t="s">
        <v>39</v>
      </c>
      <c r="K231" s="27"/>
      <c r="L231" s="27"/>
      <c r="M231" s="13">
        <v>43189</v>
      </c>
      <c r="N231" s="86">
        <v>15000</v>
      </c>
      <c r="O231" s="28" t="s">
        <v>20</v>
      </c>
      <c r="P231" s="1" t="s">
        <v>66</v>
      </c>
      <c r="Q231" s="141"/>
      <c r="R231" s="191">
        <v>15000</v>
      </c>
    </row>
    <row r="232" spans="1:18" s="1" customFormat="1" ht="15.75" customHeight="1" x14ac:dyDescent="0.3">
      <c r="A232" s="5" t="s">
        <v>723</v>
      </c>
      <c r="B232" s="9" t="s">
        <v>724</v>
      </c>
      <c r="C232" s="11" t="s">
        <v>4520</v>
      </c>
      <c r="D232" t="s">
        <v>4494</v>
      </c>
      <c r="E232" s="132"/>
      <c r="F232" s="10"/>
      <c r="G232" s="10"/>
      <c r="H232" s="3" t="s">
        <v>536</v>
      </c>
      <c r="I232"/>
      <c r="J232" s="165" t="s">
        <v>39</v>
      </c>
      <c r="K232" s="27"/>
      <c r="L232" s="27"/>
      <c r="M232" s="13">
        <v>43190</v>
      </c>
      <c r="N232" s="86">
        <v>1362.93</v>
      </c>
      <c r="O232" s="28" t="s">
        <v>20</v>
      </c>
      <c r="P232" s="1" t="s">
        <v>44</v>
      </c>
      <c r="Q232" s="141"/>
      <c r="R232" s="191" t="s">
        <v>4745</v>
      </c>
    </row>
    <row r="233" spans="1:18" s="1" customFormat="1" ht="15.75" customHeight="1" x14ac:dyDescent="0.3">
      <c r="A233" s="131" t="s">
        <v>725</v>
      </c>
      <c r="B233" s="9" t="s">
        <v>725</v>
      </c>
      <c r="C233" s="11" t="s">
        <v>4519</v>
      </c>
      <c r="D233" t="s">
        <v>4492</v>
      </c>
      <c r="E233" s="132"/>
      <c r="F233" s="10"/>
      <c r="G233" s="10"/>
      <c r="H233" s="3" t="s">
        <v>186</v>
      </c>
      <c r="I233"/>
      <c r="J233" s="166">
        <v>46974</v>
      </c>
      <c r="K233" s="3" t="s">
        <v>187</v>
      </c>
      <c r="L233" s="3" t="s">
        <v>188</v>
      </c>
      <c r="M233" s="29">
        <v>45965</v>
      </c>
      <c r="N233" s="86">
        <v>1713</v>
      </c>
      <c r="O233" s="28"/>
      <c r="Q233" s="141"/>
      <c r="R233" s="191">
        <v>1713</v>
      </c>
    </row>
    <row r="234" spans="1:18" s="1" customFormat="1" ht="15.75" customHeight="1" x14ac:dyDescent="0.3">
      <c r="A234" s="45" t="s">
        <v>726</v>
      </c>
      <c r="B234" s="9" t="s">
        <v>726</v>
      </c>
      <c r="C234" s="3" t="s">
        <v>4520</v>
      </c>
      <c r="D234" t="s">
        <v>4500</v>
      </c>
      <c r="E234" s="132"/>
      <c r="F234" s="14"/>
      <c r="G234" s="14"/>
      <c r="H234" s="3" t="s">
        <v>715</v>
      </c>
      <c r="I234"/>
      <c r="J234" s="165">
        <v>29859</v>
      </c>
      <c r="K234" s="3" t="s">
        <v>196</v>
      </c>
      <c r="L234" s="71" t="s">
        <v>197</v>
      </c>
      <c r="M234" s="29">
        <v>45763</v>
      </c>
      <c r="N234" s="86">
        <v>3790</v>
      </c>
      <c r="O234" s="28"/>
      <c r="P234" s="1" t="s">
        <v>66</v>
      </c>
      <c r="Q234" s="141"/>
      <c r="R234" s="191">
        <v>3790</v>
      </c>
    </row>
    <row r="235" spans="1:18" s="1" customFormat="1" ht="15.75" customHeight="1" x14ac:dyDescent="0.3">
      <c r="A235" s="5" t="s">
        <v>727</v>
      </c>
      <c r="B235" s="9" t="s">
        <v>728</v>
      </c>
      <c r="C235" s="11" t="s">
        <v>4519</v>
      </c>
      <c r="D235" t="s">
        <v>4494</v>
      </c>
      <c r="E235" s="132"/>
      <c r="F235" s="15"/>
      <c r="G235" s="15"/>
      <c r="H235" s="3" t="s">
        <v>729</v>
      </c>
      <c r="I235"/>
      <c r="J235" s="165">
        <v>353915</v>
      </c>
      <c r="K235" s="11" t="s">
        <v>701</v>
      </c>
      <c r="L235" s="3" t="s">
        <v>730</v>
      </c>
      <c r="M235" s="13">
        <v>43196</v>
      </c>
      <c r="N235" s="86">
        <v>2200</v>
      </c>
      <c r="O235" s="28" t="s">
        <v>20</v>
      </c>
      <c r="P235" s="1" t="s">
        <v>44</v>
      </c>
      <c r="Q235" s="141"/>
      <c r="R235" s="191">
        <v>2200</v>
      </c>
    </row>
    <row r="236" spans="1:18" s="1" customFormat="1" ht="15.75" customHeight="1" x14ac:dyDescent="0.3">
      <c r="A236" s="5" t="s">
        <v>731</v>
      </c>
      <c r="B236" s="9" t="s">
        <v>732</v>
      </c>
      <c r="C236" s="3" t="s">
        <v>4520</v>
      </c>
      <c r="D236" t="s">
        <v>4495</v>
      </c>
      <c r="E236" s="132"/>
      <c r="F236" s="10"/>
      <c r="G236" s="10"/>
      <c r="H236" s="3" t="s">
        <v>536</v>
      </c>
      <c r="I236"/>
      <c r="J236" s="165" t="s">
        <v>39</v>
      </c>
      <c r="K236" s="27"/>
      <c r="L236" s="27"/>
      <c r="M236" s="13">
        <v>43198</v>
      </c>
      <c r="N236" s="86">
        <v>1066.22</v>
      </c>
      <c r="O236" s="28" t="s">
        <v>20</v>
      </c>
      <c r="Q236" s="141"/>
      <c r="R236" s="191" t="s">
        <v>4746</v>
      </c>
    </row>
    <row r="237" spans="1:18" s="1" customFormat="1" ht="15.75" customHeight="1" x14ac:dyDescent="0.3">
      <c r="A237" s="188" t="s">
        <v>733</v>
      </c>
      <c r="B237" s="9" t="s">
        <v>733</v>
      </c>
      <c r="C237" s="11" t="s">
        <v>4520</v>
      </c>
      <c r="D237" t="s">
        <v>4493</v>
      </c>
      <c r="E237" s="132"/>
      <c r="F237" s="10"/>
      <c r="G237" s="10"/>
      <c r="H237" s="3" t="s">
        <v>734</v>
      </c>
      <c r="I237"/>
      <c r="J237" s="166">
        <v>2934</v>
      </c>
      <c r="K237" s="3" t="s">
        <v>735</v>
      </c>
      <c r="L237" s="3" t="s">
        <v>105</v>
      </c>
      <c r="M237" s="29">
        <v>45932</v>
      </c>
      <c r="N237" s="86">
        <v>1890</v>
      </c>
      <c r="O237" s="28"/>
      <c r="Q237" s="141"/>
      <c r="R237" s="191">
        <v>1890</v>
      </c>
    </row>
    <row r="238" spans="1:18" s="1" customFormat="1" ht="15.75" customHeight="1" x14ac:dyDescent="0.3">
      <c r="A238" s="5" t="s">
        <v>736</v>
      </c>
      <c r="B238" s="9" t="s">
        <v>737</v>
      </c>
      <c r="C238" s="11" t="s">
        <v>4487</v>
      </c>
      <c r="D238" t="s">
        <v>4493</v>
      </c>
      <c r="E238" t="s">
        <v>738</v>
      </c>
      <c r="F238">
        <v>34502112553864</v>
      </c>
      <c r="G238" t="s">
        <v>4629</v>
      </c>
      <c r="H238" s="3" t="s">
        <v>739</v>
      </c>
      <c r="I238"/>
      <c r="J238" s="166">
        <v>1429</v>
      </c>
      <c r="K238" s="11" t="s">
        <v>740</v>
      </c>
      <c r="L238" s="3" t="s">
        <v>741</v>
      </c>
      <c r="M238" s="13">
        <v>43206</v>
      </c>
      <c r="N238" s="86">
        <v>38000</v>
      </c>
      <c r="O238" s="28" t="s">
        <v>20</v>
      </c>
      <c r="P238" s="1" t="s">
        <v>78</v>
      </c>
      <c r="Q238" s="141"/>
      <c r="R238" s="191">
        <v>38000</v>
      </c>
    </row>
    <row r="239" spans="1:18" s="1" customFormat="1" ht="15.75" customHeight="1" x14ac:dyDescent="0.3">
      <c r="A239" s="5" t="s">
        <v>742</v>
      </c>
      <c r="B239" s="9" t="s">
        <v>743</v>
      </c>
      <c r="C239" s="11" t="s">
        <v>4520</v>
      </c>
      <c r="D239" t="s">
        <v>4494</v>
      </c>
      <c r="E239" s="132"/>
      <c r="F239" s="10"/>
      <c r="G239" s="10"/>
      <c r="H239" s="3" t="s">
        <v>744</v>
      </c>
      <c r="I239"/>
      <c r="J239" s="165" t="s">
        <v>39</v>
      </c>
      <c r="K239" s="27"/>
      <c r="L239" s="27"/>
      <c r="M239" s="13">
        <v>43215</v>
      </c>
      <c r="N239" s="86">
        <v>899</v>
      </c>
      <c r="O239" s="28" t="s">
        <v>20</v>
      </c>
      <c r="P239" s="1" t="s">
        <v>78</v>
      </c>
      <c r="Q239" s="141"/>
      <c r="R239" s="191">
        <v>899</v>
      </c>
    </row>
    <row r="240" spans="1:18" s="1" customFormat="1" ht="15.75" customHeight="1" x14ac:dyDescent="0.3">
      <c r="A240" s="5" t="s">
        <v>745</v>
      </c>
      <c r="B240" s="9" t="s">
        <v>746</v>
      </c>
      <c r="C240" s="11" t="s">
        <v>4489</v>
      </c>
      <c r="D240" t="s">
        <v>4494</v>
      </c>
      <c r="E240" s="132"/>
      <c r="F240" s="15"/>
      <c r="G240" s="15"/>
      <c r="H240" s="3" t="s">
        <v>747</v>
      </c>
      <c r="I240"/>
      <c r="J240" s="165">
        <v>48975</v>
      </c>
      <c r="K240" s="11" t="s">
        <v>683</v>
      </c>
      <c r="L240" s="3" t="s">
        <v>684</v>
      </c>
      <c r="M240" s="13">
        <v>43224</v>
      </c>
      <c r="N240" s="86">
        <v>3074.43</v>
      </c>
      <c r="O240" s="28"/>
      <c r="Q240" s="141"/>
      <c r="R240" s="191" t="s">
        <v>4747</v>
      </c>
    </row>
    <row r="241" spans="1:18" s="1" customFormat="1" ht="15.75" customHeight="1" x14ac:dyDescent="0.3">
      <c r="A241" s="5" t="s">
        <v>748</v>
      </c>
      <c r="B241" s="9" t="s">
        <v>749</v>
      </c>
      <c r="C241" s="11" t="s">
        <v>4518</v>
      </c>
      <c r="D241" t="s">
        <v>4492</v>
      </c>
      <c r="E241" s="132"/>
      <c r="F241" s="15"/>
      <c r="G241" s="15"/>
      <c r="H241" s="3" t="s">
        <v>750</v>
      </c>
      <c r="I241"/>
      <c r="J241" s="165">
        <v>143</v>
      </c>
      <c r="K241" s="11" t="s">
        <v>751</v>
      </c>
      <c r="L241" s="3" t="s">
        <v>752</v>
      </c>
      <c r="M241" s="13">
        <v>43225</v>
      </c>
      <c r="N241" s="86">
        <v>25800</v>
      </c>
      <c r="O241" s="28" t="s">
        <v>20</v>
      </c>
      <c r="Q241" s="141"/>
      <c r="R241" s="191">
        <v>25800</v>
      </c>
    </row>
    <row r="242" spans="1:18" s="1" customFormat="1" ht="15.75" customHeight="1" x14ac:dyDescent="0.3">
      <c r="A242" s="5" t="s">
        <v>753</v>
      </c>
      <c r="B242" s="9" t="s">
        <v>754</v>
      </c>
      <c r="C242" s="11" t="s">
        <v>4520</v>
      </c>
      <c r="D242" t="s">
        <v>4495</v>
      </c>
      <c r="E242" s="3"/>
      <c r="F242" s="10"/>
      <c r="G242" s="10"/>
      <c r="H242" s="3" t="s">
        <v>755</v>
      </c>
      <c r="I242"/>
      <c r="J242" s="166">
        <v>16165891</v>
      </c>
      <c r="K242" s="11" t="s">
        <v>756</v>
      </c>
      <c r="L242" s="11" t="s">
        <v>757</v>
      </c>
      <c r="M242" s="13">
        <v>43228</v>
      </c>
      <c r="N242" s="86">
        <v>1919.98</v>
      </c>
      <c r="O242" s="28"/>
      <c r="Q242" s="141"/>
      <c r="R242" s="191" t="s">
        <v>4748</v>
      </c>
    </row>
    <row r="243" spans="1:18" s="1" customFormat="1" ht="15.75" customHeight="1" x14ac:dyDescent="0.3">
      <c r="A243" s="5" t="s">
        <v>758</v>
      </c>
      <c r="B243" s="9" t="s">
        <v>759</v>
      </c>
      <c r="C243" s="11" t="s">
        <v>4520</v>
      </c>
      <c r="D243" t="s">
        <v>4492</v>
      </c>
      <c r="E243" s="132"/>
      <c r="F243" s="10"/>
      <c r="G243" s="10"/>
      <c r="H243" s="3" t="s">
        <v>760</v>
      </c>
      <c r="I243"/>
      <c r="J243" s="165" t="s">
        <v>39</v>
      </c>
      <c r="K243" s="27"/>
      <c r="L243" s="27"/>
      <c r="M243" s="13">
        <v>43228</v>
      </c>
      <c r="N243" s="86">
        <v>500</v>
      </c>
      <c r="O243" s="28"/>
      <c r="Q243" s="141"/>
      <c r="R243" s="191">
        <v>500</v>
      </c>
    </row>
    <row r="244" spans="1:18" s="1" customFormat="1" ht="15.75" customHeight="1" x14ac:dyDescent="0.3">
      <c r="A244" s="5" t="s">
        <v>761</v>
      </c>
      <c r="B244" s="9" t="s">
        <v>762</v>
      </c>
      <c r="C244" s="11" t="s">
        <v>4518</v>
      </c>
      <c r="D244" t="s">
        <v>4493</v>
      </c>
      <c r="E244" s="132"/>
      <c r="F244" s="15"/>
      <c r="G244" s="15"/>
      <c r="H244" s="3" t="s">
        <v>763</v>
      </c>
      <c r="I244"/>
      <c r="J244" s="165">
        <v>143</v>
      </c>
      <c r="K244" s="11" t="s">
        <v>764</v>
      </c>
      <c r="L244" s="3" t="s">
        <v>752</v>
      </c>
      <c r="M244" s="13">
        <v>43229</v>
      </c>
      <c r="N244" s="86">
        <v>30000</v>
      </c>
      <c r="O244" s="28"/>
      <c r="Q244" s="141"/>
      <c r="R244" s="191">
        <v>30000</v>
      </c>
    </row>
    <row r="245" spans="1:18" s="1" customFormat="1" ht="15.75" customHeight="1" x14ac:dyDescent="0.3">
      <c r="A245" s="5" t="s">
        <v>765</v>
      </c>
      <c r="B245" s="9" t="s">
        <v>766</v>
      </c>
      <c r="C245" s="11" t="s">
        <v>4519</v>
      </c>
      <c r="D245" t="s">
        <v>4493</v>
      </c>
      <c r="E245" s="132"/>
      <c r="F245" s="15"/>
      <c r="G245" s="15"/>
      <c r="H245" s="3" t="s">
        <v>767</v>
      </c>
      <c r="I245"/>
      <c r="J245" s="165" t="s">
        <v>39</v>
      </c>
      <c r="K245" s="27"/>
      <c r="L245" s="27"/>
      <c r="M245" s="13">
        <v>43232</v>
      </c>
      <c r="N245" s="86">
        <v>16500</v>
      </c>
      <c r="O245" s="28"/>
      <c r="Q245" s="141"/>
      <c r="R245" s="191">
        <v>16500</v>
      </c>
    </row>
    <row r="246" spans="1:18" s="1" customFormat="1" ht="15.75" customHeight="1" x14ac:dyDescent="0.3">
      <c r="A246" s="5" t="s">
        <v>768</v>
      </c>
      <c r="B246" s="9" t="s">
        <v>769</v>
      </c>
      <c r="C246" s="11" t="s">
        <v>4519</v>
      </c>
      <c r="D246" t="s">
        <v>4495</v>
      </c>
      <c r="E246"/>
      <c r="F246"/>
      <c r="G246"/>
      <c r="H246" t="s">
        <v>4486</v>
      </c>
      <c r="I246"/>
      <c r="J246" s="165" t="s">
        <v>39</v>
      </c>
      <c r="K246" s="27"/>
      <c r="L246" s="27"/>
      <c r="M246" s="13">
        <v>43232</v>
      </c>
      <c r="N246" s="86">
        <v>16500</v>
      </c>
      <c r="O246" s="28"/>
      <c r="Q246" s="141"/>
      <c r="R246" s="191">
        <v>16500</v>
      </c>
    </row>
    <row r="247" spans="1:18" s="1" customFormat="1" ht="15.75" customHeight="1" x14ac:dyDescent="0.3">
      <c r="A247" s="5" t="s">
        <v>771</v>
      </c>
      <c r="B247" s="9" t="s">
        <v>772</v>
      </c>
      <c r="C247" s="11" t="s">
        <v>4520</v>
      </c>
      <c r="D247" t="s">
        <v>4496</v>
      </c>
      <c r="E247" s="132"/>
      <c r="F247" s="10"/>
      <c r="G247" s="10"/>
      <c r="H247" s="3" t="s">
        <v>773</v>
      </c>
      <c r="I247"/>
      <c r="J247" s="165" t="s">
        <v>39</v>
      </c>
      <c r="K247" s="27"/>
      <c r="L247" s="27"/>
      <c r="M247" s="13">
        <v>43257</v>
      </c>
      <c r="N247" s="86">
        <v>1335</v>
      </c>
      <c r="O247" s="28"/>
      <c r="Q247" s="141"/>
      <c r="R247" s="191">
        <v>1335</v>
      </c>
    </row>
    <row r="248" spans="1:18" s="1" customFormat="1" ht="15.75" customHeight="1" x14ac:dyDescent="0.3">
      <c r="A248" s="5" t="s">
        <v>774</v>
      </c>
      <c r="B248" s="9" t="s">
        <v>775</v>
      </c>
      <c r="C248" s="11" t="s">
        <v>4518</v>
      </c>
      <c r="D248" t="s">
        <v>4494</v>
      </c>
      <c r="E248"/>
      <c r="F248"/>
      <c r="G248" t="s">
        <v>4616</v>
      </c>
      <c r="H248" s="3" t="s">
        <v>776</v>
      </c>
      <c r="I248"/>
      <c r="J248" s="166">
        <v>84829</v>
      </c>
      <c r="K248" s="3" t="s">
        <v>777</v>
      </c>
      <c r="L248" s="11" t="s">
        <v>778</v>
      </c>
      <c r="M248" s="13">
        <v>43257</v>
      </c>
      <c r="N248" s="86">
        <v>2699.9</v>
      </c>
      <c r="O248" s="28" t="s">
        <v>20</v>
      </c>
      <c r="P248" s="1" t="s">
        <v>78</v>
      </c>
      <c r="Q248" s="141"/>
      <c r="R248" s="191" t="s">
        <v>4749</v>
      </c>
    </row>
    <row r="249" spans="1:18" s="1" customFormat="1" ht="15.75" hidden="1" customHeight="1" x14ac:dyDescent="0.3">
      <c r="A249" s="5" t="s">
        <v>779</v>
      </c>
      <c r="B249" s="9" t="s">
        <v>780</v>
      </c>
      <c r="C249" s="11" t="s">
        <v>4489</v>
      </c>
      <c r="D249" t="s">
        <v>4493</v>
      </c>
      <c r="E249" s="132"/>
      <c r="F249" s="15"/>
      <c r="G249" s="15"/>
      <c r="H249" s="3" t="s">
        <v>781</v>
      </c>
      <c r="I249"/>
      <c r="J249" s="165">
        <v>26986</v>
      </c>
      <c r="K249" s="11" t="s">
        <v>697</v>
      </c>
      <c r="L249" s="3" t="s">
        <v>556</v>
      </c>
      <c r="M249" s="13">
        <v>43258</v>
      </c>
      <c r="N249" s="90"/>
      <c r="O249" s="28" t="s">
        <v>20</v>
      </c>
      <c r="P249" s="1" t="s">
        <v>78</v>
      </c>
      <c r="Q249" s="141"/>
      <c r="R249" s="193"/>
    </row>
    <row r="250" spans="1:18" s="1" customFormat="1" ht="15.75" customHeight="1" x14ac:dyDescent="0.3">
      <c r="A250" s="5" t="s">
        <v>782</v>
      </c>
      <c r="B250" s="9" t="s">
        <v>783</v>
      </c>
      <c r="C250" s="11" t="s">
        <v>4489</v>
      </c>
      <c r="D250" t="s">
        <v>4494</v>
      </c>
      <c r="E250" s="132"/>
      <c r="F250" s="15"/>
      <c r="G250" s="15"/>
      <c r="H250" s="3" t="s">
        <v>784</v>
      </c>
      <c r="I250"/>
      <c r="J250" s="165">
        <v>33564</v>
      </c>
      <c r="K250" s="11" t="s">
        <v>678</v>
      </c>
      <c r="L250" s="3" t="s">
        <v>679</v>
      </c>
      <c r="M250" s="13">
        <v>43266</v>
      </c>
      <c r="N250" s="90">
        <v>3466</v>
      </c>
      <c r="O250" s="28"/>
      <c r="Q250" s="141"/>
      <c r="R250" s="193">
        <v>3466</v>
      </c>
    </row>
    <row r="251" spans="1:18" s="1" customFormat="1" ht="15.75" customHeight="1" x14ac:dyDescent="0.3">
      <c r="A251" s="5" t="s">
        <v>785</v>
      </c>
      <c r="B251" s="9" t="s">
        <v>786</v>
      </c>
      <c r="C251" s="11" t="s">
        <v>4489</v>
      </c>
      <c r="D251" t="s">
        <v>4492</v>
      </c>
      <c r="E251" s="132"/>
      <c r="F251" s="15"/>
      <c r="G251" s="15"/>
      <c r="H251" s="3" t="s">
        <v>787</v>
      </c>
      <c r="I251"/>
      <c r="J251" s="165">
        <v>809</v>
      </c>
      <c r="K251" s="11" t="s">
        <v>788</v>
      </c>
      <c r="L251" s="11" t="s">
        <v>789</v>
      </c>
      <c r="M251" s="13">
        <v>43269</v>
      </c>
      <c r="N251" s="90">
        <v>6800</v>
      </c>
      <c r="O251" s="28" t="s">
        <v>20</v>
      </c>
      <c r="Q251" s="141"/>
      <c r="R251" s="193">
        <v>6800</v>
      </c>
    </row>
    <row r="252" spans="1:18" s="1" customFormat="1" ht="15.75" customHeight="1" x14ac:dyDescent="0.3">
      <c r="A252" s="5" t="s">
        <v>790</v>
      </c>
      <c r="B252" s="9" t="s">
        <v>791</v>
      </c>
      <c r="C252" s="11" t="s">
        <v>4489</v>
      </c>
      <c r="D252" t="s">
        <v>4494</v>
      </c>
      <c r="E252" s="132"/>
      <c r="F252" s="15"/>
      <c r="G252" s="15"/>
      <c r="H252" s="3" t="s">
        <v>787</v>
      </c>
      <c r="I252"/>
      <c r="J252" s="166">
        <v>811</v>
      </c>
      <c r="K252" s="3" t="s">
        <v>792</v>
      </c>
      <c r="L252" s="3" t="s">
        <v>789</v>
      </c>
      <c r="M252" s="13">
        <v>43269</v>
      </c>
      <c r="N252" s="90">
        <v>6800</v>
      </c>
      <c r="O252" s="28" t="s">
        <v>20</v>
      </c>
      <c r="P252" s="1" t="s">
        <v>44</v>
      </c>
      <c r="Q252" s="141"/>
      <c r="R252" s="193">
        <v>6800</v>
      </c>
    </row>
    <row r="253" spans="1:18" s="1" customFormat="1" ht="15.75" customHeight="1" x14ac:dyDescent="0.3">
      <c r="A253" s="5" t="s">
        <v>793</v>
      </c>
      <c r="B253" s="9" t="s">
        <v>794</v>
      </c>
      <c r="C253" s="11" t="s">
        <v>4489</v>
      </c>
      <c r="D253" t="s">
        <v>4493</v>
      </c>
      <c r="E253" s="132"/>
      <c r="F253" s="15"/>
      <c r="G253" s="15"/>
      <c r="H253" s="3" t="s">
        <v>747</v>
      </c>
      <c r="I253"/>
      <c r="J253" s="166">
        <v>49918</v>
      </c>
      <c r="K253" s="3" t="s">
        <v>683</v>
      </c>
      <c r="L253" s="3" t="s">
        <v>684</v>
      </c>
      <c r="M253" s="13">
        <v>43270</v>
      </c>
      <c r="N253" s="90">
        <v>3038</v>
      </c>
      <c r="O253" s="28"/>
      <c r="Q253" s="141"/>
      <c r="R253" s="193">
        <v>3038</v>
      </c>
    </row>
    <row r="254" spans="1:18" s="1" customFormat="1" ht="15.75" customHeight="1" x14ac:dyDescent="0.3">
      <c r="A254" s="59" t="s">
        <v>795</v>
      </c>
      <c r="B254" s="9" t="s">
        <v>795</v>
      </c>
      <c r="C254" s="3" t="s">
        <v>4490</v>
      </c>
      <c r="D254" t="s">
        <v>4493</v>
      </c>
      <c r="E254" s="132"/>
      <c r="F254" s="14"/>
      <c r="G254" s="14"/>
      <c r="H254" s="3" t="s">
        <v>796</v>
      </c>
      <c r="I254"/>
      <c r="J254" s="166">
        <v>43597</v>
      </c>
      <c r="K254" s="3" t="s">
        <v>797</v>
      </c>
      <c r="L254" s="29" t="s">
        <v>798</v>
      </c>
      <c r="M254" s="29">
        <v>45824</v>
      </c>
      <c r="N254" s="86">
        <v>7855</v>
      </c>
      <c r="O254" s="28" t="s">
        <v>20</v>
      </c>
      <c r="P254" s="1" t="s">
        <v>78</v>
      </c>
      <c r="Q254" s="141"/>
      <c r="R254" s="191">
        <v>7855</v>
      </c>
    </row>
    <row r="255" spans="1:18" s="1" customFormat="1" ht="15.75" customHeight="1" x14ac:dyDescent="0.3">
      <c r="A255" s="136" t="s">
        <v>799</v>
      </c>
      <c r="B255" s="9" t="s">
        <v>799</v>
      </c>
      <c r="C255" s="3" t="s">
        <v>4520</v>
      </c>
      <c r="D255" t="s">
        <v>4492</v>
      </c>
      <c r="E255" s="132"/>
      <c r="F255" s="14"/>
      <c r="G255" s="14"/>
      <c r="H255" s="3" t="s">
        <v>800</v>
      </c>
      <c r="I255"/>
      <c r="J255" s="166">
        <v>30111</v>
      </c>
      <c r="K255" s="3" t="s">
        <v>196</v>
      </c>
      <c r="L255" s="11" t="s">
        <v>197</v>
      </c>
      <c r="M255" s="29">
        <v>45782</v>
      </c>
      <c r="N255" s="86">
        <v>3998</v>
      </c>
      <c r="O255" s="28"/>
      <c r="Q255" s="141"/>
      <c r="R255" s="191">
        <v>3998</v>
      </c>
    </row>
    <row r="256" spans="1:18" s="1" customFormat="1" ht="15.75" hidden="1" customHeight="1" x14ac:dyDescent="0.3">
      <c r="A256" s="5" t="s">
        <v>801</v>
      </c>
      <c r="B256" s="9" t="s">
        <v>802</v>
      </c>
      <c r="C256" s="11" t="s">
        <v>4519</v>
      </c>
      <c r="D256" t="s">
        <v>4493</v>
      </c>
      <c r="E256" s="132"/>
      <c r="F256" s="15"/>
      <c r="G256" s="15"/>
      <c r="H256" s="3" t="s">
        <v>700</v>
      </c>
      <c r="I256"/>
      <c r="J256" s="165" t="s">
        <v>39</v>
      </c>
      <c r="K256" s="27"/>
      <c r="L256" s="27"/>
      <c r="M256" s="13">
        <v>43283</v>
      </c>
      <c r="N256" s="90"/>
      <c r="O256" s="28"/>
      <c r="Q256" s="141"/>
      <c r="R256" s="193"/>
    </row>
    <row r="257" spans="1:18" s="1" customFormat="1" ht="15.75" customHeight="1" x14ac:dyDescent="0.3">
      <c r="A257" s="5" t="s">
        <v>803</v>
      </c>
      <c r="B257" s="9" t="s">
        <v>804</v>
      </c>
      <c r="C257" s="11" t="s">
        <v>4490</v>
      </c>
      <c r="D257" t="s">
        <v>4494</v>
      </c>
      <c r="E257"/>
      <c r="F257"/>
      <c r="G257" t="s">
        <v>4557</v>
      </c>
      <c r="H257" s="3" t="s">
        <v>805</v>
      </c>
      <c r="I257"/>
      <c r="J257" s="165" t="s">
        <v>39</v>
      </c>
      <c r="K257" s="27"/>
      <c r="L257" s="27"/>
      <c r="M257" s="13">
        <v>43286</v>
      </c>
      <c r="N257" s="90">
        <v>28500</v>
      </c>
      <c r="O257" s="28" t="s">
        <v>20</v>
      </c>
      <c r="P257" s="1" t="s">
        <v>44</v>
      </c>
      <c r="Q257" s="141"/>
      <c r="R257" s="193">
        <v>28500</v>
      </c>
    </row>
    <row r="258" spans="1:18" s="1" customFormat="1" ht="15.75" customHeight="1" x14ac:dyDescent="0.3">
      <c r="A258" s="5" t="s">
        <v>806</v>
      </c>
      <c r="B258" s="9" t="s">
        <v>807</v>
      </c>
      <c r="C258" s="11" t="s">
        <v>4489</v>
      </c>
      <c r="D258" t="s">
        <v>4495</v>
      </c>
      <c r="E258"/>
      <c r="F258"/>
      <c r="G258" t="s">
        <v>4557</v>
      </c>
      <c r="H258" s="3" t="s">
        <v>808</v>
      </c>
      <c r="I258"/>
      <c r="J258" s="165" t="s">
        <v>39</v>
      </c>
      <c r="K258" s="27"/>
      <c r="L258" s="27"/>
      <c r="M258" s="13">
        <v>43286</v>
      </c>
      <c r="N258" s="90">
        <v>24500</v>
      </c>
      <c r="O258" s="28" t="s">
        <v>20</v>
      </c>
      <c r="P258" s="1" t="s">
        <v>66</v>
      </c>
      <c r="Q258" s="141"/>
      <c r="R258" s="193">
        <v>24500</v>
      </c>
    </row>
    <row r="259" spans="1:18" s="1" customFormat="1" ht="15.75" customHeight="1" x14ac:dyDescent="0.3">
      <c r="A259" s="5" t="s">
        <v>809</v>
      </c>
      <c r="B259" s="9" t="s">
        <v>810</v>
      </c>
      <c r="C259" s="11" t="s">
        <v>4490</v>
      </c>
      <c r="D259" t="s">
        <v>4495</v>
      </c>
      <c r="E259" s="160"/>
      <c r="F259" t="s">
        <v>811</v>
      </c>
      <c r="G259" t="s">
        <v>4557</v>
      </c>
      <c r="H259" s="3" t="s">
        <v>812</v>
      </c>
      <c r="I259"/>
      <c r="J259" s="165">
        <v>85162</v>
      </c>
      <c r="K259" s="11" t="s">
        <v>813</v>
      </c>
      <c r="L259" s="3" t="s">
        <v>814</v>
      </c>
      <c r="M259" s="13">
        <v>43292</v>
      </c>
      <c r="N259" s="90">
        <v>135000</v>
      </c>
      <c r="O259" s="28" t="s">
        <v>20</v>
      </c>
      <c r="P259" s="1" t="s">
        <v>44</v>
      </c>
      <c r="Q259" s="141"/>
      <c r="R259" s="193">
        <v>135000</v>
      </c>
    </row>
    <row r="260" spans="1:18" s="1" customFormat="1" ht="15.75" customHeight="1" x14ac:dyDescent="0.3">
      <c r="A260" s="5" t="s">
        <v>815</v>
      </c>
      <c r="B260" s="9" t="s">
        <v>816</v>
      </c>
      <c r="C260" s="11" t="s">
        <v>4490</v>
      </c>
      <c r="D260" t="s">
        <v>4495</v>
      </c>
      <c r="E260" s="160"/>
      <c r="F260" t="s">
        <v>817</v>
      </c>
      <c r="G260" t="s">
        <v>4557</v>
      </c>
      <c r="H260" s="3" t="s">
        <v>812</v>
      </c>
      <c r="I260"/>
      <c r="J260" s="165">
        <v>85163</v>
      </c>
      <c r="K260" s="11" t="s">
        <v>813</v>
      </c>
      <c r="L260" s="3" t="s">
        <v>814</v>
      </c>
      <c r="M260" s="13">
        <v>43292</v>
      </c>
      <c r="N260" s="90">
        <v>135000</v>
      </c>
      <c r="O260" s="28" t="s">
        <v>20</v>
      </c>
      <c r="Q260" s="141"/>
      <c r="R260" s="193">
        <v>135000</v>
      </c>
    </row>
    <row r="261" spans="1:18" s="1" customFormat="1" ht="15.75" customHeight="1" x14ac:dyDescent="0.3">
      <c r="A261" s="5" t="s">
        <v>818</v>
      </c>
      <c r="B261" s="9" t="s">
        <v>819</v>
      </c>
      <c r="C261" s="11" t="s">
        <v>4490</v>
      </c>
      <c r="D261" t="s">
        <v>4494</v>
      </c>
      <c r="E261" s="160"/>
      <c r="F261" t="s">
        <v>820</v>
      </c>
      <c r="G261" t="s">
        <v>4557</v>
      </c>
      <c r="H261" s="3" t="s">
        <v>812</v>
      </c>
      <c r="I261"/>
      <c r="J261" s="165">
        <v>85158</v>
      </c>
      <c r="K261" s="11" t="s">
        <v>813</v>
      </c>
      <c r="L261" s="3" t="s">
        <v>814</v>
      </c>
      <c r="M261" s="13">
        <v>43292</v>
      </c>
      <c r="N261" s="90">
        <v>135000</v>
      </c>
      <c r="O261" s="28" t="s">
        <v>20</v>
      </c>
      <c r="P261" s="1" t="s">
        <v>78</v>
      </c>
      <c r="Q261" s="141"/>
      <c r="R261" s="193">
        <v>135000</v>
      </c>
    </row>
    <row r="262" spans="1:18" s="1" customFormat="1" ht="15.75" customHeight="1" x14ac:dyDescent="0.3">
      <c r="A262" s="5" t="s">
        <v>821</v>
      </c>
      <c r="B262" s="9" t="s">
        <v>822</v>
      </c>
      <c r="C262" s="11" t="s">
        <v>4490</v>
      </c>
      <c r="D262" t="s">
        <v>4492</v>
      </c>
      <c r="E262" s="160"/>
      <c r="F262" t="s">
        <v>823</v>
      </c>
      <c r="G262" t="s">
        <v>4557</v>
      </c>
      <c r="H262" s="3" t="s">
        <v>812</v>
      </c>
      <c r="I262"/>
      <c r="J262" s="166">
        <v>85155</v>
      </c>
      <c r="K262" s="3" t="s">
        <v>813</v>
      </c>
      <c r="L262" s="3" t="s">
        <v>814</v>
      </c>
      <c r="M262" s="13">
        <v>43292</v>
      </c>
      <c r="N262" s="90">
        <v>135000</v>
      </c>
      <c r="O262" s="28" t="s">
        <v>20</v>
      </c>
      <c r="Q262" s="141"/>
      <c r="R262" s="193">
        <v>135000</v>
      </c>
    </row>
    <row r="263" spans="1:18" s="1" customFormat="1" ht="15.75" customHeight="1" x14ac:dyDescent="0.3">
      <c r="A263" s="5" t="s">
        <v>824</v>
      </c>
      <c r="B263" s="9" t="s">
        <v>825</v>
      </c>
      <c r="C263" s="11" t="s">
        <v>4490</v>
      </c>
      <c r="D263" t="s">
        <v>4495</v>
      </c>
      <c r="E263" s="160"/>
      <c r="F263" t="s">
        <v>826</v>
      </c>
      <c r="G263" t="s">
        <v>4557</v>
      </c>
      <c r="H263" s="3" t="s">
        <v>812</v>
      </c>
      <c r="I263"/>
      <c r="J263" s="165">
        <v>85160</v>
      </c>
      <c r="K263" s="11" t="s">
        <v>813</v>
      </c>
      <c r="L263" s="3" t="s">
        <v>814</v>
      </c>
      <c r="M263" s="13">
        <v>43298</v>
      </c>
      <c r="N263" s="90">
        <v>135000</v>
      </c>
      <c r="O263" s="28" t="s">
        <v>20</v>
      </c>
      <c r="P263" s="1" t="s">
        <v>78</v>
      </c>
      <c r="Q263" s="141"/>
      <c r="R263" s="193">
        <v>135000</v>
      </c>
    </row>
    <row r="264" spans="1:18" s="1" customFormat="1" ht="15.75" customHeight="1" x14ac:dyDescent="0.3">
      <c r="A264" s="5" t="s">
        <v>827</v>
      </c>
      <c r="B264" s="9" t="s">
        <v>828</v>
      </c>
      <c r="C264" s="11" t="s">
        <v>4490</v>
      </c>
      <c r="D264" t="s">
        <v>4495</v>
      </c>
      <c r="E264" s="160"/>
      <c r="F264" t="s">
        <v>829</v>
      </c>
      <c r="G264" t="s">
        <v>4629</v>
      </c>
      <c r="H264" s="3" t="s">
        <v>478</v>
      </c>
      <c r="I264"/>
      <c r="J264" s="165" t="s">
        <v>39</v>
      </c>
      <c r="K264" s="27"/>
      <c r="L264" s="27"/>
      <c r="M264" s="13">
        <v>43304</v>
      </c>
      <c r="N264" s="90">
        <v>120000</v>
      </c>
      <c r="O264" s="28" t="s">
        <v>20</v>
      </c>
      <c r="P264" s="1" t="s">
        <v>78</v>
      </c>
      <c r="Q264" s="141"/>
      <c r="R264" s="193">
        <v>120000</v>
      </c>
    </row>
    <row r="265" spans="1:18" s="1" customFormat="1" ht="15.75" customHeight="1" x14ac:dyDescent="0.3">
      <c r="A265" s="5" t="s">
        <v>830</v>
      </c>
      <c r="B265" s="9" t="s">
        <v>831</v>
      </c>
      <c r="C265" s="11" t="s">
        <v>4490</v>
      </c>
      <c r="D265" t="s">
        <v>4493</v>
      </c>
      <c r="E265" s="160"/>
      <c r="F265" t="s">
        <v>832</v>
      </c>
      <c r="G265" t="s">
        <v>4629</v>
      </c>
      <c r="H265" s="3" t="s">
        <v>478</v>
      </c>
      <c r="I265"/>
      <c r="J265" s="165">
        <v>2068</v>
      </c>
      <c r="K265" s="3" t="s">
        <v>833</v>
      </c>
      <c r="L265" s="3" t="s">
        <v>834</v>
      </c>
      <c r="M265" s="13">
        <v>43304</v>
      </c>
      <c r="N265" s="90">
        <v>73500</v>
      </c>
      <c r="O265" s="28"/>
      <c r="Q265" s="141"/>
      <c r="R265" s="193">
        <v>73500</v>
      </c>
    </row>
    <row r="266" spans="1:18" s="1" customFormat="1" ht="15.75" customHeight="1" x14ac:dyDescent="0.3">
      <c r="A266" s="5" t="s">
        <v>835</v>
      </c>
      <c r="B266" s="9" t="s">
        <v>836</v>
      </c>
      <c r="C266" s="11" t="s">
        <v>4490</v>
      </c>
      <c r="D266" t="s">
        <v>4493</v>
      </c>
      <c r="E266" s="160"/>
      <c r="F266" s="160" t="s">
        <v>837</v>
      </c>
      <c r="G266" t="s">
        <v>4629</v>
      </c>
      <c r="H266" s="3" t="s">
        <v>478</v>
      </c>
      <c r="I266"/>
      <c r="J266" s="165">
        <v>2068</v>
      </c>
      <c r="K266" s="11" t="s">
        <v>838</v>
      </c>
      <c r="L266" s="11"/>
      <c r="M266" s="13">
        <v>43304</v>
      </c>
      <c r="N266" s="90">
        <v>66500</v>
      </c>
      <c r="O266" s="28"/>
      <c r="Q266" s="141"/>
      <c r="R266" s="193">
        <v>66500</v>
      </c>
    </row>
    <row r="267" spans="1:18" s="1" customFormat="1" ht="15.75" customHeight="1" x14ac:dyDescent="0.3">
      <c r="A267" s="5" t="s">
        <v>839</v>
      </c>
      <c r="B267" s="9" t="s">
        <v>840</v>
      </c>
      <c r="C267" s="11" t="s">
        <v>4489</v>
      </c>
      <c r="D267" t="s">
        <v>4495</v>
      </c>
      <c r="E267" s="132"/>
      <c r="F267" s="15"/>
      <c r="G267" s="15"/>
      <c r="H267" s="3" t="s">
        <v>841</v>
      </c>
      <c r="I267"/>
      <c r="J267" s="165">
        <v>1993</v>
      </c>
      <c r="K267" s="3" t="s">
        <v>842</v>
      </c>
      <c r="L267" s="3" t="s">
        <v>843</v>
      </c>
      <c r="M267" s="13">
        <v>43306</v>
      </c>
      <c r="N267" s="90">
        <v>14500</v>
      </c>
      <c r="O267" s="28"/>
      <c r="Q267" s="141"/>
      <c r="R267" s="193">
        <v>14500</v>
      </c>
    </row>
    <row r="268" spans="1:18" s="1" customFormat="1" ht="15.75" customHeight="1" x14ac:dyDescent="0.3">
      <c r="A268" s="5" t="s">
        <v>844</v>
      </c>
      <c r="B268" s="9" t="s">
        <v>845</v>
      </c>
      <c r="C268" s="11" t="s">
        <v>4518</v>
      </c>
      <c r="D268" t="s">
        <v>4494</v>
      </c>
      <c r="E268" s="132"/>
      <c r="F268" s="15"/>
      <c r="G268" s="15"/>
      <c r="H268" s="3" t="s">
        <v>846</v>
      </c>
      <c r="I268"/>
      <c r="J268" s="165">
        <v>925</v>
      </c>
      <c r="K268" s="11" t="s">
        <v>847</v>
      </c>
      <c r="L268" s="11" t="s">
        <v>848</v>
      </c>
      <c r="M268" s="13">
        <v>43326</v>
      </c>
      <c r="N268" s="90">
        <v>16500</v>
      </c>
      <c r="O268" s="28" t="s">
        <v>20</v>
      </c>
      <c r="P268" s="1" t="s">
        <v>44</v>
      </c>
      <c r="Q268" s="141"/>
      <c r="R268" s="193">
        <v>16500</v>
      </c>
    </row>
    <row r="269" spans="1:18" s="1" customFormat="1" ht="15.75" customHeight="1" x14ac:dyDescent="0.3">
      <c r="A269" s="5" t="s">
        <v>849</v>
      </c>
      <c r="B269" s="9" t="s">
        <v>850</v>
      </c>
      <c r="C269" s="11" t="s">
        <v>4518</v>
      </c>
      <c r="D269" t="s">
        <v>4494</v>
      </c>
      <c r="E269" s="132"/>
      <c r="F269" s="15"/>
      <c r="G269" s="15"/>
      <c r="H269" s="3" t="s">
        <v>851</v>
      </c>
      <c r="I269"/>
      <c r="J269" s="165">
        <v>925</v>
      </c>
      <c r="K269" s="11" t="s">
        <v>852</v>
      </c>
      <c r="L269" s="11" t="s">
        <v>848</v>
      </c>
      <c r="M269" s="13">
        <v>43326</v>
      </c>
      <c r="N269" s="90">
        <v>10300</v>
      </c>
      <c r="O269" s="28" t="s">
        <v>20</v>
      </c>
      <c r="P269" s="1" t="s">
        <v>44</v>
      </c>
      <c r="Q269" s="141"/>
      <c r="R269" s="193">
        <v>10300</v>
      </c>
    </row>
    <row r="270" spans="1:18" s="1" customFormat="1" ht="15.75" customHeight="1" x14ac:dyDescent="0.3">
      <c r="A270" s="5" t="s">
        <v>853</v>
      </c>
      <c r="B270" s="9" t="s">
        <v>854</v>
      </c>
      <c r="C270" s="11" t="s">
        <v>4487</v>
      </c>
      <c r="D270" t="s">
        <v>4495</v>
      </c>
      <c r="E270" t="s">
        <v>855</v>
      </c>
      <c r="F270" t="s">
        <v>856</v>
      </c>
      <c r="G270" t="s">
        <v>4623</v>
      </c>
      <c r="H270" s="3" t="s">
        <v>857</v>
      </c>
      <c r="I270" s="160"/>
      <c r="J270" s="166">
        <v>37168</v>
      </c>
      <c r="K270" s="3" t="s">
        <v>858</v>
      </c>
      <c r="L270" s="3" t="s">
        <v>859</v>
      </c>
      <c r="M270" s="13">
        <v>43334</v>
      </c>
      <c r="N270" s="90">
        <v>155000</v>
      </c>
      <c r="O270" s="28"/>
      <c r="Q270" s="141"/>
      <c r="R270" s="193">
        <v>155000</v>
      </c>
    </row>
    <row r="271" spans="1:18" s="1" customFormat="1" ht="15.75" customHeight="1" x14ac:dyDescent="0.3">
      <c r="A271" s="5" t="s">
        <v>860</v>
      </c>
      <c r="B271" s="9" t="s">
        <v>861</v>
      </c>
      <c r="C271" s="11" t="s">
        <v>4489</v>
      </c>
      <c r="D271" t="s">
        <v>4495</v>
      </c>
      <c r="E271"/>
      <c r="F271"/>
      <c r="G271" t="s">
        <v>4631</v>
      </c>
      <c r="H271" s="3" t="s">
        <v>862</v>
      </c>
      <c r="I271"/>
      <c r="J271" s="165" t="s">
        <v>39</v>
      </c>
      <c r="K271" s="27"/>
      <c r="L271" s="27"/>
      <c r="M271" s="13">
        <v>43358</v>
      </c>
      <c r="N271" s="90">
        <v>2700</v>
      </c>
      <c r="O271" s="28"/>
      <c r="Q271" s="141"/>
      <c r="R271" s="193">
        <v>2700</v>
      </c>
    </row>
    <row r="272" spans="1:18" s="1" customFormat="1" ht="15.75" customHeight="1" x14ac:dyDescent="0.3">
      <c r="A272" s="5" t="s">
        <v>863</v>
      </c>
      <c r="B272" s="9" t="s">
        <v>864</v>
      </c>
      <c r="C272" s="11" t="s">
        <v>4489</v>
      </c>
      <c r="D272" t="s">
        <v>4495</v>
      </c>
      <c r="E272"/>
      <c r="F272"/>
      <c r="G272"/>
      <c r="H272" s="3" t="s">
        <v>865</v>
      </c>
      <c r="I272"/>
      <c r="J272" s="165" t="s">
        <v>39</v>
      </c>
      <c r="K272" s="27"/>
      <c r="L272" s="27"/>
      <c r="M272" s="13">
        <v>43360</v>
      </c>
      <c r="N272" s="90">
        <v>8000</v>
      </c>
      <c r="O272" s="28" t="s">
        <v>20</v>
      </c>
      <c r="Q272" s="141"/>
      <c r="R272" s="193">
        <v>8000</v>
      </c>
    </row>
    <row r="273" spans="1:18" s="1" customFormat="1" ht="15.75" customHeight="1" x14ac:dyDescent="0.3">
      <c r="A273" s="5" t="s">
        <v>866</v>
      </c>
      <c r="B273" s="9" t="s">
        <v>867</v>
      </c>
      <c r="C273" s="11" t="s">
        <v>4520</v>
      </c>
      <c r="D273" t="s">
        <v>4493</v>
      </c>
      <c r="E273" s="132"/>
      <c r="F273" s="10"/>
      <c r="G273" s="10"/>
      <c r="H273" s="3" t="s">
        <v>868</v>
      </c>
      <c r="I273"/>
      <c r="J273" s="165" t="s">
        <v>39</v>
      </c>
      <c r="K273" s="27"/>
      <c r="L273" s="27"/>
      <c r="M273" s="13">
        <v>43362</v>
      </c>
      <c r="N273" s="90">
        <v>1362.93</v>
      </c>
      <c r="O273" s="28"/>
      <c r="Q273" s="141"/>
      <c r="R273" s="193" t="s">
        <v>4745</v>
      </c>
    </row>
    <row r="274" spans="1:18" s="1" customFormat="1" ht="15.75" customHeight="1" x14ac:dyDescent="0.3">
      <c r="A274" s="5" t="s">
        <v>869</v>
      </c>
      <c r="B274" s="9" t="s">
        <v>870</v>
      </c>
      <c r="C274" s="11" t="s">
        <v>4489</v>
      </c>
      <c r="D274" t="s">
        <v>4492</v>
      </c>
      <c r="E274" s="132"/>
      <c r="F274" s="15"/>
      <c r="G274" s="15"/>
      <c r="H274" s="3" t="s">
        <v>871</v>
      </c>
      <c r="I274"/>
      <c r="J274" s="165" t="s">
        <v>39</v>
      </c>
      <c r="K274" s="27"/>
      <c r="L274" s="27"/>
      <c r="M274" s="13">
        <v>43362</v>
      </c>
      <c r="N274" s="90">
        <v>5600</v>
      </c>
      <c r="O274" s="28"/>
      <c r="Q274" s="141"/>
      <c r="R274" s="193">
        <v>5600</v>
      </c>
    </row>
    <row r="275" spans="1:18" s="1" customFormat="1" ht="15.75" customHeight="1" x14ac:dyDescent="0.3">
      <c r="A275" s="5" t="s">
        <v>872</v>
      </c>
      <c r="B275" s="9" t="s">
        <v>873</v>
      </c>
      <c r="C275" s="11" t="s">
        <v>4490</v>
      </c>
      <c r="D275" t="s">
        <v>4493</v>
      </c>
      <c r="E275" s="160"/>
      <c r="F275" t="s">
        <v>874</v>
      </c>
      <c r="G275" t="s">
        <v>4643</v>
      </c>
      <c r="H275" s="3" t="s">
        <v>875</v>
      </c>
      <c r="I275"/>
      <c r="J275" s="165">
        <v>6412</v>
      </c>
      <c r="K275" s="11" t="s">
        <v>176</v>
      </c>
      <c r="L275" s="3" t="s">
        <v>876</v>
      </c>
      <c r="M275" s="13">
        <v>43367</v>
      </c>
      <c r="N275" s="90">
        <v>135000</v>
      </c>
      <c r="O275" s="28" t="s">
        <v>20</v>
      </c>
      <c r="P275" s="1" t="s">
        <v>78</v>
      </c>
      <c r="Q275" s="141"/>
      <c r="R275" s="193">
        <v>135000</v>
      </c>
    </row>
    <row r="276" spans="1:18" s="1" customFormat="1" ht="15.75" customHeight="1" x14ac:dyDescent="0.3">
      <c r="A276" s="5" t="s">
        <v>877</v>
      </c>
      <c r="B276" s="9" t="s">
        <v>878</v>
      </c>
      <c r="C276" s="11" t="s">
        <v>4489</v>
      </c>
      <c r="D276" t="s">
        <v>4494</v>
      </c>
      <c r="E276" s="132"/>
      <c r="F276" s="15"/>
      <c r="G276" s="15"/>
      <c r="H276" s="3" t="s">
        <v>879</v>
      </c>
      <c r="I276"/>
      <c r="J276" s="165">
        <v>5760</v>
      </c>
      <c r="K276" s="11" t="s">
        <v>880</v>
      </c>
      <c r="L276" s="3" t="s">
        <v>881</v>
      </c>
      <c r="M276" s="13">
        <v>43369</v>
      </c>
      <c r="N276" s="90">
        <v>1799</v>
      </c>
      <c r="O276" s="28"/>
      <c r="Q276" s="141"/>
      <c r="R276" s="193">
        <v>1799</v>
      </c>
    </row>
    <row r="277" spans="1:18" s="1" customFormat="1" ht="15.75" customHeight="1" x14ac:dyDescent="0.3">
      <c r="A277" s="5" t="s">
        <v>882</v>
      </c>
      <c r="B277" s="9" t="s">
        <v>883</v>
      </c>
      <c r="C277" s="11" t="s">
        <v>4520</v>
      </c>
      <c r="D277" t="s">
        <v>4495</v>
      </c>
      <c r="E277" s="132"/>
      <c r="F277" s="10"/>
      <c r="G277" s="10"/>
      <c r="H277" s="3" t="s">
        <v>884</v>
      </c>
      <c r="I277"/>
      <c r="J277" s="165" t="s">
        <v>39</v>
      </c>
      <c r="K277" s="27"/>
      <c r="L277" s="161"/>
      <c r="M277" s="13">
        <v>43381</v>
      </c>
      <c r="N277" s="86">
        <v>978</v>
      </c>
      <c r="O277" s="28"/>
      <c r="Q277" s="141"/>
      <c r="R277" s="191">
        <v>978</v>
      </c>
    </row>
    <row r="278" spans="1:18" s="1" customFormat="1" ht="15.75" customHeight="1" x14ac:dyDescent="0.3">
      <c r="A278" s="5" t="s">
        <v>885</v>
      </c>
      <c r="B278" s="9" t="s">
        <v>886</v>
      </c>
      <c r="C278" s="11" t="s">
        <v>4519</v>
      </c>
      <c r="D278" t="s">
        <v>4494</v>
      </c>
      <c r="E278" s="132"/>
      <c r="F278" s="15"/>
      <c r="G278" s="15"/>
      <c r="H278" s="3" t="s">
        <v>887</v>
      </c>
      <c r="I278"/>
      <c r="J278" s="165">
        <v>373285</v>
      </c>
      <c r="K278" s="11" t="s">
        <v>701</v>
      </c>
      <c r="L278" s="3" t="s">
        <v>730</v>
      </c>
      <c r="M278" s="13">
        <v>43392</v>
      </c>
      <c r="N278" s="152">
        <v>1260</v>
      </c>
      <c r="O278" s="28" t="s">
        <v>20</v>
      </c>
      <c r="P278" s="1" t="s">
        <v>44</v>
      </c>
      <c r="Q278" s="141"/>
      <c r="R278" s="191">
        <v>1260</v>
      </c>
    </row>
    <row r="279" spans="1:18" s="1" customFormat="1" ht="15.75" customHeight="1" x14ac:dyDescent="0.3">
      <c r="A279" s="5" t="s">
        <v>888</v>
      </c>
      <c r="B279" s="9" t="s">
        <v>889</v>
      </c>
      <c r="C279" s="11" t="s">
        <v>4489</v>
      </c>
      <c r="D279" t="s">
        <v>4494</v>
      </c>
      <c r="E279"/>
      <c r="F279"/>
      <c r="G279" t="s">
        <v>4617</v>
      </c>
      <c r="H279" s="3" t="s">
        <v>890</v>
      </c>
      <c r="I279"/>
      <c r="J279" s="165">
        <v>468260</v>
      </c>
      <c r="K279" s="11" t="s">
        <v>891</v>
      </c>
      <c r="L279" s="3" t="s">
        <v>892</v>
      </c>
      <c r="M279" s="13">
        <v>43395</v>
      </c>
      <c r="N279" s="86">
        <v>3667.4</v>
      </c>
      <c r="O279" s="28" t="s">
        <v>20</v>
      </c>
      <c r="P279" s="1" t="s">
        <v>44</v>
      </c>
      <c r="Q279" s="141"/>
      <c r="R279" s="191" t="s">
        <v>4750</v>
      </c>
    </row>
    <row r="280" spans="1:18" s="1" customFormat="1" ht="15.75" customHeight="1" x14ac:dyDescent="0.3">
      <c r="A280" s="5" t="s">
        <v>893</v>
      </c>
      <c r="B280" s="9" t="s">
        <v>894</v>
      </c>
      <c r="C280" s="11" t="s">
        <v>4518</v>
      </c>
      <c r="D280" t="s">
        <v>4494</v>
      </c>
      <c r="E280" s="132"/>
      <c r="F280" s="15"/>
      <c r="G280" s="15"/>
      <c r="H280" s="3" t="s">
        <v>895</v>
      </c>
      <c r="I280"/>
      <c r="J280" s="165">
        <v>1046</v>
      </c>
      <c r="K280" s="11" t="s">
        <v>896</v>
      </c>
      <c r="L280" s="3" t="s">
        <v>897</v>
      </c>
      <c r="M280" s="13">
        <v>43399</v>
      </c>
      <c r="N280" s="86">
        <v>6500</v>
      </c>
      <c r="O280" s="28" t="s">
        <v>20</v>
      </c>
      <c r="P280" s="1" t="s">
        <v>44</v>
      </c>
      <c r="Q280" s="141"/>
      <c r="R280" s="191">
        <v>6500</v>
      </c>
    </row>
    <row r="281" spans="1:18" s="1" customFormat="1" ht="15.75" customHeight="1" x14ac:dyDescent="0.3">
      <c r="A281" s="5" t="s">
        <v>898</v>
      </c>
      <c r="B281" s="9" t="s">
        <v>899</v>
      </c>
      <c r="C281" s="11" t="s">
        <v>4520</v>
      </c>
      <c r="D281" t="s">
        <v>4496</v>
      </c>
      <c r="E281" s="132"/>
      <c r="F281" s="10"/>
      <c r="G281" s="10"/>
      <c r="H281" s="3" t="s">
        <v>900</v>
      </c>
      <c r="I281"/>
      <c r="J281" s="165" t="s">
        <v>39</v>
      </c>
      <c r="K281" s="27"/>
      <c r="L281" s="27"/>
      <c r="M281" s="13">
        <v>43404</v>
      </c>
      <c r="N281" s="86">
        <v>1335</v>
      </c>
      <c r="O281" s="28" t="s">
        <v>20</v>
      </c>
      <c r="P281" s="1" t="s">
        <v>78</v>
      </c>
      <c r="Q281" s="141"/>
      <c r="R281" s="191">
        <v>1335</v>
      </c>
    </row>
    <row r="282" spans="1:18" s="1" customFormat="1" ht="15.75" customHeight="1" x14ac:dyDescent="0.3">
      <c r="A282" s="5" t="s">
        <v>901</v>
      </c>
      <c r="B282" s="9" t="s">
        <v>902</v>
      </c>
      <c r="C282" s="11" t="s">
        <v>4489</v>
      </c>
      <c r="D282" t="s">
        <v>4494</v>
      </c>
      <c r="E282" s="3"/>
      <c r="F282" s="15"/>
      <c r="G282" s="15"/>
      <c r="H282" s="3" t="s">
        <v>903</v>
      </c>
      <c r="I282"/>
      <c r="J282" s="165">
        <v>4526</v>
      </c>
      <c r="K282" s="11" t="s">
        <v>904</v>
      </c>
      <c r="L282" s="3" t="s">
        <v>905</v>
      </c>
      <c r="M282" s="13">
        <v>43409</v>
      </c>
      <c r="N282" s="86">
        <v>6220</v>
      </c>
      <c r="O282" s="28"/>
      <c r="Q282" s="141"/>
      <c r="R282" s="191">
        <v>6220</v>
      </c>
    </row>
    <row r="283" spans="1:18" s="1" customFormat="1" ht="15.75" customHeight="1" x14ac:dyDescent="0.3">
      <c r="A283" s="5" t="s">
        <v>906</v>
      </c>
      <c r="B283" s="9" t="s">
        <v>907</v>
      </c>
      <c r="C283" s="11" t="s">
        <v>4490</v>
      </c>
      <c r="D283" t="s">
        <v>4493</v>
      </c>
      <c r="E283"/>
      <c r="F283" t="s">
        <v>4684</v>
      </c>
      <c r="G283" t="s">
        <v>4629</v>
      </c>
      <c r="H283" s="3" t="s">
        <v>908</v>
      </c>
      <c r="I283"/>
      <c r="J283" s="165">
        <v>28487</v>
      </c>
      <c r="K283" s="11" t="s">
        <v>909</v>
      </c>
      <c r="L283" s="3" t="s">
        <v>654</v>
      </c>
      <c r="M283" s="13">
        <v>43418</v>
      </c>
      <c r="N283" s="86">
        <v>10476</v>
      </c>
      <c r="O283" s="28" t="s">
        <v>20</v>
      </c>
      <c r="P283" s="1" t="s">
        <v>78</v>
      </c>
      <c r="Q283" s="141"/>
      <c r="R283" s="191">
        <v>10476</v>
      </c>
    </row>
    <row r="284" spans="1:18" s="1" customFormat="1" ht="15.75" customHeight="1" x14ac:dyDescent="0.3">
      <c r="A284" s="5" t="s">
        <v>910</v>
      </c>
      <c r="B284" s="9" t="s">
        <v>911</v>
      </c>
      <c r="C284" s="11" t="s">
        <v>4489</v>
      </c>
      <c r="D284" t="s">
        <v>4495</v>
      </c>
      <c r="E284" s="3"/>
      <c r="F284" s="15"/>
      <c r="G284" s="15"/>
      <c r="H284" s="3" t="s">
        <v>912</v>
      </c>
      <c r="I284"/>
      <c r="J284" s="165">
        <v>98233</v>
      </c>
      <c r="K284" s="11" t="s">
        <v>176</v>
      </c>
      <c r="L284" s="11"/>
      <c r="M284" s="13">
        <v>43424</v>
      </c>
      <c r="N284" s="86">
        <v>43500</v>
      </c>
      <c r="O284" s="28" t="s">
        <v>20</v>
      </c>
      <c r="Q284" s="141"/>
      <c r="R284" s="191">
        <v>43500</v>
      </c>
    </row>
    <row r="285" spans="1:18" s="1" customFormat="1" ht="15.75" customHeight="1" x14ac:dyDescent="0.3">
      <c r="A285" s="5" t="s">
        <v>913</v>
      </c>
      <c r="B285" s="9" t="s">
        <v>914</v>
      </c>
      <c r="C285" s="11" t="s">
        <v>4489</v>
      </c>
      <c r="D285" t="s">
        <v>4495</v>
      </c>
      <c r="E285" s="3"/>
      <c r="F285" s="15"/>
      <c r="G285" s="15"/>
      <c r="H285" s="3" t="s">
        <v>915</v>
      </c>
      <c r="I285"/>
      <c r="J285" s="165" t="s">
        <v>39</v>
      </c>
      <c r="K285" s="27"/>
      <c r="L285" s="27"/>
      <c r="M285" s="13">
        <v>43424</v>
      </c>
      <c r="N285" s="86">
        <v>5000</v>
      </c>
      <c r="O285" s="28" t="s">
        <v>20</v>
      </c>
      <c r="P285" s="1" t="s">
        <v>91</v>
      </c>
      <c r="Q285" s="141"/>
      <c r="R285" s="191">
        <v>5000</v>
      </c>
    </row>
    <row r="286" spans="1:18" s="1" customFormat="1" ht="15.75" customHeight="1" x14ac:dyDescent="0.3">
      <c r="A286" s="5" t="s">
        <v>916</v>
      </c>
      <c r="B286" s="9" t="s">
        <v>917</v>
      </c>
      <c r="C286" s="11" t="s">
        <v>4489</v>
      </c>
      <c r="D286" t="s">
        <v>4494</v>
      </c>
      <c r="E286" s="3"/>
      <c r="F286" s="15"/>
      <c r="G286" s="15"/>
      <c r="H286" s="3" t="s">
        <v>871</v>
      </c>
      <c r="I286"/>
      <c r="J286" s="165">
        <v>9881</v>
      </c>
      <c r="K286" s="11" t="s">
        <v>918</v>
      </c>
      <c r="L286" s="11"/>
      <c r="M286" s="13">
        <v>43426</v>
      </c>
      <c r="N286" s="86">
        <v>5600</v>
      </c>
      <c r="O286" s="28"/>
      <c r="Q286" s="141"/>
      <c r="R286" s="191">
        <v>5600</v>
      </c>
    </row>
    <row r="287" spans="1:18" s="1" customFormat="1" ht="15.75" customHeight="1" x14ac:dyDescent="0.3">
      <c r="A287" s="5" t="s">
        <v>919</v>
      </c>
      <c r="B287" s="9" t="s">
        <v>920</v>
      </c>
      <c r="C287" s="11" t="s">
        <v>4518</v>
      </c>
      <c r="D287" t="s">
        <v>4494</v>
      </c>
      <c r="E287" s="3"/>
      <c r="F287" s="15"/>
      <c r="G287" s="15"/>
      <c r="H287" s="3" t="s">
        <v>921</v>
      </c>
      <c r="I287"/>
      <c r="J287" s="165">
        <v>2271</v>
      </c>
      <c r="K287" s="11" t="s">
        <v>922</v>
      </c>
      <c r="L287" s="3" t="s">
        <v>923</v>
      </c>
      <c r="M287" s="13">
        <v>43427</v>
      </c>
      <c r="N287" s="86">
        <v>12000</v>
      </c>
      <c r="O287" s="28" t="s">
        <v>20</v>
      </c>
      <c r="P287" s="1" t="s">
        <v>44</v>
      </c>
      <c r="Q287" s="141"/>
      <c r="R287" s="191">
        <v>12000</v>
      </c>
    </row>
    <row r="288" spans="1:18" s="1" customFormat="1" ht="15.75" customHeight="1" x14ac:dyDescent="0.3">
      <c r="A288" s="5" t="s">
        <v>924</v>
      </c>
      <c r="B288" s="9" t="s">
        <v>925</v>
      </c>
      <c r="C288" s="11" t="s">
        <v>4519</v>
      </c>
      <c r="D288" t="s">
        <v>4496</v>
      </c>
      <c r="E288" s="3"/>
      <c r="F288" s="10"/>
      <c r="G288" s="10"/>
      <c r="H288" s="3" t="s">
        <v>926</v>
      </c>
      <c r="I288"/>
      <c r="J288" s="165" t="s">
        <v>39</v>
      </c>
      <c r="K288" s="27"/>
      <c r="L288" s="27"/>
      <c r="M288" s="13">
        <v>43437</v>
      </c>
      <c r="N288" s="86">
        <v>1500</v>
      </c>
      <c r="O288" s="28" t="s">
        <v>20</v>
      </c>
      <c r="P288" s="1" t="s">
        <v>106</v>
      </c>
      <c r="Q288" s="141"/>
      <c r="R288" s="191">
        <v>1500</v>
      </c>
    </row>
    <row r="289" spans="1:18" s="1" customFormat="1" ht="15.75" customHeight="1" x14ac:dyDescent="0.3">
      <c r="A289" s="5" t="s">
        <v>927</v>
      </c>
      <c r="B289" s="9" t="s">
        <v>928</v>
      </c>
      <c r="C289" s="11" t="s">
        <v>4487</v>
      </c>
      <c r="D289" t="s">
        <v>4493</v>
      </c>
      <c r="E289"/>
      <c r="F289" t="s">
        <v>929</v>
      </c>
      <c r="G289" t="s">
        <v>4629</v>
      </c>
      <c r="H289" s="3" t="s">
        <v>663</v>
      </c>
      <c r="I289"/>
      <c r="J289" s="166">
        <v>77539</v>
      </c>
      <c r="K289" s="11" t="s">
        <v>930</v>
      </c>
      <c r="L289" s="11"/>
      <c r="M289" s="13">
        <v>43439</v>
      </c>
      <c r="N289" s="86">
        <v>12867.2</v>
      </c>
      <c r="O289" s="28" t="s">
        <v>20</v>
      </c>
      <c r="P289" s="1" t="s">
        <v>78</v>
      </c>
      <c r="Q289" s="141"/>
      <c r="R289" s="191" t="s">
        <v>4751</v>
      </c>
    </row>
    <row r="290" spans="1:18" s="1" customFormat="1" ht="15.75" customHeight="1" x14ac:dyDescent="0.3">
      <c r="A290" s="155" t="s">
        <v>931</v>
      </c>
      <c r="B290" s="53" t="s">
        <v>931</v>
      </c>
      <c r="C290" s="55" t="s">
        <v>4520</v>
      </c>
      <c r="D290" t="s">
        <v>4492</v>
      </c>
      <c r="E290" s="55"/>
      <c r="F290" s="53"/>
      <c r="G290" s="53"/>
      <c r="H290" s="55" t="s">
        <v>932</v>
      </c>
      <c r="I290"/>
      <c r="J290" s="169">
        <v>365</v>
      </c>
      <c r="K290" s="55" t="s">
        <v>933</v>
      </c>
      <c r="L290" s="55" t="s">
        <v>934</v>
      </c>
      <c r="M290" s="61">
        <v>45999</v>
      </c>
      <c r="N290" s="95">
        <v>4500</v>
      </c>
      <c r="O290" s="124"/>
      <c r="P290" s="58"/>
      <c r="Q290" s="141"/>
      <c r="R290" s="197">
        <v>4500</v>
      </c>
    </row>
    <row r="291" spans="1:18" s="23" customFormat="1" ht="15.75" customHeight="1" x14ac:dyDescent="0.3">
      <c r="A291" s="5" t="s">
        <v>935</v>
      </c>
      <c r="B291" s="10" t="s">
        <v>935</v>
      </c>
      <c r="C291" s="11" t="s">
        <v>4520</v>
      </c>
      <c r="D291" t="s">
        <v>4497</v>
      </c>
      <c r="E291" s="11"/>
      <c r="F291" s="15"/>
      <c r="G291" s="15"/>
      <c r="H291" s="11" t="s">
        <v>936</v>
      </c>
      <c r="I291" t="s">
        <v>4534</v>
      </c>
      <c r="J291" s="170">
        <v>2336</v>
      </c>
      <c r="K291" s="11" t="s">
        <v>104</v>
      </c>
      <c r="L291" s="11" t="s">
        <v>105</v>
      </c>
      <c r="M291" s="13">
        <v>45777</v>
      </c>
      <c r="N291" s="90">
        <v>3050</v>
      </c>
      <c r="O291" s="67"/>
      <c r="P291" s="46" t="s">
        <v>937</v>
      </c>
      <c r="Q291" s="141"/>
      <c r="R291" s="193">
        <v>3050</v>
      </c>
    </row>
    <row r="292" spans="1:18" s="1" customFormat="1" ht="15.75" customHeight="1" x14ac:dyDescent="0.3">
      <c r="A292" s="5" t="s">
        <v>938</v>
      </c>
      <c r="B292" s="9" t="s">
        <v>939</v>
      </c>
      <c r="C292" s="11" t="s">
        <v>4520</v>
      </c>
      <c r="D292" t="s">
        <v>4495</v>
      </c>
      <c r="E292" s="3"/>
      <c r="F292" s="10"/>
      <c r="G292" s="10"/>
      <c r="H292" s="3" t="s">
        <v>940</v>
      </c>
      <c r="I292"/>
      <c r="J292" s="165" t="s">
        <v>39</v>
      </c>
      <c r="K292" s="27"/>
      <c r="L292" s="27"/>
      <c r="M292" s="13">
        <v>43452</v>
      </c>
      <c r="N292" s="86">
        <v>2449</v>
      </c>
      <c r="O292" s="28" t="s">
        <v>20</v>
      </c>
      <c r="P292" s="1" t="s">
        <v>91</v>
      </c>
      <c r="Q292" s="141"/>
      <c r="R292" s="191">
        <v>2449</v>
      </c>
    </row>
    <row r="293" spans="1:18" s="1" customFormat="1" ht="15.75" customHeight="1" x14ac:dyDescent="0.3">
      <c r="A293" s="5" t="s">
        <v>941</v>
      </c>
      <c r="B293" s="9" t="s">
        <v>942</v>
      </c>
      <c r="C293" s="11" t="s">
        <v>4490</v>
      </c>
      <c r="D293" t="s">
        <v>4495</v>
      </c>
      <c r="E293" s="160"/>
      <c r="F293" t="s">
        <v>943</v>
      </c>
      <c r="G293" t="s">
        <v>4629</v>
      </c>
      <c r="H293" s="3" t="s">
        <v>601</v>
      </c>
      <c r="I293"/>
      <c r="J293" s="165">
        <v>2210</v>
      </c>
      <c r="K293" s="11" t="s">
        <v>944</v>
      </c>
      <c r="L293" s="3" t="s">
        <v>834</v>
      </c>
      <c r="M293" s="13">
        <v>43452</v>
      </c>
      <c r="N293" s="86">
        <v>85500</v>
      </c>
      <c r="O293" s="28" t="s">
        <v>20</v>
      </c>
      <c r="P293" s="1" t="s">
        <v>78</v>
      </c>
      <c r="Q293" s="141"/>
      <c r="R293" s="191">
        <v>85500</v>
      </c>
    </row>
    <row r="294" spans="1:18" s="1" customFormat="1" ht="15.75" customHeight="1" x14ac:dyDescent="0.3">
      <c r="A294" s="5" t="s">
        <v>945</v>
      </c>
      <c r="B294" s="9" t="s">
        <v>946</v>
      </c>
      <c r="C294" s="11" t="s">
        <v>4490</v>
      </c>
      <c r="D294" t="s">
        <v>4493</v>
      </c>
      <c r="E294" s="160"/>
      <c r="F294" t="s">
        <v>947</v>
      </c>
      <c r="G294" t="s">
        <v>4629</v>
      </c>
      <c r="H294" s="3" t="s">
        <v>601</v>
      </c>
      <c r="I294"/>
      <c r="J294" s="165">
        <v>2211</v>
      </c>
      <c r="K294" s="11" t="s">
        <v>944</v>
      </c>
      <c r="L294" s="3" t="s">
        <v>834</v>
      </c>
      <c r="M294" s="13">
        <v>43452</v>
      </c>
      <c r="N294" s="86">
        <v>85500</v>
      </c>
      <c r="O294" s="28" t="s">
        <v>20</v>
      </c>
      <c r="P294" s="1" t="s">
        <v>78</v>
      </c>
      <c r="Q294" s="141"/>
      <c r="R294" s="191">
        <v>85500</v>
      </c>
    </row>
    <row r="295" spans="1:18" s="1" customFormat="1" ht="15.75" customHeight="1" x14ac:dyDescent="0.3">
      <c r="A295" s="5" t="s">
        <v>948</v>
      </c>
      <c r="B295" s="9" t="s">
        <v>949</v>
      </c>
      <c r="C295" s="11" t="s">
        <v>4489</v>
      </c>
      <c r="D295" t="s">
        <v>4493</v>
      </c>
      <c r="E295" s="3"/>
      <c r="F295" s="15"/>
      <c r="G295" s="15"/>
      <c r="H295" s="3" t="s">
        <v>950</v>
      </c>
      <c r="I295"/>
      <c r="J295" s="165">
        <v>1972</v>
      </c>
      <c r="K295" s="11" t="s">
        <v>951</v>
      </c>
      <c r="L295" s="3" t="s">
        <v>952</v>
      </c>
      <c r="M295" s="13">
        <v>43453</v>
      </c>
      <c r="N295" s="86">
        <v>15500</v>
      </c>
      <c r="O295" s="28"/>
      <c r="Q295" s="141"/>
      <c r="R295" s="191">
        <v>15500</v>
      </c>
    </row>
    <row r="296" spans="1:18" s="1" customFormat="1" ht="15.75" customHeight="1" x14ac:dyDescent="0.3">
      <c r="A296" s="5" t="s">
        <v>953</v>
      </c>
      <c r="B296" s="9" t="s">
        <v>954</v>
      </c>
      <c r="C296" s="11" t="s">
        <v>4490</v>
      </c>
      <c r="D296" t="s">
        <v>4494</v>
      </c>
      <c r="E296"/>
      <c r="F296"/>
      <c r="G296" t="s">
        <v>4617</v>
      </c>
      <c r="H296" s="3" t="s">
        <v>955</v>
      </c>
      <c r="I296"/>
      <c r="J296" s="165">
        <v>11124</v>
      </c>
      <c r="K296" s="11" t="s">
        <v>956</v>
      </c>
      <c r="L296" s="3" t="s">
        <v>957</v>
      </c>
      <c r="M296" s="13">
        <v>43453</v>
      </c>
      <c r="N296" s="86">
        <v>7500</v>
      </c>
      <c r="O296" s="28" t="s">
        <v>20</v>
      </c>
      <c r="P296" s="1" t="s">
        <v>44</v>
      </c>
      <c r="Q296" s="141"/>
      <c r="R296" s="191">
        <v>7500</v>
      </c>
    </row>
    <row r="297" spans="1:18" s="1" customFormat="1" ht="15.75" customHeight="1" x14ac:dyDescent="0.3">
      <c r="A297" s="5" t="s">
        <v>958</v>
      </c>
      <c r="B297" s="9" t="s">
        <v>959</v>
      </c>
      <c r="C297" s="11" t="s">
        <v>4520</v>
      </c>
      <c r="D297" t="s">
        <v>4496</v>
      </c>
      <c r="E297" s="3"/>
      <c r="F297" s="10"/>
      <c r="G297" s="10"/>
      <c r="H297" s="3" t="s">
        <v>960</v>
      </c>
      <c r="I297"/>
      <c r="J297" s="165" t="s">
        <v>39</v>
      </c>
      <c r="K297" s="27"/>
      <c r="L297" s="27"/>
      <c r="M297" s="13">
        <v>43454</v>
      </c>
      <c r="N297" s="86">
        <v>1335</v>
      </c>
      <c r="O297" s="28"/>
      <c r="Q297" s="141"/>
      <c r="R297" s="191">
        <v>1335</v>
      </c>
    </row>
    <row r="298" spans="1:18" s="1" customFormat="1" ht="15.75" customHeight="1" x14ac:dyDescent="0.3">
      <c r="A298" s="5" t="s">
        <v>961</v>
      </c>
      <c r="B298" s="9" t="s">
        <v>962</v>
      </c>
      <c r="C298" s="3" t="s">
        <v>4520</v>
      </c>
      <c r="D298" t="s">
        <v>4495</v>
      </c>
      <c r="E298" s="3"/>
      <c r="F298" s="10"/>
      <c r="G298" s="10"/>
      <c r="H298" s="3" t="s">
        <v>963</v>
      </c>
      <c r="I298" s="160"/>
      <c r="J298" s="165" t="s">
        <v>39</v>
      </c>
      <c r="K298" s="27"/>
      <c r="L298" s="27"/>
      <c r="M298" s="13">
        <v>43468</v>
      </c>
      <c r="N298" s="86">
        <v>9000</v>
      </c>
      <c r="O298" s="28"/>
      <c r="Q298" s="141"/>
      <c r="R298" s="191">
        <v>9000</v>
      </c>
    </row>
    <row r="299" spans="1:18" s="1" customFormat="1" ht="15.75" customHeight="1" x14ac:dyDescent="0.3">
      <c r="A299" s="5" t="s">
        <v>964</v>
      </c>
      <c r="B299" s="9" t="s">
        <v>965</v>
      </c>
      <c r="C299" s="3" t="s">
        <v>4520</v>
      </c>
      <c r="D299" t="s">
        <v>4495</v>
      </c>
      <c r="E299" s="3"/>
      <c r="F299" s="10"/>
      <c r="G299" s="10"/>
      <c r="H299" s="3" t="s">
        <v>966</v>
      </c>
      <c r="I299" s="160"/>
      <c r="J299" s="165" t="s">
        <v>39</v>
      </c>
      <c r="K299" s="27"/>
      <c r="L299" s="27"/>
      <c r="M299" s="13">
        <v>43468</v>
      </c>
      <c r="N299" s="86">
        <v>7400</v>
      </c>
      <c r="O299" s="28"/>
      <c r="Q299" s="141"/>
      <c r="R299" s="191">
        <v>7400</v>
      </c>
    </row>
    <row r="300" spans="1:18" s="1" customFormat="1" ht="15.75" customHeight="1" x14ac:dyDescent="0.3">
      <c r="A300" s="5" t="s">
        <v>967</v>
      </c>
      <c r="B300" s="9" t="s">
        <v>968</v>
      </c>
      <c r="C300" s="11" t="s">
        <v>4520</v>
      </c>
      <c r="D300" t="s">
        <v>4494</v>
      </c>
      <c r="E300" s="3"/>
      <c r="F300" s="10"/>
      <c r="G300" s="10"/>
      <c r="H300" s="3" t="s">
        <v>969</v>
      </c>
      <c r="I300" s="160"/>
      <c r="J300" s="166">
        <v>14027</v>
      </c>
      <c r="K300" s="11" t="s">
        <v>970</v>
      </c>
      <c r="L300" s="3" t="s">
        <v>971</v>
      </c>
      <c r="M300" s="13">
        <v>43473</v>
      </c>
      <c r="N300" s="86">
        <v>1960</v>
      </c>
      <c r="O300" s="28"/>
      <c r="Q300" s="141"/>
      <c r="R300" s="191">
        <v>1960</v>
      </c>
    </row>
    <row r="301" spans="1:18" s="1" customFormat="1" ht="15.75" customHeight="1" x14ac:dyDescent="0.3">
      <c r="A301" s="5" t="s">
        <v>972</v>
      </c>
      <c r="B301" s="9" t="s">
        <v>973</v>
      </c>
      <c r="C301" s="11" t="s">
        <v>4520</v>
      </c>
      <c r="D301" t="s">
        <v>4496</v>
      </c>
      <c r="E301" s="3"/>
      <c r="F301" s="10"/>
      <c r="G301" s="10"/>
      <c r="H301" s="3" t="s">
        <v>974</v>
      </c>
      <c r="I301" s="160"/>
      <c r="J301" s="165" t="s">
        <v>39</v>
      </c>
      <c r="K301" s="27"/>
      <c r="L301" s="27"/>
      <c r="M301" s="13">
        <v>43474</v>
      </c>
      <c r="N301" s="86">
        <v>3000</v>
      </c>
      <c r="O301" s="28"/>
      <c r="Q301" s="141"/>
      <c r="R301" s="191">
        <v>3000</v>
      </c>
    </row>
    <row r="302" spans="1:18" s="1" customFormat="1" ht="15.75" customHeight="1" x14ac:dyDescent="0.3">
      <c r="A302" s="5" t="s">
        <v>975</v>
      </c>
      <c r="B302" s="9" t="s">
        <v>976</v>
      </c>
      <c r="C302" s="3" t="s">
        <v>4520</v>
      </c>
      <c r="D302" t="s">
        <v>4495</v>
      </c>
      <c r="E302" s="3"/>
      <c r="F302" s="10"/>
      <c r="G302" s="10"/>
      <c r="H302" s="3" t="s">
        <v>977</v>
      </c>
      <c r="I302" s="160"/>
      <c r="J302" s="166">
        <v>1018</v>
      </c>
      <c r="K302" s="11" t="s">
        <v>852</v>
      </c>
      <c r="L302" s="11" t="s">
        <v>848</v>
      </c>
      <c r="M302" s="13">
        <v>43475</v>
      </c>
      <c r="N302" s="86">
        <v>5336.29</v>
      </c>
      <c r="O302" s="28"/>
      <c r="Q302" s="141"/>
      <c r="R302" s="191" t="s">
        <v>4752</v>
      </c>
    </row>
    <row r="303" spans="1:18" s="1" customFormat="1" ht="15.75" customHeight="1" x14ac:dyDescent="0.3">
      <c r="A303" s="5" t="s">
        <v>978</v>
      </c>
      <c r="B303" s="9" t="s">
        <v>979</v>
      </c>
      <c r="C303" s="3" t="s">
        <v>4520</v>
      </c>
      <c r="D303" t="s">
        <v>4495</v>
      </c>
      <c r="E303" s="3"/>
      <c r="F303" s="10"/>
      <c r="G303" s="10"/>
      <c r="H303" s="3" t="s">
        <v>980</v>
      </c>
      <c r="I303" s="160"/>
      <c r="J303" s="166">
        <v>1018</v>
      </c>
      <c r="K303" s="11" t="s">
        <v>852</v>
      </c>
      <c r="L303" s="11" t="s">
        <v>848</v>
      </c>
      <c r="M303" s="13">
        <v>43475</v>
      </c>
      <c r="N303" s="86">
        <v>9663.7099999999991</v>
      </c>
      <c r="O303" s="28"/>
      <c r="Q303" s="141"/>
      <c r="R303" s="191" t="s">
        <v>4753</v>
      </c>
    </row>
    <row r="304" spans="1:18" s="1" customFormat="1" ht="15.75" customHeight="1" x14ac:dyDescent="0.3">
      <c r="A304" s="5" t="s">
        <v>981</v>
      </c>
      <c r="B304" s="9" t="s">
        <v>982</v>
      </c>
      <c r="C304" s="11" t="s">
        <v>4489</v>
      </c>
      <c r="D304" t="s">
        <v>4495</v>
      </c>
      <c r="E304" s="3"/>
      <c r="F304" s="15"/>
      <c r="G304" s="15"/>
      <c r="H304" s="3" t="s">
        <v>983</v>
      </c>
      <c r="I304" s="160"/>
      <c r="J304" s="165">
        <v>477547</v>
      </c>
      <c r="K304" s="11" t="s">
        <v>984</v>
      </c>
      <c r="L304" s="3" t="s">
        <v>892</v>
      </c>
      <c r="M304" s="13">
        <v>43487</v>
      </c>
      <c r="N304" s="86">
        <v>4788.34</v>
      </c>
      <c r="O304" s="28" t="s">
        <v>20</v>
      </c>
      <c r="P304" s="1" t="s">
        <v>66</v>
      </c>
      <c r="Q304" s="141"/>
      <c r="R304" s="191" t="s">
        <v>4754</v>
      </c>
    </row>
    <row r="305" spans="1:18" s="1" customFormat="1" ht="15.75" customHeight="1" x14ac:dyDescent="0.3">
      <c r="A305" s="5" t="s">
        <v>985</v>
      </c>
      <c r="B305" s="9" t="s">
        <v>986</v>
      </c>
      <c r="C305" s="11" t="s">
        <v>4489</v>
      </c>
      <c r="D305" t="s">
        <v>4494</v>
      </c>
      <c r="E305" s="3"/>
      <c r="F305" s="15"/>
      <c r="G305" s="15"/>
      <c r="H305" s="3" t="s">
        <v>987</v>
      </c>
      <c r="I305" s="160" t="s">
        <v>4535</v>
      </c>
      <c r="J305" s="165">
        <v>64</v>
      </c>
      <c r="K305" s="11" t="s">
        <v>988</v>
      </c>
      <c r="L305" s="3" t="s">
        <v>989</v>
      </c>
      <c r="M305" s="13">
        <v>43497</v>
      </c>
      <c r="N305" s="86">
        <v>47500.32</v>
      </c>
      <c r="O305" s="28"/>
      <c r="Q305" s="141"/>
      <c r="R305" s="191" t="s">
        <v>4755</v>
      </c>
    </row>
    <row r="306" spans="1:18" s="1" customFormat="1" ht="15.75" customHeight="1" x14ac:dyDescent="0.3">
      <c r="A306" s="5" t="s">
        <v>990</v>
      </c>
      <c r="B306" s="9" t="s">
        <v>991</v>
      </c>
      <c r="C306" s="11" t="s">
        <v>4520</v>
      </c>
      <c r="D306" t="s">
        <v>4494</v>
      </c>
      <c r="E306" s="3"/>
      <c r="F306" s="10"/>
      <c r="G306" s="10"/>
      <c r="H306" s="3" t="s">
        <v>992</v>
      </c>
      <c r="I306" s="160"/>
      <c r="J306" s="165" t="s">
        <v>39</v>
      </c>
      <c r="K306" s="27"/>
      <c r="L306" s="27"/>
      <c r="M306" s="13">
        <v>43501</v>
      </c>
      <c r="N306" s="86">
        <v>930</v>
      </c>
      <c r="O306" s="28" t="s">
        <v>20</v>
      </c>
      <c r="P306" s="1" t="s">
        <v>44</v>
      </c>
      <c r="Q306" s="141"/>
      <c r="R306" s="191">
        <v>930</v>
      </c>
    </row>
    <row r="307" spans="1:18" s="1" customFormat="1" ht="15.75" customHeight="1" x14ac:dyDescent="0.3">
      <c r="A307" s="5" t="s">
        <v>993</v>
      </c>
      <c r="B307" s="9" t="s">
        <v>994</v>
      </c>
      <c r="C307" s="11" t="s">
        <v>4520</v>
      </c>
      <c r="D307" t="s">
        <v>4496</v>
      </c>
      <c r="E307" s="3"/>
      <c r="F307" s="10"/>
      <c r="G307" s="10"/>
      <c r="H307" s="3" t="s">
        <v>536</v>
      </c>
      <c r="I307" s="160"/>
      <c r="J307" s="165" t="s">
        <v>39</v>
      </c>
      <c r="K307" s="27"/>
      <c r="L307" s="27"/>
      <c r="M307" s="13">
        <v>43503</v>
      </c>
      <c r="N307" s="86">
        <v>1115</v>
      </c>
      <c r="O307" s="28"/>
      <c r="Q307" s="141"/>
      <c r="R307" s="191">
        <v>1115</v>
      </c>
    </row>
    <row r="308" spans="1:18" s="1" customFormat="1" ht="15.75" customHeight="1" x14ac:dyDescent="0.3">
      <c r="A308" s="5" t="s">
        <v>995</v>
      </c>
      <c r="B308" s="9" t="s">
        <v>996</v>
      </c>
      <c r="C308" s="11" t="s">
        <v>4489</v>
      </c>
      <c r="D308" t="s">
        <v>4494</v>
      </c>
      <c r="E308"/>
      <c r="F308"/>
      <c r="G308" t="s">
        <v>4675</v>
      </c>
      <c r="H308" s="3" t="s">
        <v>997</v>
      </c>
      <c r="I308"/>
      <c r="J308" s="165">
        <v>41497</v>
      </c>
      <c r="K308" s="3" t="s">
        <v>998</v>
      </c>
      <c r="L308" s="3" t="s">
        <v>999</v>
      </c>
      <c r="M308" s="13">
        <v>43510</v>
      </c>
      <c r="N308" s="86">
        <v>4150</v>
      </c>
      <c r="O308" s="28"/>
      <c r="Q308" s="141"/>
      <c r="R308" s="191">
        <v>4150</v>
      </c>
    </row>
    <row r="309" spans="1:18" s="1" customFormat="1" ht="15.75" customHeight="1" x14ac:dyDescent="0.3">
      <c r="A309" s="5" t="s">
        <v>1000</v>
      </c>
      <c r="B309" s="9" t="s">
        <v>1001</v>
      </c>
      <c r="C309" s="11" t="s">
        <v>4490</v>
      </c>
      <c r="D309" t="s">
        <v>4494</v>
      </c>
      <c r="E309"/>
      <c r="F309" t="s">
        <v>1002</v>
      </c>
      <c r="G309" t="s">
        <v>4557</v>
      </c>
      <c r="H309" s="3" t="s">
        <v>1003</v>
      </c>
      <c r="I309"/>
      <c r="J309" s="165">
        <v>20105</v>
      </c>
      <c r="K309" s="11" t="s">
        <v>1004</v>
      </c>
      <c r="L309" s="11" t="s">
        <v>1005</v>
      </c>
      <c r="M309" s="13">
        <v>43515</v>
      </c>
      <c r="N309" s="86">
        <v>250000</v>
      </c>
      <c r="O309" s="28" t="s">
        <v>20</v>
      </c>
      <c r="Q309" s="141"/>
      <c r="R309" s="191">
        <v>250000</v>
      </c>
    </row>
    <row r="310" spans="1:18" s="1" customFormat="1" ht="15.75" customHeight="1" x14ac:dyDescent="0.3">
      <c r="A310" s="5" t="s">
        <v>1006</v>
      </c>
      <c r="B310" s="9" t="s">
        <v>1007</v>
      </c>
      <c r="C310" s="11" t="s">
        <v>4490</v>
      </c>
      <c r="D310" t="s">
        <v>4494</v>
      </c>
      <c r="E310" s="3"/>
      <c r="F310" s="15">
        <v>104979</v>
      </c>
      <c r="G310" s="15"/>
      <c r="H310" s="3" t="s">
        <v>1008</v>
      </c>
      <c r="I310" s="160"/>
      <c r="J310" s="166">
        <v>20139</v>
      </c>
      <c r="K310" s="3" t="s">
        <v>1004</v>
      </c>
      <c r="L310" s="3" t="s">
        <v>1005</v>
      </c>
      <c r="M310" s="13">
        <v>43516</v>
      </c>
      <c r="N310" s="86">
        <v>15000</v>
      </c>
      <c r="O310" s="28" t="s">
        <v>20</v>
      </c>
      <c r="Q310" s="141"/>
      <c r="R310" s="191">
        <v>15000</v>
      </c>
    </row>
    <row r="311" spans="1:18" s="1" customFormat="1" ht="15.75" customHeight="1" x14ac:dyDescent="0.3">
      <c r="A311" s="5" t="s">
        <v>1009</v>
      </c>
      <c r="B311" s="9" t="s">
        <v>1010</v>
      </c>
      <c r="C311" s="11" t="s">
        <v>4490</v>
      </c>
      <c r="D311" t="s">
        <v>4495</v>
      </c>
      <c r="E311"/>
      <c r="F311" t="s">
        <v>1011</v>
      </c>
      <c r="G311" t="s">
        <v>4557</v>
      </c>
      <c r="H311" s="3" t="s">
        <v>1003</v>
      </c>
      <c r="I311"/>
      <c r="J311" s="165">
        <v>55880</v>
      </c>
      <c r="K311" s="11" t="s">
        <v>1004</v>
      </c>
      <c r="L311" s="11" t="s">
        <v>1005</v>
      </c>
      <c r="M311" s="13">
        <v>43530</v>
      </c>
      <c r="N311" s="86">
        <v>250000</v>
      </c>
      <c r="O311" s="28" t="s">
        <v>20</v>
      </c>
      <c r="Q311" s="141"/>
      <c r="R311" s="191">
        <v>250000</v>
      </c>
    </row>
    <row r="312" spans="1:18" s="1" customFormat="1" ht="15.75" customHeight="1" x14ac:dyDescent="0.3">
      <c r="A312" s="5" t="s">
        <v>1012</v>
      </c>
      <c r="B312" s="9" t="s">
        <v>1013</v>
      </c>
      <c r="C312" s="11" t="s">
        <v>4489</v>
      </c>
      <c r="D312" t="s">
        <v>4493</v>
      </c>
      <c r="E312" s="3"/>
      <c r="F312" s="15"/>
      <c r="G312" s="15"/>
      <c r="H312" s="3" t="s">
        <v>1014</v>
      </c>
      <c r="I312" s="160"/>
      <c r="J312" s="166">
        <v>96869</v>
      </c>
      <c r="K312" s="3" t="s">
        <v>176</v>
      </c>
      <c r="L312" s="3" t="s">
        <v>1015</v>
      </c>
      <c r="M312" s="29">
        <v>43374</v>
      </c>
      <c r="N312" s="86">
        <v>26000</v>
      </c>
      <c r="O312" s="28"/>
      <c r="Q312" s="141"/>
      <c r="R312" s="191">
        <v>26000</v>
      </c>
    </row>
    <row r="313" spans="1:18" s="1" customFormat="1" ht="15.75" customHeight="1" x14ac:dyDescent="0.3">
      <c r="A313" s="5" t="s">
        <v>1016</v>
      </c>
      <c r="B313" s="9" t="s">
        <v>1017</v>
      </c>
      <c r="C313" s="11" t="s">
        <v>4489</v>
      </c>
      <c r="D313" t="s">
        <v>4493</v>
      </c>
      <c r="E313" s="3"/>
      <c r="F313" s="15"/>
      <c r="G313" s="15"/>
      <c r="H313" s="3" t="s">
        <v>1014</v>
      </c>
      <c r="I313" s="160"/>
      <c r="J313" s="165">
        <v>96869</v>
      </c>
      <c r="K313" s="11" t="s">
        <v>176</v>
      </c>
      <c r="L313" s="3" t="s">
        <v>1015</v>
      </c>
      <c r="M313" s="13">
        <v>43530</v>
      </c>
      <c r="N313" s="86">
        <v>32500</v>
      </c>
      <c r="O313" s="28"/>
      <c r="Q313" s="141"/>
      <c r="R313" s="191">
        <v>32500</v>
      </c>
    </row>
    <row r="314" spans="1:18" s="1" customFormat="1" ht="15.75" customHeight="1" x14ac:dyDescent="0.3">
      <c r="A314" s="5" t="s">
        <v>1018</v>
      </c>
      <c r="B314" s="9" t="s">
        <v>1019</v>
      </c>
      <c r="C314" s="11" t="s">
        <v>4489</v>
      </c>
      <c r="D314" t="s">
        <v>4493</v>
      </c>
      <c r="E314"/>
      <c r="F314"/>
      <c r="G314" t="s">
        <v>4629</v>
      </c>
      <c r="H314" s="3" t="s">
        <v>1020</v>
      </c>
      <c r="I314"/>
      <c r="J314" s="165">
        <v>52917</v>
      </c>
      <c r="K314" s="11" t="s">
        <v>1021</v>
      </c>
      <c r="L314" s="3" t="s">
        <v>1022</v>
      </c>
      <c r="M314" s="13">
        <v>43542</v>
      </c>
      <c r="N314" s="86">
        <v>1340</v>
      </c>
      <c r="O314" s="28"/>
      <c r="Q314" s="141"/>
      <c r="R314" s="191">
        <v>1340</v>
      </c>
    </row>
    <row r="315" spans="1:18" s="1" customFormat="1" ht="15.75" customHeight="1" x14ac:dyDescent="0.3">
      <c r="A315" s="5" t="s">
        <v>1023</v>
      </c>
      <c r="B315" s="9" t="s">
        <v>1024</v>
      </c>
      <c r="C315" s="11" t="s">
        <v>4490</v>
      </c>
      <c r="D315" t="s">
        <v>4495</v>
      </c>
      <c r="E315"/>
      <c r="F315" t="s">
        <v>1025</v>
      </c>
      <c r="G315" t="s">
        <v>4629</v>
      </c>
      <c r="H315" s="3" t="s">
        <v>1026</v>
      </c>
      <c r="I315"/>
      <c r="J315" s="165">
        <v>4954</v>
      </c>
      <c r="K315" s="11" t="s">
        <v>1027</v>
      </c>
      <c r="L315" s="3" t="s">
        <v>1028</v>
      </c>
      <c r="M315" s="13">
        <v>43545</v>
      </c>
      <c r="N315" s="86">
        <v>795000</v>
      </c>
      <c r="O315" s="28" t="s">
        <v>20</v>
      </c>
      <c r="P315" s="1" t="s">
        <v>44</v>
      </c>
      <c r="Q315" s="141"/>
      <c r="R315" s="191">
        <v>795000</v>
      </c>
    </row>
    <row r="316" spans="1:18" s="1" customFormat="1" ht="15.75" customHeight="1" x14ac:dyDescent="0.3">
      <c r="A316" s="5" t="s">
        <v>1029</v>
      </c>
      <c r="B316" s="9" t="s">
        <v>1030</v>
      </c>
      <c r="C316" s="11" t="s">
        <v>4490</v>
      </c>
      <c r="D316" t="s">
        <v>4493</v>
      </c>
      <c r="E316"/>
      <c r="F316" t="s">
        <v>1031</v>
      </c>
      <c r="G316" t="s">
        <v>4643</v>
      </c>
      <c r="H316" s="3" t="s">
        <v>875</v>
      </c>
      <c r="I316" s="160"/>
      <c r="J316" s="165">
        <v>4964</v>
      </c>
      <c r="K316" s="11" t="s">
        <v>176</v>
      </c>
      <c r="L316" s="3" t="s">
        <v>1028</v>
      </c>
      <c r="M316" s="13">
        <v>43545</v>
      </c>
      <c r="N316" s="86">
        <v>150000</v>
      </c>
      <c r="O316" s="28" t="s">
        <v>20</v>
      </c>
      <c r="P316" s="1" t="s">
        <v>78</v>
      </c>
      <c r="Q316" s="141"/>
      <c r="R316" s="191">
        <v>150000</v>
      </c>
    </row>
    <row r="317" spans="1:18" s="1" customFormat="1" ht="15.75" customHeight="1" x14ac:dyDescent="0.3">
      <c r="A317" s="5" t="s">
        <v>1032</v>
      </c>
      <c r="B317" s="9" t="s">
        <v>1033</v>
      </c>
      <c r="C317" s="11" t="s">
        <v>4490</v>
      </c>
      <c r="D317" t="s">
        <v>4493</v>
      </c>
      <c r="E317"/>
      <c r="F317" t="s">
        <v>1034</v>
      </c>
      <c r="G317" t="s">
        <v>4643</v>
      </c>
      <c r="H317" s="3" t="s">
        <v>875</v>
      </c>
      <c r="I317" s="160"/>
      <c r="J317" s="165">
        <v>4961</v>
      </c>
      <c r="K317" s="3" t="s">
        <v>176</v>
      </c>
      <c r="L317" s="3" t="s">
        <v>1028</v>
      </c>
      <c r="M317" s="13">
        <v>43545</v>
      </c>
      <c r="N317" s="86">
        <v>170000</v>
      </c>
      <c r="O317" s="28" t="s">
        <v>20</v>
      </c>
      <c r="Q317" s="141"/>
      <c r="R317" s="191">
        <v>170000</v>
      </c>
    </row>
    <row r="318" spans="1:18" s="1" customFormat="1" ht="15.75" customHeight="1" x14ac:dyDescent="0.3">
      <c r="A318" s="5" t="s">
        <v>1035</v>
      </c>
      <c r="B318" s="9" t="s">
        <v>1036</v>
      </c>
      <c r="C318" s="11" t="s">
        <v>4490</v>
      </c>
      <c r="D318" t="s">
        <v>4493</v>
      </c>
      <c r="E318"/>
      <c r="F318" t="s">
        <v>1037</v>
      </c>
      <c r="G318" t="s">
        <v>4643</v>
      </c>
      <c r="H318" s="3" t="s">
        <v>875</v>
      </c>
      <c r="I318" s="160"/>
      <c r="J318" s="166">
        <v>4962</v>
      </c>
      <c r="K318" s="3" t="s">
        <v>176</v>
      </c>
      <c r="L318" s="3" t="s">
        <v>1028</v>
      </c>
      <c r="M318" s="13">
        <v>43545</v>
      </c>
      <c r="N318" s="86">
        <v>170000</v>
      </c>
      <c r="O318" s="28" t="s">
        <v>20</v>
      </c>
      <c r="P318" s="1" t="s">
        <v>66</v>
      </c>
      <c r="Q318" s="141"/>
      <c r="R318" s="191">
        <v>170000</v>
      </c>
    </row>
    <row r="319" spans="1:18" s="1" customFormat="1" ht="15.75" customHeight="1" x14ac:dyDescent="0.3">
      <c r="A319" s="5" t="s">
        <v>1038</v>
      </c>
      <c r="B319" s="9" t="s">
        <v>1039</v>
      </c>
      <c r="C319" s="11" t="s">
        <v>4490</v>
      </c>
      <c r="D319" t="s">
        <v>4493</v>
      </c>
      <c r="E319"/>
      <c r="F319" t="s">
        <v>1040</v>
      </c>
      <c r="G319" t="s">
        <v>4643</v>
      </c>
      <c r="H319" s="3" t="s">
        <v>875</v>
      </c>
      <c r="I319" s="160"/>
      <c r="J319" s="165">
        <v>4963</v>
      </c>
      <c r="K319" s="11" t="s">
        <v>176</v>
      </c>
      <c r="L319" s="3" t="s">
        <v>1028</v>
      </c>
      <c r="M319" s="13">
        <v>43545</v>
      </c>
      <c r="N319" s="86">
        <v>170000</v>
      </c>
      <c r="O319" s="28" t="s">
        <v>20</v>
      </c>
      <c r="Q319" s="141"/>
      <c r="R319" s="191">
        <v>170000</v>
      </c>
    </row>
    <row r="320" spans="1:18" s="1" customFormat="1" ht="15.75" customHeight="1" x14ac:dyDescent="0.3">
      <c r="A320" s="5" t="s">
        <v>1041</v>
      </c>
      <c r="B320" s="9" t="s">
        <v>1042</v>
      </c>
      <c r="C320" s="11" t="s">
        <v>4490</v>
      </c>
      <c r="D320" t="s">
        <v>4495</v>
      </c>
      <c r="E320" s="160"/>
      <c r="F320" t="s">
        <v>1043</v>
      </c>
      <c r="G320" t="s">
        <v>4643</v>
      </c>
      <c r="H320" s="3" t="s">
        <v>1044</v>
      </c>
      <c r="I320"/>
      <c r="J320" s="165">
        <v>4955</v>
      </c>
      <c r="K320" s="11" t="s">
        <v>176</v>
      </c>
      <c r="L320" s="3" t="s">
        <v>1028</v>
      </c>
      <c r="M320" s="13">
        <v>43545</v>
      </c>
      <c r="N320" s="86">
        <v>140000</v>
      </c>
      <c r="O320" s="28" t="s">
        <v>20</v>
      </c>
      <c r="P320" s="1" t="s">
        <v>91</v>
      </c>
      <c r="Q320" s="141"/>
      <c r="R320" s="191">
        <v>140000</v>
      </c>
    </row>
    <row r="321" spans="1:18" s="1" customFormat="1" ht="15.75" customHeight="1" x14ac:dyDescent="0.3">
      <c r="A321" s="5" t="s">
        <v>1045</v>
      </c>
      <c r="B321" s="9" t="s">
        <v>1046</v>
      </c>
      <c r="C321" s="11" t="s">
        <v>4490</v>
      </c>
      <c r="D321" t="s">
        <v>4495</v>
      </c>
      <c r="E321" s="160"/>
      <c r="F321" t="s">
        <v>1047</v>
      </c>
      <c r="G321" t="s">
        <v>4643</v>
      </c>
      <c r="H321" s="3" t="s">
        <v>1044</v>
      </c>
      <c r="I321"/>
      <c r="J321" s="165">
        <v>4956</v>
      </c>
      <c r="K321" s="11" t="s">
        <v>176</v>
      </c>
      <c r="L321" s="3" t="s">
        <v>1028</v>
      </c>
      <c r="M321" s="13">
        <v>43545</v>
      </c>
      <c r="N321" s="86">
        <v>140000</v>
      </c>
      <c r="O321" s="28" t="s">
        <v>20</v>
      </c>
      <c r="Q321" s="141"/>
      <c r="R321" s="191">
        <v>140000</v>
      </c>
    </row>
    <row r="322" spans="1:18" s="1" customFormat="1" ht="15.75" customHeight="1" x14ac:dyDescent="0.3">
      <c r="A322" s="5" t="s">
        <v>1048</v>
      </c>
      <c r="B322" s="9" t="s">
        <v>1049</v>
      </c>
      <c r="C322" s="11" t="s">
        <v>4490</v>
      </c>
      <c r="D322" t="s">
        <v>4493</v>
      </c>
      <c r="E322" s="160"/>
      <c r="F322" t="s">
        <v>1050</v>
      </c>
      <c r="G322" t="s">
        <v>4643</v>
      </c>
      <c r="H322" s="3" t="s">
        <v>1044</v>
      </c>
      <c r="I322"/>
      <c r="J322" s="166">
        <v>4958</v>
      </c>
      <c r="K322" s="3" t="s">
        <v>176</v>
      </c>
      <c r="L322" s="132" t="s">
        <v>1028</v>
      </c>
      <c r="M322" s="13">
        <v>43545</v>
      </c>
      <c r="N322" s="86">
        <v>140000</v>
      </c>
      <c r="O322" s="28" t="s">
        <v>20</v>
      </c>
      <c r="P322" s="1" t="s">
        <v>44</v>
      </c>
      <c r="Q322" s="141"/>
      <c r="R322" s="191">
        <v>140000</v>
      </c>
    </row>
    <row r="323" spans="1:18" s="1" customFormat="1" ht="15.75" customHeight="1" x14ac:dyDescent="0.3">
      <c r="A323" s="5" t="s">
        <v>1051</v>
      </c>
      <c r="B323" s="9" t="s">
        <v>1052</v>
      </c>
      <c r="C323" s="11" t="s">
        <v>4490</v>
      </c>
      <c r="D323" t="s">
        <v>4493</v>
      </c>
      <c r="E323" s="160"/>
      <c r="F323" t="s">
        <v>1053</v>
      </c>
      <c r="G323" t="s">
        <v>4643</v>
      </c>
      <c r="H323" s="3" t="s">
        <v>1044</v>
      </c>
      <c r="I323"/>
      <c r="J323" s="171">
        <v>4960</v>
      </c>
      <c r="K323" s="11" t="s">
        <v>176</v>
      </c>
      <c r="L323" s="3" t="s">
        <v>1028</v>
      </c>
      <c r="M323" s="13">
        <v>43545</v>
      </c>
      <c r="N323" s="86">
        <v>140000</v>
      </c>
      <c r="O323" s="28" t="s">
        <v>20</v>
      </c>
      <c r="P323" s="1" t="s">
        <v>78</v>
      </c>
      <c r="Q323" s="141"/>
      <c r="R323" s="191">
        <v>140000</v>
      </c>
    </row>
    <row r="324" spans="1:18" s="1" customFormat="1" ht="15.75" customHeight="1" x14ac:dyDescent="0.3">
      <c r="A324" s="5" t="s">
        <v>1054</v>
      </c>
      <c r="B324" s="9" t="s">
        <v>1055</v>
      </c>
      <c r="C324" s="11" t="s">
        <v>4490</v>
      </c>
      <c r="D324" t="s">
        <v>4493</v>
      </c>
      <c r="E324" s="160"/>
      <c r="F324" t="s">
        <v>1056</v>
      </c>
      <c r="G324" t="s">
        <v>4643</v>
      </c>
      <c r="H324" s="3" t="s">
        <v>1044</v>
      </c>
      <c r="I324"/>
      <c r="J324" s="165">
        <v>4959</v>
      </c>
      <c r="K324" s="11" t="s">
        <v>176</v>
      </c>
      <c r="L324" s="3" t="s">
        <v>1028</v>
      </c>
      <c r="M324" s="13">
        <v>43545</v>
      </c>
      <c r="N324" s="86">
        <v>140000</v>
      </c>
      <c r="O324" s="28" t="s">
        <v>20</v>
      </c>
      <c r="P324" s="1" t="s">
        <v>66</v>
      </c>
      <c r="Q324" s="141"/>
      <c r="R324" s="191">
        <v>140000</v>
      </c>
    </row>
    <row r="325" spans="1:18" s="1" customFormat="1" ht="15.75" customHeight="1" x14ac:dyDescent="0.3">
      <c r="A325" s="5" t="s">
        <v>1057</v>
      </c>
      <c r="B325" s="9" t="s">
        <v>1058</v>
      </c>
      <c r="C325" s="11" t="s">
        <v>4490</v>
      </c>
      <c r="D325" t="s">
        <v>4493</v>
      </c>
      <c r="E325" s="160"/>
      <c r="F325" t="s">
        <v>1059</v>
      </c>
      <c r="G325" t="s">
        <v>4643</v>
      </c>
      <c r="H325" s="3" t="s">
        <v>1044</v>
      </c>
      <c r="I325"/>
      <c r="J325" s="166">
        <v>4957</v>
      </c>
      <c r="K325" s="3" t="s">
        <v>176</v>
      </c>
      <c r="L325" s="3" t="s">
        <v>1028</v>
      </c>
      <c r="M325" s="13">
        <v>43545</v>
      </c>
      <c r="N325" s="86">
        <v>140000</v>
      </c>
      <c r="O325" s="28" t="s">
        <v>20</v>
      </c>
      <c r="P325" s="1" t="s">
        <v>44</v>
      </c>
      <c r="Q325" s="141"/>
      <c r="R325" s="191">
        <v>140000</v>
      </c>
    </row>
    <row r="326" spans="1:18" s="1" customFormat="1" ht="15.75" customHeight="1" x14ac:dyDescent="0.3">
      <c r="A326" s="5" t="s">
        <v>1060</v>
      </c>
      <c r="B326" s="9" t="s">
        <v>1061</v>
      </c>
      <c r="C326" s="11" t="s">
        <v>4490</v>
      </c>
      <c r="D326" t="s">
        <v>4495</v>
      </c>
      <c r="E326"/>
      <c r="F326">
        <v>104980</v>
      </c>
      <c r="G326" t="s">
        <v>4617</v>
      </c>
      <c r="H326" s="3" t="s">
        <v>1008</v>
      </c>
      <c r="I326"/>
      <c r="J326" s="166">
        <v>20107</v>
      </c>
      <c r="K326" s="3" t="s">
        <v>1004</v>
      </c>
      <c r="L326" s="3" t="s">
        <v>1005</v>
      </c>
      <c r="M326" s="13">
        <v>43549</v>
      </c>
      <c r="N326" s="86">
        <v>15000</v>
      </c>
      <c r="O326" s="28" t="s">
        <v>20</v>
      </c>
      <c r="P326" s="1" t="s">
        <v>91</v>
      </c>
      <c r="Q326" s="141"/>
      <c r="R326" s="191">
        <v>15000</v>
      </c>
    </row>
    <row r="327" spans="1:18" s="1" customFormat="1" ht="15.75" customHeight="1" x14ac:dyDescent="0.3">
      <c r="A327" s="5" t="s">
        <v>1062</v>
      </c>
      <c r="B327" s="9" t="s">
        <v>1063</v>
      </c>
      <c r="C327" s="11" t="s">
        <v>4490</v>
      </c>
      <c r="D327" t="s">
        <v>4494</v>
      </c>
      <c r="E327"/>
      <c r="F327">
        <v>108463</v>
      </c>
      <c r="G327" t="s">
        <v>4645</v>
      </c>
      <c r="H327" s="3" t="s">
        <v>1064</v>
      </c>
      <c r="I327"/>
      <c r="J327" s="165">
        <v>20304</v>
      </c>
      <c r="K327" s="11" t="s">
        <v>1004</v>
      </c>
      <c r="L327" s="3" t="s">
        <v>1005</v>
      </c>
      <c r="M327" s="13">
        <v>43550</v>
      </c>
      <c r="N327" s="86">
        <v>10000</v>
      </c>
      <c r="O327" s="28" t="s">
        <v>20</v>
      </c>
      <c r="Q327" s="141"/>
      <c r="R327" s="191">
        <v>10000</v>
      </c>
    </row>
    <row r="328" spans="1:18" s="1" customFormat="1" ht="15.75" customHeight="1" x14ac:dyDescent="0.3">
      <c r="A328" s="5" t="s">
        <v>1065</v>
      </c>
      <c r="B328" s="9" t="s">
        <v>1066</v>
      </c>
      <c r="C328" s="11" t="s">
        <v>4490</v>
      </c>
      <c r="D328" t="s">
        <v>4495</v>
      </c>
      <c r="E328"/>
      <c r="F328">
        <v>109032</v>
      </c>
      <c r="G328" t="s">
        <v>4617</v>
      </c>
      <c r="H328" s="3" t="s">
        <v>1064</v>
      </c>
      <c r="I328"/>
      <c r="J328" s="165">
        <v>20303</v>
      </c>
      <c r="K328" s="11" t="s">
        <v>1004</v>
      </c>
      <c r="L328" s="3" t="s">
        <v>1005</v>
      </c>
      <c r="M328" s="13">
        <v>43550</v>
      </c>
      <c r="N328" s="86">
        <v>10000</v>
      </c>
      <c r="O328" s="28" t="s">
        <v>20</v>
      </c>
      <c r="Q328" s="141"/>
      <c r="R328" s="191">
        <v>10000</v>
      </c>
    </row>
    <row r="329" spans="1:18" s="1" customFormat="1" ht="15.75" hidden="1" customHeight="1" x14ac:dyDescent="0.3">
      <c r="A329" s="5" t="s">
        <v>1067</v>
      </c>
      <c r="B329" s="9" t="s">
        <v>1068</v>
      </c>
      <c r="C329" s="11" t="s">
        <v>4519</v>
      </c>
      <c r="D329" t="s">
        <v>4494</v>
      </c>
      <c r="E329" s="3"/>
      <c r="F329" s="15"/>
      <c r="G329" s="15"/>
      <c r="H329" s="3" t="s">
        <v>1069</v>
      </c>
      <c r="I329" s="160"/>
      <c r="J329" s="165">
        <v>104969</v>
      </c>
      <c r="K329" s="11" t="s">
        <v>1070</v>
      </c>
      <c r="L329" s="3" t="s">
        <v>1071</v>
      </c>
      <c r="M329" s="13">
        <v>43550</v>
      </c>
      <c r="N329" s="86"/>
      <c r="O329" s="28" t="s">
        <v>20</v>
      </c>
      <c r="P329" s="1" t="s">
        <v>44</v>
      </c>
      <c r="Q329" s="141"/>
      <c r="R329" s="191"/>
    </row>
    <row r="330" spans="1:18" s="1" customFormat="1" ht="15.75" customHeight="1" x14ac:dyDescent="0.3">
      <c r="A330" s="5" t="s">
        <v>1072</v>
      </c>
      <c r="B330" s="9" t="s">
        <v>1073</v>
      </c>
      <c r="C330" s="11" t="s">
        <v>4518</v>
      </c>
      <c r="D330" t="s">
        <v>4494</v>
      </c>
      <c r="E330"/>
      <c r="F330"/>
      <c r="G330" t="s">
        <v>4642</v>
      </c>
      <c r="H330" s="3" t="s">
        <v>1074</v>
      </c>
      <c r="I330"/>
      <c r="J330" s="166">
        <v>55945</v>
      </c>
      <c r="K330" s="3" t="s">
        <v>683</v>
      </c>
      <c r="L330" s="3" t="s">
        <v>684</v>
      </c>
      <c r="M330" s="13">
        <v>43551</v>
      </c>
      <c r="N330" s="86">
        <v>2870</v>
      </c>
      <c r="O330" s="28" t="s">
        <v>20</v>
      </c>
      <c r="P330" s="1" t="s">
        <v>44</v>
      </c>
      <c r="Q330" s="141"/>
      <c r="R330" s="191">
        <v>2870</v>
      </c>
    </row>
    <row r="331" spans="1:18" s="1" customFormat="1" ht="15.75" customHeight="1" x14ac:dyDescent="0.3">
      <c r="A331" s="5" t="s">
        <v>1075</v>
      </c>
      <c r="B331" s="9" t="s">
        <v>1076</v>
      </c>
      <c r="C331" s="11" t="s">
        <v>4490</v>
      </c>
      <c r="D331" t="s">
        <v>4495</v>
      </c>
      <c r="E331"/>
      <c r="F331">
        <v>104747</v>
      </c>
      <c r="G331" t="s">
        <v>4617</v>
      </c>
      <c r="H331" s="3" t="s">
        <v>1064</v>
      </c>
      <c r="I331"/>
      <c r="J331" s="165">
        <v>20296</v>
      </c>
      <c r="K331" s="3" t="s">
        <v>1005</v>
      </c>
      <c r="L331" s="11"/>
      <c r="M331" s="13">
        <v>43551</v>
      </c>
      <c r="N331" s="86">
        <v>10000</v>
      </c>
      <c r="O331" s="28" t="s">
        <v>20</v>
      </c>
      <c r="Q331" s="141"/>
      <c r="R331" s="191">
        <v>10000</v>
      </c>
    </row>
    <row r="332" spans="1:18" s="1" customFormat="1" ht="15.75" customHeight="1" x14ac:dyDescent="0.3">
      <c r="A332" s="5" t="s">
        <v>1077</v>
      </c>
      <c r="B332" s="9" t="s">
        <v>1078</v>
      </c>
      <c r="C332" s="11" t="s">
        <v>4489</v>
      </c>
      <c r="D332" t="s">
        <v>4495</v>
      </c>
      <c r="E332" s="3"/>
      <c r="F332" s="15"/>
      <c r="G332" s="15"/>
      <c r="H332" s="3" t="s">
        <v>1079</v>
      </c>
      <c r="I332" s="160"/>
      <c r="J332" s="165" t="s">
        <v>39</v>
      </c>
      <c r="K332" s="27"/>
      <c r="L332" s="27"/>
      <c r="M332" s="13">
        <v>43552</v>
      </c>
      <c r="N332" s="86">
        <v>4275</v>
      </c>
      <c r="O332" s="28" t="s">
        <v>20</v>
      </c>
      <c r="Q332" s="141"/>
      <c r="R332" s="191">
        <v>4275</v>
      </c>
    </row>
    <row r="333" spans="1:18" s="1" customFormat="1" ht="15.75" customHeight="1" x14ac:dyDescent="0.3">
      <c r="A333" s="5" t="s">
        <v>1080</v>
      </c>
      <c r="B333" s="9" t="s">
        <v>1081</v>
      </c>
      <c r="C333" s="11" t="s">
        <v>4520</v>
      </c>
      <c r="D333" t="s">
        <v>4493</v>
      </c>
      <c r="E333" s="3"/>
      <c r="F333" s="10"/>
      <c r="G333" s="10"/>
      <c r="H333" s="3" t="s">
        <v>536</v>
      </c>
      <c r="I333" s="160"/>
      <c r="J333" s="165" t="s">
        <v>39</v>
      </c>
      <c r="K333" s="27"/>
      <c r="L333" s="27"/>
      <c r="M333" s="13">
        <v>43555</v>
      </c>
      <c r="N333" s="86">
        <v>1700</v>
      </c>
      <c r="O333" s="28"/>
      <c r="Q333" s="141"/>
      <c r="R333" s="191">
        <v>1700</v>
      </c>
    </row>
    <row r="334" spans="1:18" s="1" customFormat="1" ht="15.75" customHeight="1" x14ac:dyDescent="0.3">
      <c r="A334" s="5" t="s">
        <v>1082</v>
      </c>
      <c r="B334" s="9" t="s">
        <v>1083</v>
      </c>
      <c r="C334" s="11" t="s">
        <v>4518</v>
      </c>
      <c r="D334" t="s">
        <v>4494</v>
      </c>
      <c r="E334" s="3"/>
      <c r="F334" s="15"/>
      <c r="G334" s="15"/>
      <c r="H334" s="3" t="s">
        <v>1084</v>
      </c>
      <c r="I334" s="160"/>
      <c r="J334" s="165" t="s">
        <v>39</v>
      </c>
      <c r="K334" s="27"/>
      <c r="L334" s="27"/>
      <c r="M334" s="13">
        <v>43557</v>
      </c>
      <c r="N334" s="86">
        <v>368</v>
      </c>
      <c r="O334" s="28"/>
      <c r="Q334" s="141"/>
      <c r="R334" s="191">
        <v>368</v>
      </c>
    </row>
    <row r="335" spans="1:18" s="1" customFormat="1" ht="15.75" customHeight="1" x14ac:dyDescent="0.3">
      <c r="A335" s="5" t="s">
        <v>1085</v>
      </c>
      <c r="B335" s="9" t="s">
        <v>1086</v>
      </c>
      <c r="C335" s="11" t="s">
        <v>4490</v>
      </c>
      <c r="D335" t="s">
        <v>4494</v>
      </c>
      <c r="E335"/>
      <c r="F335">
        <v>104857</v>
      </c>
      <c r="G335" t="s">
        <v>4617</v>
      </c>
      <c r="H335" s="3" t="s">
        <v>1064</v>
      </c>
      <c r="I335"/>
      <c r="J335" s="165">
        <v>20710</v>
      </c>
      <c r="K335" s="11" t="s">
        <v>1004</v>
      </c>
      <c r="L335" s="11" t="s">
        <v>1005</v>
      </c>
      <c r="M335" s="13">
        <v>43560</v>
      </c>
      <c r="N335" s="86">
        <v>10000</v>
      </c>
      <c r="O335" s="28" t="s">
        <v>20</v>
      </c>
      <c r="Q335" s="141"/>
      <c r="R335" s="191">
        <v>10000</v>
      </c>
    </row>
    <row r="336" spans="1:18" s="1" customFormat="1" ht="15.75" hidden="1" customHeight="1" x14ac:dyDescent="0.3">
      <c r="A336" s="5" t="s">
        <v>1087</v>
      </c>
      <c r="B336" s="9" t="s">
        <v>1088</v>
      </c>
      <c r="C336" s="11" t="s">
        <v>4519</v>
      </c>
      <c r="D336" t="s">
        <v>4497</v>
      </c>
      <c r="E336" s="3"/>
      <c r="F336" s="15"/>
      <c r="G336" s="15"/>
      <c r="H336" s="3" t="s">
        <v>700</v>
      </c>
      <c r="I336" s="160"/>
      <c r="J336" s="165">
        <v>136917</v>
      </c>
      <c r="K336" s="3" t="s">
        <v>1089</v>
      </c>
      <c r="L336" s="3" t="s">
        <v>1090</v>
      </c>
      <c r="M336" s="13">
        <v>43560</v>
      </c>
      <c r="N336" s="86"/>
      <c r="O336" s="28"/>
      <c r="Q336" s="141"/>
      <c r="R336" s="191"/>
    </row>
    <row r="337" spans="1:18" s="1" customFormat="1" ht="15.75" customHeight="1" x14ac:dyDescent="0.3">
      <c r="A337" s="5" t="s">
        <v>1091</v>
      </c>
      <c r="B337" s="9" t="s">
        <v>1092</v>
      </c>
      <c r="C337" s="11" t="s">
        <v>4520</v>
      </c>
      <c r="D337" t="s">
        <v>4494</v>
      </c>
      <c r="E337" s="3"/>
      <c r="F337" s="10"/>
      <c r="G337" s="10"/>
      <c r="H337" s="3" t="s">
        <v>1093</v>
      </c>
      <c r="I337" s="160"/>
      <c r="J337" s="166">
        <v>439794</v>
      </c>
      <c r="K337" s="11" t="s">
        <v>1094</v>
      </c>
      <c r="L337" s="3" t="s">
        <v>1095</v>
      </c>
      <c r="M337" s="13">
        <v>43563</v>
      </c>
      <c r="N337" s="86">
        <v>1066.22</v>
      </c>
      <c r="O337" s="28"/>
      <c r="Q337" s="141"/>
      <c r="R337" s="191" t="s">
        <v>4746</v>
      </c>
    </row>
    <row r="338" spans="1:18" s="1" customFormat="1" ht="15.75" customHeight="1" x14ac:dyDescent="0.3">
      <c r="A338" s="5" t="s">
        <v>1096</v>
      </c>
      <c r="B338" s="9" t="s">
        <v>1097</v>
      </c>
      <c r="C338" s="11" t="s">
        <v>4518</v>
      </c>
      <c r="D338" t="s">
        <v>4494</v>
      </c>
      <c r="E338" s="3"/>
      <c r="F338" s="15"/>
      <c r="G338" s="15"/>
      <c r="H338" s="3" t="s">
        <v>1098</v>
      </c>
      <c r="I338" s="160"/>
      <c r="J338" s="165">
        <v>53733</v>
      </c>
      <c r="K338" s="11" t="s">
        <v>1021</v>
      </c>
      <c r="L338" s="3" t="s">
        <v>1022</v>
      </c>
      <c r="M338" s="13">
        <v>43566</v>
      </c>
      <c r="N338" s="86">
        <v>3800</v>
      </c>
      <c r="O338" s="28" t="s">
        <v>20</v>
      </c>
      <c r="P338" s="1" t="s">
        <v>44</v>
      </c>
      <c r="Q338" s="141"/>
      <c r="R338" s="191">
        <v>3800</v>
      </c>
    </row>
    <row r="339" spans="1:18" s="1" customFormat="1" ht="15.75" customHeight="1" x14ac:dyDescent="0.3">
      <c r="A339" s="5" t="s">
        <v>1099</v>
      </c>
      <c r="B339" s="9" t="s">
        <v>1100</v>
      </c>
      <c r="C339" s="11" t="s">
        <v>4518</v>
      </c>
      <c r="D339" t="s">
        <v>4495</v>
      </c>
      <c r="E339" s="3"/>
      <c r="F339" s="15"/>
      <c r="G339" s="15"/>
      <c r="H339" s="3" t="s">
        <v>1101</v>
      </c>
      <c r="I339" s="160"/>
      <c r="J339" s="165" t="s">
        <v>39</v>
      </c>
      <c r="K339" s="27"/>
      <c r="L339" s="27"/>
      <c r="M339" s="13">
        <v>43578</v>
      </c>
      <c r="N339" s="86">
        <v>21000</v>
      </c>
      <c r="O339" s="28" t="s">
        <v>20</v>
      </c>
      <c r="Q339" s="141"/>
      <c r="R339" s="191">
        <v>21000</v>
      </c>
    </row>
    <row r="340" spans="1:18" s="1" customFormat="1" ht="15.75" customHeight="1" x14ac:dyDescent="0.3">
      <c r="A340" s="5" t="s">
        <v>1102</v>
      </c>
      <c r="B340" s="9" t="s">
        <v>1103</v>
      </c>
      <c r="C340" s="11" t="s">
        <v>4490</v>
      </c>
      <c r="D340" t="s">
        <v>4495</v>
      </c>
      <c r="E340"/>
      <c r="F340"/>
      <c r="G340" t="s">
        <v>4617</v>
      </c>
      <c r="H340" s="3" t="s">
        <v>1064</v>
      </c>
      <c r="I340"/>
      <c r="J340" s="165">
        <v>19099</v>
      </c>
      <c r="K340" s="3" t="s">
        <v>1005</v>
      </c>
      <c r="L340" s="11"/>
      <c r="M340" s="13">
        <v>43579</v>
      </c>
      <c r="N340" s="86">
        <v>10000</v>
      </c>
      <c r="O340" s="28" t="s">
        <v>20</v>
      </c>
      <c r="Q340" s="141"/>
      <c r="R340" s="191">
        <v>10000</v>
      </c>
    </row>
    <row r="341" spans="1:18" s="1" customFormat="1" ht="15.75" customHeight="1" x14ac:dyDescent="0.3">
      <c r="A341" s="5" t="s">
        <v>1104</v>
      </c>
      <c r="B341" s="9" t="s">
        <v>1105</v>
      </c>
      <c r="C341" s="11" t="s">
        <v>4490</v>
      </c>
      <c r="D341" t="s">
        <v>4495</v>
      </c>
      <c r="E341"/>
      <c r="F341"/>
      <c r="G341" t="s">
        <v>4617</v>
      </c>
      <c r="H341" s="3" t="s">
        <v>1106</v>
      </c>
      <c r="I341"/>
      <c r="J341" s="165">
        <v>19100</v>
      </c>
      <c r="K341" s="3" t="s">
        <v>1005</v>
      </c>
      <c r="L341" s="11"/>
      <c r="M341" s="13">
        <v>43580</v>
      </c>
      <c r="N341" s="86">
        <v>10000</v>
      </c>
      <c r="O341" s="28" t="s">
        <v>20</v>
      </c>
      <c r="Q341" s="141"/>
      <c r="R341" s="191">
        <v>10000</v>
      </c>
    </row>
    <row r="342" spans="1:18" s="1" customFormat="1" ht="15.75" customHeight="1" x14ac:dyDescent="0.3">
      <c r="A342" s="5" t="s">
        <v>1107</v>
      </c>
      <c r="B342" s="9" t="s">
        <v>1108</v>
      </c>
      <c r="C342" s="11" t="s">
        <v>4489</v>
      </c>
      <c r="D342" t="s">
        <v>4493</v>
      </c>
      <c r="E342"/>
      <c r="F342"/>
      <c r="G342" t="s">
        <v>4557</v>
      </c>
      <c r="H342" s="3" t="s">
        <v>1109</v>
      </c>
      <c r="I342"/>
      <c r="J342" s="165" t="s">
        <v>39</v>
      </c>
      <c r="K342" s="27"/>
      <c r="L342" s="27"/>
      <c r="M342" s="13">
        <v>43585</v>
      </c>
      <c r="N342" s="86">
        <v>28000</v>
      </c>
      <c r="O342" s="28"/>
      <c r="Q342" s="141"/>
      <c r="R342" s="191">
        <v>28000</v>
      </c>
    </row>
    <row r="343" spans="1:18" s="1" customFormat="1" ht="15.75" customHeight="1" x14ac:dyDescent="0.3">
      <c r="A343" s="5" t="s">
        <v>1110</v>
      </c>
      <c r="B343" s="9" t="s">
        <v>1111</v>
      </c>
      <c r="C343" s="11" t="s">
        <v>4518</v>
      </c>
      <c r="D343" t="s">
        <v>4493</v>
      </c>
      <c r="E343"/>
      <c r="F343"/>
      <c r="G343" t="s">
        <v>4616</v>
      </c>
      <c r="H343" s="3" t="s">
        <v>1112</v>
      </c>
      <c r="I343"/>
      <c r="J343" s="165" t="s">
        <v>39</v>
      </c>
      <c r="K343" s="27"/>
      <c r="L343" s="27"/>
      <c r="M343" s="13">
        <v>43586</v>
      </c>
      <c r="N343" s="86">
        <v>18318.68</v>
      </c>
      <c r="O343" s="28" t="s">
        <v>20</v>
      </c>
      <c r="P343" s="1" t="s">
        <v>78</v>
      </c>
      <c r="Q343" s="141"/>
      <c r="R343" s="191" t="s">
        <v>4756</v>
      </c>
    </row>
    <row r="344" spans="1:18" s="1" customFormat="1" ht="15.75" customHeight="1" x14ac:dyDescent="0.3">
      <c r="A344" s="5" t="s">
        <v>1113</v>
      </c>
      <c r="B344" s="9" t="s">
        <v>1114</v>
      </c>
      <c r="C344" s="11" t="s">
        <v>4522</v>
      </c>
      <c r="D344" t="s">
        <v>4494</v>
      </c>
      <c r="E344" s="3"/>
      <c r="F344" s="15"/>
      <c r="G344" s="15"/>
      <c r="H344" s="3" t="s">
        <v>1115</v>
      </c>
      <c r="I344" s="160" t="s">
        <v>4536</v>
      </c>
      <c r="J344" s="165" t="s">
        <v>39</v>
      </c>
      <c r="K344" s="27"/>
      <c r="L344" s="27"/>
      <c r="M344" s="13">
        <v>43591</v>
      </c>
      <c r="N344" s="86">
        <v>3678</v>
      </c>
      <c r="O344" s="28"/>
      <c r="Q344" s="141"/>
      <c r="R344" s="191">
        <v>3678</v>
      </c>
    </row>
    <row r="345" spans="1:18" s="1" customFormat="1" ht="15.75" customHeight="1" x14ac:dyDescent="0.3">
      <c r="A345" s="5" t="s">
        <v>1116</v>
      </c>
      <c r="B345" s="9" t="s">
        <v>1117</v>
      </c>
      <c r="C345" s="11" t="s">
        <v>4520</v>
      </c>
      <c r="D345" t="s">
        <v>4493</v>
      </c>
      <c r="E345" s="3"/>
      <c r="F345" s="10"/>
      <c r="G345" s="10"/>
      <c r="H345" s="3" t="s">
        <v>1118</v>
      </c>
      <c r="I345" s="160" t="s">
        <v>4537</v>
      </c>
      <c r="J345" s="166">
        <v>15251</v>
      </c>
      <c r="K345" s="11" t="s">
        <v>1119</v>
      </c>
      <c r="L345" s="3" t="s">
        <v>1120</v>
      </c>
      <c r="M345" s="13">
        <v>43594</v>
      </c>
      <c r="N345" s="86">
        <v>1209</v>
      </c>
      <c r="O345" s="28"/>
      <c r="Q345" s="141"/>
      <c r="R345" s="191">
        <v>1209</v>
      </c>
    </row>
    <row r="346" spans="1:18" s="1" customFormat="1" ht="15.75" customHeight="1" x14ac:dyDescent="0.3">
      <c r="A346" s="59" t="s">
        <v>1121</v>
      </c>
      <c r="B346" s="9" t="s">
        <v>1121</v>
      </c>
      <c r="C346" s="3" t="s">
        <v>4520</v>
      </c>
      <c r="D346" t="s">
        <v>4495</v>
      </c>
      <c r="E346" s="3"/>
      <c r="F346" s="15"/>
      <c r="G346" s="15"/>
      <c r="H346" s="3" t="s">
        <v>1122</v>
      </c>
      <c r="I346" s="160"/>
      <c r="J346" s="165">
        <v>30314</v>
      </c>
      <c r="K346" s="11" t="s">
        <v>196</v>
      </c>
      <c r="L346" s="11" t="s">
        <v>197</v>
      </c>
      <c r="M346" s="13">
        <v>43594</v>
      </c>
      <c r="N346" s="86">
        <v>4680</v>
      </c>
      <c r="O346" s="28"/>
      <c r="P346" s="1" t="s">
        <v>66</v>
      </c>
      <c r="Q346" s="141"/>
      <c r="R346" s="191">
        <v>4680</v>
      </c>
    </row>
    <row r="347" spans="1:18" s="1" customFormat="1" ht="15.75" customHeight="1" x14ac:dyDescent="0.3">
      <c r="A347" s="128" t="s">
        <v>1123</v>
      </c>
      <c r="B347" s="9" t="s">
        <v>1124</v>
      </c>
      <c r="C347" s="11" t="s">
        <v>4520</v>
      </c>
      <c r="D347" t="s">
        <v>4496</v>
      </c>
      <c r="E347" s="3"/>
      <c r="F347" s="10"/>
      <c r="G347" s="10"/>
      <c r="H347" s="3" t="s">
        <v>1125</v>
      </c>
      <c r="I347" s="160"/>
      <c r="J347" s="165" t="s">
        <v>39</v>
      </c>
      <c r="K347" s="27"/>
      <c r="L347" s="27"/>
      <c r="M347" s="13">
        <v>43598</v>
      </c>
      <c r="N347" s="86">
        <v>1355</v>
      </c>
      <c r="O347" s="28"/>
      <c r="Q347" s="141"/>
      <c r="R347" s="191">
        <v>1355</v>
      </c>
    </row>
    <row r="348" spans="1:18" s="1" customFormat="1" ht="15.75" customHeight="1" x14ac:dyDescent="0.3">
      <c r="A348" s="5" t="s">
        <v>1126</v>
      </c>
      <c r="B348" s="9" t="s">
        <v>1127</v>
      </c>
      <c r="C348" s="3" t="s">
        <v>4520</v>
      </c>
      <c r="D348" t="s">
        <v>4495</v>
      </c>
      <c r="E348"/>
      <c r="F348"/>
      <c r="G348" t="s">
        <v>4623</v>
      </c>
      <c r="H348" s="3" t="s">
        <v>1128</v>
      </c>
      <c r="I348"/>
      <c r="J348" s="165" t="s">
        <v>39</v>
      </c>
      <c r="K348" s="27"/>
      <c r="L348" s="27"/>
      <c r="M348" s="13">
        <v>43600</v>
      </c>
      <c r="N348" s="86">
        <v>20500</v>
      </c>
      <c r="O348" s="28" t="s">
        <v>20</v>
      </c>
      <c r="P348" s="1" t="s">
        <v>66</v>
      </c>
      <c r="Q348" s="141"/>
      <c r="R348" s="191">
        <v>20500</v>
      </c>
    </row>
    <row r="349" spans="1:18" s="22" customFormat="1" ht="15.75" customHeight="1" x14ac:dyDescent="0.3">
      <c r="A349" s="155" t="s">
        <v>1129</v>
      </c>
      <c r="B349" s="53" t="s">
        <v>1129</v>
      </c>
      <c r="C349" s="54" t="s">
        <v>4518</v>
      </c>
      <c r="D349" t="s">
        <v>4500</v>
      </c>
      <c r="E349"/>
      <c r="F349"/>
      <c r="G349"/>
      <c r="H349" s="55" t="s">
        <v>1130</v>
      </c>
      <c r="I349"/>
      <c r="J349" s="169">
        <v>5427</v>
      </c>
      <c r="K349" s="54" t="s">
        <v>546</v>
      </c>
      <c r="L349" s="55" t="s">
        <v>547</v>
      </c>
      <c r="M349" s="61">
        <v>46003</v>
      </c>
      <c r="N349" s="95">
        <v>4998.5</v>
      </c>
      <c r="O349" s="82"/>
      <c r="P349" s="58"/>
      <c r="Q349" s="141"/>
      <c r="R349" s="197" t="s">
        <v>4757</v>
      </c>
    </row>
    <row r="350" spans="1:18" s="1" customFormat="1" ht="15.75" customHeight="1" x14ac:dyDescent="0.3">
      <c r="A350" s="5" t="s">
        <v>1131</v>
      </c>
      <c r="B350" s="9" t="s">
        <v>1132</v>
      </c>
      <c r="C350" s="11" t="s">
        <v>4490</v>
      </c>
      <c r="D350" t="s">
        <v>4494</v>
      </c>
      <c r="E350"/>
      <c r="F350"/>
      <c r="G350" t="s">
        <v>4623</v>
      </c>
      <c r="H350" s="3" t="s">
        <v>1133</v>
      </c>
      <c r="I350"/>
      <c r="J350" s="165" t="s">
        <v>39</v>
      </c>
      <c r="K350" s="27"/>
      <c r="L350" s="27"/>
      <c r="M350" s="13">
        <v>43608</v>
      </c>
      <c r="N350" s="86">
        <v>20500</v>
      </c>
      <c r="O350" s="28" t="s">
        <v>20</v>
      </c>
      <c r="P350" s="1" t="s">
        <v>78</v>
      </c>
      <c r="Q350" s="141"/>
      <c r="R350" s="191">
        <v>20500</v>
      </c>
    </row>
    <row r="351" spans="1:18" s="1" customFormat="1" ht="15.75" customHeight="1" x14ac:dyDescent="0.3">
      <c r="A351" s="5" t="s">
        <v>1134</v>
      </c>
      <c r="B351" s="9" t="s">
        <v>1135</v>
      </c>
      <c r="C351" s="11" t="s">
        <v>4490</v>
      </c>
      <c r="D351" t="s">
        <v>4495</v>
      </c>
      <c r="E351"/>
      <c r="F351">
        <v>10000009826</v>
      </c>
      <c r="G351" t="s">
        <v>4629</v>
      </c>
      <c r="H351" s="3" t="s">
        <v>1136</v>
      </c>
      <c r="I351"/>
      <c r="J351" s="165">
        <v>70507</v>
      </c>
      <c r="K351" s="11" t="s">
        <v>1137</v>
      </c>
      <c r="L351" s="11" t="s">
        <v>1138</v>
      </c>
      <c r="M351" s="13">
        <v>43609</v>
      </c>
      <c r="N351" s="86">
        <v>140000</v>
      </c>
      <c r="O351" s="28" t="s">
        <v>20</v>
      </c>
      <c r="P351" s="1" t="s">
        <v>66</v>
      </c>
      <c r="Q351" s="141"/>
      <c r="R351" s="191">
        <v>140000</v>
      </c>
    </row>
    <row r="352" spans="1:18" s="23" customFormat="1" ht="15.75" hidden="1" customHeight="1" x14ac:dyDescent="0.3">
      <c r="A352" s="10" t="s">
        <v>1139</v>
      </c>
      <c r="B352" s="10" t="s">
        <v>1139</v>
      </c>
      <c r="C352" s="11" t="s">
        <v>4490</v>
      </c>
      <c r="D352" t="s">
        <v>4495</v>
      </c>
      <c r="E352" s="11"/>
      <c r="F352" s="15">
        <v>106503</v>
      </c>
      <c r="G352" s="15"/>
      <c r="H352" s="11" t="s">
        <v>1140</v>
      </c>
      <c r="I352" s="160"/>
      <c r="J352" s="168"/>
      <c r="K352" s="11"/>
      <c r="L352" s="15"/>
      <c r="M352" s="13">
        <v>45870</v>
      </c>
      <c r="N352" s="90"/>
      <c r="O352" s="28" t="s">
        <v>20</v>
      </c>
      <c r="P352" s="23" t="s">
        <v>44</v>
      </c>
      <c r="Q352" s="141"/>
      <c r="R352" s="193"/>
    </row>
    <row r="353" spans="1:18" s="1" customFormat="1" ht="15.75" customHeight="1" x14ac:dyDescent="0.3">
      <c r="A353" s="5" t="s">
        <v>1141</v>
      </c>
      <c r="B353" s="9" t="s">
        <v>1142</v>
      </c>
      <c r="C353" s="11" t="s">
        <v>4490</v>
      </c>
      <c r="D353" t="s">
        <v>4494</v>
      </c>
      <c r="E353"/>
      <c r="F353">
        <v>103846</v>
      </c>
      <c r="G353" t="s">
        <v>4617</v>
      </c>
      <c r="H353" s="3" t="s">
        <v>1143</v>
      </c>
      <c r="I353"/>
      <c r="J353" s="165">
        <v>56704</v>
      </c>
      <c r="K353" s="3" t="s">
        <v>1004</v>
      </c>
      <c r="L353" s="3" t="s">
        <v>1144</v>
      </c>
      <c r="M353" s="13">
        <v>43614</v>
      </c>
      <c r="N353" s="86">
        <v>15000</v>
      </c>
      <c r="O353" s="28"/>
      <c r="Q353" s="141"/>
      <c r="R353" s="191">
        <v>15000</v>
      </c>
    </row>
    <row r="354" spans="1:18" s="1" customFormat="1" ht="15.75" customHeight="1" x14ac:dyDescent="0.3">
      <c r="A354" s="5" t="s">
        <v>1145</v>
      </c>
      <c r="B354" s="9" t="s">
        <v>1146</v>
      </c>
      <c r="C354" s="11" t="s">
        <v>4520</v>
      </c>
      <c r="D354" t="s">
        <v>4492</v>
      </c>
      <c r="E354" s="3"/>
      <c r="F354" s="10"/>
      <c r="G354" s="10"/>
      <c r="H354" s="3" t="s">
        <v>1147</v>
      </c>
      <c r="I354" s="160"/>
      <c r="J354" s="166">
        <v>28836</v>
      </c>
      <c r="K354" s="11" t="s">
        <v>1148</v>
      </c>
      <c r="L354" s="3" t="s">
        <v>588</v>
      </c>
      <c r="M354" s="13">
        <v>43615</v>
      </c>
      <c r="N354" s="86">
        <v>831.87</v>
      </c>
      <c r="O354" s="28"/>
      <c r="Q354" s="141"/>
      <c r="R354" s="191" t="s">
        <v>4758</v>
      </c>
    </row>
    <row r="355" spans="1:18" s="1" customFormat="1" ht="15.75" customHeight="1" x14ac:dyDescent="0.3">
      <c r="A355" s="5" t="s">
        <v>1149</v>
      </c>
      <c r="B355" s="9" t="s">
        <v>1150</v>
      </c>
      <c r="C355" s="11" t="s">
        <v>4520</v>
      </c>
      <c r="D355" t="s">
        <v>4496</v>
      </c>
      <c r="E355" s="3"/>
      <c r="F355" s="10"/>
      <c r="G355" s="10"/>
      <c r="H355" s="3" t="s">
        <v>755</v>
      </c>
      <c r="I355" s="160"/>
      <c r="J355" s="165" t="s">
        <v>39</v>
      </c>
      <c r="K355" s="27"/>
      <c r="L355" s="27"/>
      <c r="M355" s="13">
        <v>43616</v>
      </c>
      <c r="N355" s="86">
        <v>2000</v>
      </c>
      <c r="O355" s="28"/>
      <c r="Q355" s="141"/>
      <c r="R355" s="191">
        <v>2000</v>
      </c>
    </row>
    <row r="356" spans="1:18" s="1" customFormat="1" ht="15.75" customHeight="1" x14ac:dyDescent="0.3">
      <c r="A356" s="5" t="s">
        <v>1151</v>
      </c>
      <c r="B356" s="9" t="s">
        <v>1152</v>
      </c>
      <c r="C356" s="11" t="s">
        <v>4489</v>
      </c>
      <c r="D356" t="s">
        <v>4499</v>
      </c>
      <c r="E356" s="3"/>
      <c r="F356" s="15"/>
      <c r="G356" s="15"/>
      <c r="H356" s="3" t="s">
        <v>1153</v>
      </c>
      <c r="I356" s="160"/>
      <c r="J356" s="165">
        <v>20311</v>
      </c>
      <c r="K356" s="11" t="s">
        <v>1154</v>
      </c>
      <c r="L356" s="11" t="s">
        <v>1155</v>
      </c>
      <c r="M356" s="13">
        <v>43626</v>
      </c>
      <c r="N356" s="86">
        <v>43280</v>
      </c>
      <c r="O356" s="28" t="s">
        <v>20</v>
      </c>
      <c r="Q356" s="141"/>
      <c r="R356" s="191">
        <v>43280</v>
      </c>
    </row>
    <row r="357" spans="1:18" s="1" customFormat="1" ht="15.75" hidden="1" customHeight="1" x14ac:dyDescent="0.3">
      <c r="A357" s="5" t="s">
        <v>1156</v>
      </c>
      <c r="B357" s="9" t="s">
        <v>1157</v>
      </c>
      <c r="C357" s="11" t="s">
        <v>4519</v>
      </c>
      <c r="D357" t="s">
        <v>4493</v>
      </c>
      <c r="E357" s="3"/>
      <c r="F357" s="15"/>
      <c r="G357" s="15"/>
      <c r="H357" s="3" t="s">
        <v>1158</v>
      </c>
      <c r="I357" s="160"/>
      <c r="J357" s="165">
        <v>76649</v>
      </c>
      <c r="K357" s="11" t="s">
        <v>1159</v>
      </c>
      <c r="L357" s="3" t="s">
        <v>1160</v>
      </c>
      <c r="M357" s="13">
        <v>43635</v>
      </c>
      <c r="N357" s="86"/>
      <c r="O357" s="28"/>
      <c r="Q357" s="141"/>
      <c r="R357" s="191"/>
    </row>
    <row r="358" spans="1:18" s="1" customFormat="1" ht="15.75" customHeight="1" x14ac:dyDescent="0.3">
      <c r="A358" s="5" t="s">
        <v>1161</v>
      </c>
      <c r="B358" s="9" t="s">
        <v>1162</v>
      </c>
      <c r="C358" s="11" t="s">
        <v>4490</v>
      </c>
      <c r="D358" t="s">
        <v>4493</v>
      </c>
      <c r="E358"/>
      <c r="F358" t="s">
        <v>1163</v>
      </c>
      <c r="G358" t="s">
        <v>4643</v>
      </c>
      <c r="H358" s="3" t="s">
        <v>1164</v>
      </c>
      <c r="I358"/>
      <c r="J358" s="165">
        <v>5324</v>
      </c>
      <c r="K358" s="11" t="s">
        <v>176</v>
      </c>
      <c r="L358" s="3" t="s">
        <v>1028</v>
      </c>
      <c r="M358" s="13">
        <v>43641</v>
      </c>
      <c r="N358" s="86">
        <v>1100000</v>
      </c>
      <c r="O358" s="28" t="s">
        <v>20</v>
      </c>
      <c r="P358" s="1" t="s">
        <v>44</v>
      </c>
      <c r="Q358" s="141"/>
      <c r="R358" s="191">
        <v>1100000</v>
      </c>
    </row>
    <row r="359" spans="1:18" s="1" customFormat="1" ht="15.75" customHeight="1" x14ac:dyDescent="0.3">
      <c r="A359" s="5" t="s">
        <v>1165</v>
      </c>
      <c r="B359" s="9" t="s">
        <v>1166</v>
      </c>
      <c r="C359" s="11" t="s">
        <v>4519</v>
      </c>
      <c r="D359" t="s">
        <v>4494</v>
      </c>
      <c r="E359" s="3"/>
      <c r="F359" s="15"/>
      <c r="G359" s="15"/>
      <c r="H359" s="3" t="s">
        <v>1167</v>
      </c>
      <c r="I359" s="160"/>
      <c r="J359" s="165">
        <v>402058</v>
      </c>
      <c r="K359" s="11" t="s">
        <v>1168</v>
      </c>
      <c r="L359" s="3" t="s">
        <v>730</v>
      </c>
      <c r="M359" s="13">
        <v>43643</v>
      </c>
      <c r="N359" s="86">
        <v>2295</v>
      </c>
      <c r="O359" s="28" t="s">
        <v>20</v>
      </c>
      <c r="P359" s="1" t="s">
        <v>44</v>
      </c>
      <c r="Q359" s="141"/>
      <c r="R359" s="191">
        <v>2295</v>
      </c>
    </row>
    <row r="360" spans="1:18" s="1" customFormat="1" ht="15.75" customHeight="1" x14ac:dyDescent="0.3">
      <c r="A360" s="5" t="s">
        <v>1169</v>
      </c>
      <c r="B360" s="9" t="s">
        <v>1170</v>
      </c>
      <c r="C360" s="11" t="s">
        <v>4518</v>
      </c>
      <c r="D360" t="s">
        <v>4494</v>
      </c>
      <c r="E360"/>
      <c r="F360"/>
      <c r="G360" t="s">
        <v>4642</v>
      </c>
      <c r="H360" s="3" t="s">
        <v>489</v>
      </c>
      <c r="I360"/>
      <c r="J360" s="165">
        <v>58972</v>
      </c>
      <c r="K360" s="11" t="s">
        <v>683</v>
      </c>
      <c r="L360" s="3" t="s">
        <v>684</v>
      </c>
      <c r="M360" s="13">
        <v>43665</v>
      </c>
      <c r="N360" s="86">
        <v>1215</v>
      </c>
      <c r="O360" s="28"/>
      <c r="Q360" s="141"/>
      <c r="R360" s="191">
        <v>1215</v>
      </c>
    </row>
    <row r="361" spans="1:18" s="1" customFormat="1" ht="15.75" customHeight="1" x14ac:dyDescent="0.3">
      <c r="A361" s="5" t="s">
        <v>1171</v>
      </c>
      <c r="B361" s="9" t="s">
        <v>1172</v>
      </c>
      <c r="C361" s="11" t="s">
        <v>4518</v>
      </c>
      <c r="D361" t="s">
        <v>4494</v>
      </c>
      <c r="E361" s="3"/>
      <c r="F361" s="15"/>
      <c r="G361" s="15"/>
      <c r="H361" s="3" t="s">
        <v>1173</v>
      </c>
      <c r="I361" s="160"/>
      <c r="J361" s="165" t="s">
        <v>39</v>
      </c>
      <c r="K361" s="27"/>
      <c r="L361" s="27"/>
      <c r="M361" s="13">
        <v>43689</v>
      </c>
      <c r="N361" s="86">
        <v>702.9</v>
      </c>
      <c r="O361" s="28" t="s">
        <v>20</v>
      </c>
      <c r="P361" s="1" t="s">
        <v>44</v>
      </c>
      <c r="Q361" s="141"/>
      <c r="R361" s="191" t="s">
        <v>4759</v>
      </c>
    </row>
    <row r="362" spans="1:18" s="1" customFormat="1" ht="15.75" customHeight="1" x14ac:dyDescent="0.3">
      <c r="A362" s="5" t="s">
        <v>1174</v>
      </c>
      <c r="B362" s="9" t="s">
        <v>1175</v>
      </c>
      <c r="C362" s="11" t="s">
        <v>4487</v>
      </c>
      <c r="D362" t="s">
        <v>4495</v>
      </c>
      <c r="E362"/>
      <c r="F362" t="s">
        <v>1176</v>
      </c>
      <c r="G362" t="s">
        <v>4643</v>
      </c>
      <c r="H362" s="3" t="s">
        <v>1177</v>
      </c>
      <c r="I362"/>
      <c r="J362" s="165" t="s">
        <v>39</v>
      </c>
      <c r="K362" s="27"/>
      <c r="L362" s="27"/>
      <c r="M362" s="13">
        <v>43693</v>
      </c>
      <c r="N362" s="86">
        <v>9346</v>
      </c>
      <c r="O362" s="28" t="s">
        <v>20</v>
      </c>
      <c r="Q362" s="141"/>
      <c r="R362" s="191">
        <v>9346</v>
      </c>
    </row>
    <row r="363" spans="1:18" s="1" customFormat="1" ht="15.75" customHeight="1" x14ac:dyDescent="0.3">
      <c r="A363" s="5" t="s">
        <v>1178</v>
      </c>
      <c r="B363" s="9" t="s">
        <v>1179</v>
      </c>
      <c r="C363" s="11" t="s">
        <v>4489</v>
      </c>
      <c r="D363" t="s">
        <v>4495</v>
      </c>
      <c r="E363"/>
      <c r="F363"/>
      <c r="G363" t="s">
        <v>4629</v>
      </c>
      <c r="H363" s="3" t="s">
        <v>1180</v>
      </c>
      <c r="I363"/>
      <c r="J363" s="165">
        <v>25701</v>
      </c>
      <c r="K363" s="11" t="s">
        <v>880</v>
      </c>
      <c r="L363" s="11"/>
      <c r="M363" s="13">
        <v>43705</v>
      </c>
      <c r="N363" s="86">
        <v>2900</v>
      </c>
      <c r="O363" s="28"/>
      <c r="Q363" s="141"/>
      <c r="R363" s="191">
        <v>2900</v>
      </c>
    </row>
    <row r="364" spans="1:18" s="1" customFormat="1" ht="15.75" customHeight="1" x14ac:dyDescent="0.3">
      <c r="A364" s="5" t="s">
        <v>1181</v>
      </c>
      <c r="B364" s="9" t="s">
        <v>1182</v>
      </c>
      <c r="C364" s="11" t="s">
        <v>4490</v>
      </c>
      <c r="D364" t="s">
        <v>4495</v>
      </c>
      <c r="E364"/>
      <c r="F364" t="s">
        <v>1183</v>
      </c>
      <c r="G364" t="s">
        <v>4557</v>
      </c>
      <c r="H364" s="3" t="s">
        <v>1184</v>
      </c>
      <c r="I364"/>
      <c r="J364" s="165">
        <v>32655</v>
      </c>
      <c r="K364" s="11" t="s">
        <v>909</v>
      </c>
      <c r="L364" s="3" t="s">
        <v>654</v>
      </c>
      <c r="M364" s="13">
        <v>43707</v>
      </c>
      <c r="N364" s="86">
        <v>240000</v>
      </c>
      <c r="O364" s="28" t="s">
        <v>20</v>
      </c>
      <c r="P364" s="1" t="s">
        <v>78</v>
      </c>
      <c r="Q364" s="141"/>
      <c r="R364" s="191">
        <v>240000</v>
      </c>
    </row>
    <row r="365" spans="1:18" s="1" customFormat="1" ht="15.75" customHeight="1" x14ac:dyDescent="0.3">
      <c r="A365" s="5" t="s">
        <v>1185</v>
      </c>
      <c r="B365" s="9" t="s">
        <v>1186</v>
      </c>
      <c r="C365" s="11" t="s">
        <v>4518</v>
      </c>
      <c r="D365" t="s">
        <v>4494</v>
      </c>
      <c r="E365"/>
      <c r="F365"/>
      <c r="G365"/>
      <c r="H365" s="3" t="s">
        <v>1187</v>
      </c>
      <c r="I365"/>
      <c r="J365" s="165">
        <v>25952</v>
      </c>
      <c r="K365" s="11" t="s">
        <v>1188</v>
      </c>
      <c r="L365" s="11" t="s">
        <v>1189</v>
      </c>
      <c r="M365" s="13">
        <v>43710</v>
      </c>
      <c r="N365" s="86">
        <v>15500</v>
      </c>
      <c r="O365" s="28" t="s">
        <v>20</v>
      </c>
      <c r="P365" s="1" t="s">
        <v>44</v>
      </c>
      <c r="Q365" s="141"/>
      <c r="R365" s="191">
        <v>15500</v>
      </c>
    </row>
    <row r="366" spans="1:18" s="1" customFormat="1" ht="15.75" customHeight="1" x14ac:dyDescent="0.3">
      <c r="A366" s="5" t="s">
        <v>1190</v>
      </c>
      <c r="B366" s="9" t="s">
        <v>1191</v>
      </c>
      <c r="C366" s="11" t="s">
        <v>4490</v>
      </c>
      <c r="D366" t="s">
        <v>4495</v>
      </c>
      <c r="E366" s="160"/>
      <c r="F366" t="s">
        <v>1192</v>
      </c>
      <c r="G366" t="s">
        <v>4629</v>
      </c>
      <c r="H366" s="3" t="s">
        <v>1193</v>
      </c>
      <c r="I366"/>
      <c r="J366" s="165" t="s">
        <v>39</v>
      </c>
      <c r="K366" s="27"/>
      <c r="L366" s="27"/>
      <c r="M366" s="13">
        <v>43710</v>
      </c>
      <c r="N366" s="86">
        <v>90000</v>
      </c>
      <c r="O366" s="28" t="s">
        <v>20</v>
      </c>
      <c r="P366" s="1" t="s">
        <v>78</v>
      </c>
      <c r="Q366" s="141"/>
      <c r="R366" s="191">
        <v>90000</v>
      </c>
    </row>
    <row r="367" spans="1:18" s="1" customFormat="1" ht="15.75" customHeight="1" x14ac:dyDescent="0.3">
      <c r="A367" s="5" t="s">
        <v>1194</v>
      </c>
      <c r="B367" s="9" t="s">
        <v>1195</v>
      </c>
      <c r="C367" s="11" t="s">
        <v>4490</v>
      </c>
      <c r="D367" t="s">
        <v>4495</v>
      </c>
      <c r="E367"/>
      <c r="F367" t="s">
        <v>1196</v>
      </c>
      <c r="G367" t="s">
        <v>4643</v>
      </c>
      <c r="H367" s="3" t="s">
        <v>1193</v>
      </c>
      <c r="I367"/>
      <c r="J367" s="165" t="s">
        <v>39</v>
      </c>
      <c r="K367" s="27"/>
      <c r="L367" s="27"/>
      <c r="M367" s="13">
        <v>43710</v>
      </c>
      <c r="N367" s="86">
        <v>90000</v>
      </c>
      <c r="O367" s="28" t="s">
        <v>20</v>
      </c>
      <c r="P367" s="1" t="s">
        <v>78</v>
      </c>
      <c r="Q367" s="141"/>
      <c r="R367" s="191">
        <v>90000</v>
      </c>
    </row>
    <row r="368" spans="1:18" s="1" customFormat="1" ht="15.75" customHeight="1" x14ac:dyDescent="0.3">
      <c r="A368" s="5" t="s">
        <v>1197</v>
      </c>
      <c r="B368" s="9" t="s">
        <v>1198</v>
      </c>
      <c r="C368" s="11" t="s">
        <v>4489</v>
      </c>
      <c r="D368" t="s">
        <v>4495</v>
      </c>
      <c r="E368"/>
      <c r="F368"/>
      <c r="G368" t="s">
        <v>4557</v>
      </c>
      <c r="H368" s="3" t="s">
        <v>1199</v>
      </c>
      <c r="I368" t="s">
        <v>4538</v>
      </c>
      <c r="J368" s="165" t="s">
        <v>39</v>
      </c>
      <c r="K368" s="27"/>
      <c r="L368" s="27"/>
      <c r="M368" s="13">
        <v>43710</v>
      </c>
      <c r="N368" s="86">
        <v>21000</v>
      </c>
      <c r="O368" s="28"/>
      <c r="P368" s="1" t="s">
        <v>66</v>
      </c>
      <c r="Q368" s="141"/>
      <c r="R368" s="191">
        <v>21000</v>
      </c>
    </row>
    <row r="369" spans="1:18" s="1" customFormat="1" ht="15.75" customHeight="1" x14ac:dyDescent="0.3">
      <c r="A369" s="5" t="s">
        <v>1200</v>
      </c>
      <c r="B369" s="9" t="s">
        <v>1201</v>
      </c>
      <c r="C369" s="11" t="s">
        <v>4520</v>
      </c>
      <c r="D369" t="s">
        <v>4496</v>
      </c>
      <c r="E369" s="3"/>
      <c r="F369" s="10"/>
      <c r="G369" s="10"/>
      <c r="H369" s="3" t="s">
        <v>536</v>
      </c>
      <c r="I369" s="160"/>
      <c r="J369" s="165" t="s">
        <v>39</v>
      </c>
      <c r="K369" s="27"/>
      <c r="L369" s="27"/>
      <c r="M369" s="13">
        <v>43716</v>
      </c>
      <c r="N369" s="86">
        <v>1115</v>
      </c>
      <c r="O369" s="28"/>
      <c r="Q369" s="141"/>
      <c r="R369" s="191">
        <v>1115</v>
      </c>
    </row>
    <row r="370" spans="1:18" s="1" customFormat="1" ht="15.75" customHeight="1" x14ac:dyDescent="0.3">
      <c r="A370" s="5" t="s">
        <v>1202</v>
      </c>
      <c r="B370" s="9" t="s">
        <v>1203</v>
      </c>
      <c r="C370" s="11" t="s">
        <v>4490</v>
      </c>
      <c r="D370" t="s">
        <v>4494</v>
      </c>
      <c r="E370"/>
      <c r="F370" t="s">
        <v>1204</v>
      </c>
      <c r="G370" t="s">
        <v>4675</v>
      </c>
      <c r="H370" s="3" t="s">
        <v>1205</v>
      </c>
      <c r="I370" t="s">
        <v>4539</v>
      </c>
      <c r="J370" s="165">
        <v>6461</v>
      </c>
      <c r="K370" s="11" t="s">
        <v>1206</v>
      </c>
      <c r="L370" s="11"/>
      <c r="M370" s="13">
        <v>43726</v>
      </c>
      <c r="N370" s="86">
        <v>252500</v>
      </c>
      <c r="O370" s="28"/>
      <c r="Q370" s="141"/>
      <c r="R370" s="191">
        <v>252500</v>
      </c>
    </row>
    <row r="371" spans="1:18" s="1" customFormat="1" ht="15.75" customHeight="1" x14ac:dyDescent="0.3">
      <c r="A371" s="5" t="s">
        <v>1207</v>
      </c>
      <c r="B371" s="9" t="s">
        <v>1208</v>
      </c>
      <c r="C371" s="11" t="s">
        <v>4520</v>
      </c>
      <c r="D371" t="s">
        <v>4496</v>
      </c>
      <c r="E371" s="3"/>
      <c r="F371" s="10"/>
      <c r="G371" s="10"/>
      <c r="H371" s="3" t="s">
        <v>1209</v>
      </c>
      <c r="I371" s="160"/>
      <c r="J371" s="165" t="s">
        <v>39</v>
      </c>
      <c r="K371" s="27"/>
      <c r="L371" s="27"/>
      <c r="M371" s="13">
        <v>43735</v>
      </c>
      <c r="N371" s="86">
        <v>500</v>
      </c>
      <c r="O371" s="28"/>
      <c r="Q371" s="141"/>
      <c r="R371" s="191">
        <v>500</v>
      </c>
    </row>
    <row r="372" spans="1:18" s="1" customFormat="1" ht="15.75" customHeight="1" x14ac:dyDescent="0.3">
      <c r="A372" s="5" t="s">
        <v>1210</v>
      </c>
      <c r="B372" s="9" t="s">
        <v>1211</v>
      </c>
      <c r="C372" s="11" t="s">
        <v>4518</v>
      </c>
      <c r="D372" t="s">
        <v>4494</v>
      </c>
      <c r="E372" s="3"/>
      <c r="F372" s="15"/>
      <c r="G372" s="15"/>
      <c r="H372" s="3" t="s">
        <v>1212</v>
      </c>
      <c r="I372" s="160"/>
      <c r="J372" s="165">
        <v>1122</v>
      </c>
      <c r="K372" s="11" t="s">
        <v>852</v>
      </c>
      <c r="L372" s="11" t="s">
        <v>848</v>
      </c>
      <c r="M372" s="13">
        <v>43738</v>
      </c>
      <c r="N372" s="86">
        <v>9800</v>
      </c>
      <c r="O372" s="28" t="s">
        <v>20</v>
      </c>
      <c r="P372" s="1" t="s">
        <v>44</v>
      </c>
      <c r="Q372" s="141"/>
      <c r="R372" s="191">
        <v>9800</v>
      </c>
    </row>
    <row r="373" spans="1:18" s="1" customFormat="1" ht="15.75" customHeight="1" x14ac:dyDescent="0.3">
      <c r="A373" s="5" t="s">
        <v>1213</v>
      </c>
      <c r="B373" s="9" t="s">
        <v>1214</v>
      </c>
      <c r="C373" s="11" t="s">
        <v>4519</v>
      </c>
      <c r="D373" t="s">
        <v>4495</v>
      </c>
      <c r="E373" s="3"/>
      <c r="F373" s="15"/>
      <c r="G373" s="15"/>
      <c r="H373" s="3" t="s">
        <v>474</v>
      </c>
      <c r="I373" s="160"/>
      <c r="J373" s="165" t="s">
        <v>39</v>
      </c>
      <c r="K373" s="27"/>
      <c r="L373" s="27"/>
      <c r="M373" s="13">
        <v>43738</v>
      </c>
      <c r="N373" s="86">
        <v>1225</v>
      </c>
      <c r="O373" s="28" t="s">
        <v>20</v>
      </c>
      <c r="Q373" s="141"/>
      <c r="R373" s="191">
        <v>1225</v>
      </c>
    </row>
    <row r="374" spans="1:18" s="1" customFormat="1" ht="15.75" customHeight="1" x14ac:dyDescent="0.3">
      <c r="A374" s="5" t="s">
        <v>1215</v>
      </c>
      <c r="B374" s="9" t="s">
        <v>1216</v>
      </c>
      <c r="C374" s="11" t="s">
        <v>4519</v>
      </c>
      <c r="D374" t="s">
        <v>4495</v>
      </c>
      <c r="E374" s="3"/>
      <c r="F374" s="15"/>
      <c r="G374" s="15"/>
      <c r="H374" s="3" t="s">
        <v>474</v>
      </c>
      <c r="I374" s="160"/>
      <c r="J374" s="165" t="s">
        <v>39</v>
      </c>
      <c r="K374" s="27"/>
      <c r="L374" s="27"/>
      <c r="M374" s="13">
        <v>43738</v>
      </c>
      <c r="N374" s="86">
        <v>1225</v>
      </c>
      <c r="O374" s="28"/>
      <c r="Q374" s="141"/>
      <c r="R374" s="191">
        <v>1225</v>
      </c>
    </row>
    <row r="375" spans="1:18" s="1" customFormat="1" ht="15.75" customHeight="1" x14ac:dyDescent="0.3">
      <c r="A375" s="5" t="s">
        <v>1217</v>
      </c>
      <c r="B375" s="9" t="s">
        <v>1218</v>
      </c>
      <c r="C375" s="11" t="s">
        <v>4519</v>
      </c>
      <c r="D375" t="s">
        <v>4495</v>
      </c>
      <c r="E375" s="3"/>
      <c r="F375" s="15"/>
      <c r="G375" s="15"/>
      <c r="H375" s="3" t="s">
        <v>474</v>
      </c>
      <c r="I375" s="160"/>
      <c r="J375" s="165" t="s">
        <v>39</v>
      </c>
      <c r="K375" s="27"/>
      <c r="L375" s="27"/>
      <c r="M375" s="13">
        <v>43738</v>
      </c>
      <c r="N375" s="86">
        <v>1225</v>
      </c>
      <c r="O375" s="28"/>
      <c r="Q375" s="141"/>
      <c r="R375" s="191">
        <v>1225</v>
      </c>
    </row>
    <row r="376" spans="1:18" s="1" customFormat="1" ht="15.75" customHeight="1" x14ac:dyDescent="0.3">
      <c r="A376" s="5" t="s">
        <v>1219</v>
      </c>
      <c r="B376" s="9" t="s">
        <v>1220</v>
      </c>
      <c r="C376" s="11" t="s">
        <v>4490</v>
      </c>
      <c r="D376" t="s">
        <v>4495</v>
      </c>
      <c r="E376"/>
      <c r="F376" t="s">
        <v>1221</v>
      </c>
      <c r="G376" t="s">
        <v>4643</v>
      </c>
      <c r="H376" s="3" t="s">
        <v>601</v>
      </c>
      <c r="I376"/>
      <c r="J376" s="165">
        <v>2210</v>
      </c>
      <c r="K376" s="11" t="s">
        <v>944</v>
      </c>
      <c r="L376" s="11"/>
      <c r="M376" s="13">
        <v>43739</v>
      </c>
      <c r="N376" s="86">
        <v>94500</v>
      </c>
      <c r="O376" s="28" t="s">
        <v>20</v>
      </c>
      <c r="P376" s="1" t="s">
        <v>78</v>
      </c>
      <c r="Q376" s="141"/>
      <c r="R376" s="191">
        <v>94500</v>
      </c>
    </row>
    <row r="377" spans="1:18" s="1" customFormat="1" ht="15.75" customHeight="1" x14ac:dyDescent="0.3">
      <c r="A377" s="5" t="s">
        <v>1222</v>
      </c>
      <c r="B377" s="9" t="s">
        <v>1223</v>
      </c>
      <c r="C377" s="11" t="s">
        <v>4489</v>
      </c>
      <c r="D377" t="s">
        <v>4495</v>
      </c>
      <c r="E377"/>
      <c r="F377"/>
      <c r="G377" t="s">
        <v>4685</v>
      </c>
      <c r="H377" s="3" t="s">
        <v>1224</v>
      </c>
      <c r="I377"/>
      <c r="J377" s="165">
        <v>201900302</v>
      </c>
      <c r="K377" s="11" t="s">
        <v>19</v>
      </c>
      <c r="L377" s="11"/>
      <c r="M377" s="13">
        <v>43742</v>
      </c>
      <c r="N377" s="86">
        <v>4800</v>
      </c>
      <c r="O377" s="28" t="s">
        <v>20</v>
      </c>
      <c r="P377" s="1" t="s">
        <v>66</v>
      </c>
      <c r="Q377" s="141"/>
      <c r="R377" s="191">
        <v>4800</v>
      </c>
    </row>
    <row r="378" spans="1:18" s="1" customFormat="1" ht="15.75" customHeight="1" x14ac:dyDescent="0.3">
      <c r="A378" s="5" t="s">
        <v>1225</v>
      </c>
      <c r="B378" s="9" t="s">
        <v>1226</v>
      </c>
      <c r="C378" s="11" t="s">
        <v>4490</v>
      </c>
      <c r="D378" t="s">
        <v>4495</v>
      </c>
      <c r="E378" s="160"/>
      <c r="F378" t="s">
        <v>1227</v>
      </c>
      <c r="G378" t="s">
        <v>4642</v>
      </c>
      <c r="H378" s="3" t="s">
        <v>1228</v>
      </c>
      <c r="I378"/>
      <c r="J378" s="165">
        <v>10459</v>
      </c>
      <c r="K378" s="11" t="s">
        <v>956</v>
      </c>
      <c r="L378" s="11"/>
      <c r="M378" s="13">
        <v>43747</v>
      </c>
      <c r="N378" s="86">
        <v>130000</v>
      </c>
      <c r="O378" s="28" t="s">
        <v>20</v>
      </c>
      <c r="P378" s="1" t="s">
        <v>91</v>
      </c>
      <c r="Q378" s="141"/>
      <c r="R378" s="191">
        <v>130000</v>
      </c>
    </row>
    <row r="379" spans="1:18" s="1" customFormat="1" ht="15.75" customHeight="1" x14ac:dyDescent="0.3">
      <c r="A379" s="5" t="s">
        <v>1229</v>
      </c>
      <c r="B379" s="9" t="s">
        <v>1230</v>
      </c>
      <c r="C379" s="11" t="s">
        <v>4490</v>
      </c>
      <c r="D379" t="s">
        <v>4495</v>
      </c>
      <c r="E379"/>
      <c r="F379"/>
      <c r="G379" t="s">
        <v>4675</v>
      </c>
      <c r="H379" s="3" t="s">
        <v>1231</v>
      </c>
      <c r="I379"/>
      <c r="J379" s="165">
        <v>52807</v>
      </c>
      <c r="K379" s="11" t="s">
        <v>1232</v>
      </c>
      <c r="L379" s="11"/>
      <c r="M379" s="13">
        <v>43754</v>
      </c>
      <c r="N379" s="86">
        <v>10800</v>
      </c>
      <c r="O379" s="28" t="s">
        <v>20</v>
      </c>
      <c r="P379" s="1" t="s">
        <v>66</v>
      </c>
      <c r="Q379" s="141"/>
      <c r="R379" s="191">
        <v>10800</v>
      </c>
    </row>
    <row r="380" spans="1:18" s="1" customFormat="1" ht="15.75" customHeight="1" x14ac:dyDescent="0.3">
      <c r="A380" s="5" t="s">
        <v>1233</v>
      </c>
      <c r="B380" s="9" t="s">
        <v>1234</v>
      </c>
      <c r="C380" s="11" t="s">
        <v>4490</v>
      </c>
      <c r="D380" t="s">
        <v>4494</v>
      </c>
      <c r="E380"/>
      <c r="F380">
        <v>86699</v>
      </c>
      <c r="G380" t="s">
        <v>4675</v>
      </c>
      <c r="H380" s="3" t="s">
        <v>1231</v>
      </c>
      <c r="I380"/>
      <c r="J380" s="165">
        <v>52963</v>
      </c>
      <c r="K380" s="11" t="s">
        <v>1232</v>
      </c>
      <c r="L380" s="11"/>
      <c r="M380" s="13">
        <v>43763</v>
      </c>
      <c r="N380" s="86">
        <v>10800</v>
      </c>
      <c r="O380" s="28" t="s">
        <v>20</v>
      </c>
      <c r="P380" s="1" t="s">
        <v>44</v>
      </c>
      <c r="Q380" s="141"/>
      <c r="R380" s="191">
        <v>10800</v>
      </c>
    </row>
    <row r="381" spans="1:18" s="1" customFormat="1" ht="15.75" customHeight="1" x14ac:dyDescent="0.3">
      <c r="A381" s="5" t="s">
        <v>1235</v>
      </c>
      <c r="B381" s="9" t="s">
        <v>1236</v>
      </c>
      <c r="C381" s="11" t="s">
        <v>4490</v>
      </c>
      <c r="D381" t="s">
        <v>4495</v>
      </c>
      <c r="E381"/>
      <c r="F381" t="s">
        <v>1237</v>
      </c>
      <c r="G381" t="s">
        <v>4629</v>
      </c>
      <c r="H381" s="3" t="s">
        <v>1238</v>
      </c>
      <c r="I381"/>
      <c r="J381" s="166">
        <v>440747</v>
      </c>
      <c r="K381" s="3" t="s">
        <v>1239</v>
      </c>
      <c r="L381" s="3" t="s">
        <v>1240</v>
      </c>
      <c r="M381" s="13">
        <v>43768</v>
      </c>
      <c r="N381" s="86">
        <v>21000</v>
      </c>
      <c r="O381" s="28" t="s">
        <v>20</v>
      </c>
      <c r="Q381" s="141"/>
      <c r="R381" s="191">
        <v>21000</v>
      </c>
    </row>
    <row r="382" spans="1:18" s="1" customFormat="1" ht="15.75" customHeight="1" x14ac:dyDescent="0.3">
      <c r="A382" s="5" t="s">
        <v>1241</v>
      </c>
      <c r="B382" s="9" t="s">
        <v>1242</v>
      </c>
      <c r="C382" s="11" t="s">
        <v>4489</v>
      </c>
      <c r="D382" t="s">
        <v>4494</v>
      </c>
      <c r="E382"/>
      <c r="F382"/>
      <c r="G382" t="s">
        <v>4629</v>
      </c>
      <c r="H382" s="3" t="s">
        <v>1243</v>
      </c>
      <c r="I382"/>
      <c r="J382" s="166">
        <v>87991</v>
      </c>
      <c r="K382" s="3" t="s">
        <v>664</v>
      </c>
      <c r="L382" s="3" t="s">
        <v>1244</v>
      </c>
      <c r="M382" s="13">
        <v>43770</v>
      </c>
      <c r="N382" s="86">
        <v>2035</v>
      </c>
      <c r="O382" s="28"/>
      <c r="Q382" s="141"/>
      <c r="R382" s="191">
        <v>2035</v>
      </c>
    </row>
    <row r="383" spans="1:18" s="1" customFormat="1" ht="15.75" customHeight="1" x14ac:dyDescent="0.3">
      <c r="A383" s="5" t="s">
        <v>1245</v>
      </c>
      <c r="B383" s="9" t="s">
        <v>1246</v>
      </c>
      <c r="C383" s="3" t="s">
        <v>4520</v>
      </c>
      <c r="D383" t="s">
        <v>4495</v>
      </c>
      <c r="E383" s="3"/>
      <c r="F383" s="10"/>
      <c r="G383" s="10"/>
      <c r="H383" s="3" t="s">
        <v>1247</v>
      </c>
      <c r="I383" s="160"/>
      <c r="J383" s="165" t="s">
        <v>39</v>
      </c>
      <c r="K383" s="27"/>
      <c r="L383" s="27"/>
      <c r="M383" s="13">
        <v>43773</v>
      </c>
      <c r="N383" s="86">
        <v>1313</v>
      </c>
      <c r="O383" s="28"/>
      <c r="Q383" s="141"/>
      <c r="R383" s="191">
        <v>1313</v>
      </c>
    </row>
    <row r="384" spans="1:18" s="1" customFormat="1" ht="15.75" customHeight="1" x14ac:dyDescent="0.3">
      <c r="A384" s="5" t="s">
        <v>1248</v>
      </c>
      <c r="B384" s="9" t="s">
        <v>1249</v>
      </c>
      <c r="C384" s="11" t="s">
        <v>4489</v>
      </c>
      <c r="D384" t="s">
        <v>4494</v>
      </c>
      <c r="E384" s="3"/>
      <c r="F384" s="15"/>
      <c r="G384" s="15"/>
      <c r="H384" s="3" t="s">
        <v>1250</v>
      </c>
      <c r="I384" s="160"/>
      <c r="J384" s="165">
        <v>39280</v>
      </c>
      <c r="K384" s="11" t="s">
        <v>550</v>
      </c>
      <c r="L384" s="11"/>
      <c r="M384" s="13">
        <v>43774</v>
      </c>
      <c r="N384" s="86">
        <v>2020</v>
      </c>
      <c r="O384" s="28"/>
      <c r="Q384" s="141"/>
      <c r="R384" s="191">
        <v>2020</v>
      </c>
    </row>
    <row r="385" spans="1:18" s="1" customFormat="1" ht="15.75" customHeight="1" x14ac:dyDescent="0.3">
      <c r="A385" s="5" t="s">
        <v>1251</v>
      </c>
      <c r="B385" s="9" t="s">
        <v>1252</v>
      </c>
      <c r="C385" s="11" t="s">
        <v>4519</v>
      </c>
      <c r="D385" t="s">
        <v>4493</v>
      </c>
      <c r="E385" s="3"/>
      <c r="F385" s="15"/>
      <c r="G385" s="15"/>
      <c r="H385" s="3" t="s">
        <v>1253</v>
      </c>
      <c r="I385" s="160"/>
      <c r="J385" s="165" t="s">
        <v>39</v>
      </c>
      <c r="K385" s="27"/>
      <c r="L385" s="27"/>
      <c r="M385" s="13">
        <v>43789</v>
      </c>
      <c r="N385" s="86">
        <v>15000</v>
      </c>
      <c r="O385" s="28"/>
      <c r="Q385" s="141"/>
      <c r="R385" s="191">
        <v>15000</v>
      </c>
    </row>
    <row r="386" spans="1:18" s="1" customFormat="1" ht="15.75" customHeight="1" x14ac:dyDescent="0.3">
      <c r="A386" s="5" t="s">
        <v>1254</v>
      </c>
      <c r="B386" s="9" t="s">
        <v>1255</v>
      </c>
      <c r="C386" s="11" t="s">
        <v>4519</v>
      </c>
      <c r="D386" t="s">
        <v>4493</v>
      </c>
      <c r="E386" s="3"/>
      <c r="F386" s="15"/>
      <c r="G386" s="15"/>
      <c r="H386" s="3" t="s">
        <v>1256</v>
      </c>
      <c r="I386" s="160"/>
      <c r="J386" s="165" t="s">
        <v>39</v>
      </c>
      <c r="K386" s="27"/>
      <c r="L386" s="27"/>
      <c r="M386" s="13">
        <v>43789</v>
      </c>
      <c r="N386" s="86">
        <v>15000</v>
      </c>
      <c r="O386" s="28"/>
      <c r="Q386" s="141"/>
      <c r="R386" s="191">
        <v>15000</v>
      </c>
    </row>
    <row r="387" spans="1:18" s="1" customFormat="1" ht="15.75" customHeight="1" x14ac:dyDescent="0.3">
      <c r="A387" s="5" t="s">
        <v>1257</v>
      </c>
      <c r="B387" s="9" t="s">
        <v>1258</v>
      </c>
      <c r="C387" s="11" t="s">
        <v>4487</v>
      </c>
      <c r="D387" t="s">
        <v>4494</v>
      </c>
      <c r="E387" t="s">
        <v>1259</v>
      </c>
      <c r="F387" t="s">
        <v>1260</v>
      </c>
      <c r="G387" t="s">
        <v>4623</v>
      </c>
      <c r="H387" s="3" t="s">
        <v>1261</v>
      </c>
      <c r="I387" s="160"/>
      <c r="J387" s="166">
        <v>1409378</v>
      </c>
      <c r="K387" s="11" t="s">
        <v>1262</v>
      </c>
      <c r="L387" s="11"/>
      <c r="M387" s="13">
        <v>43790</v>
      </c>
      <c r="N387" s="86">
        <v>177000</v>
      </c>
      <c r="O387" s="28" t="s">
        <v>20</v>
      </c>
      <c r="P387" s="1" t="s">
        <v>44</v>
      </c>
      <c r="Q387" s="141"/>
      <c r="R387" s="191">
        <v>177000</v>
      </c>
    </row>
    <row r="388" spans="1:18" s="1" customFormat="1" ht="15.75" customHeight="1" x14ac:dyDescent="0.3">
      <c r="A388" s="5" t="s">
        <v>1263</v>
      </c>
      <c r="B388" s="9" t="s">
        <v>1264</v>
      </c>
      <c r="C388" s="11" t="s">
        <v>4490</v>
      </c>
      <c r="D388" t="s">
        <v>4495</v>
      </c>
      <c r="E388"/>
      <c r="F388" t="s">
        <v>1265</v>
      </c>
      <c r="G388" t="s">
        <v>4629</v>
      </c>
      <c r="H388" s="3" t="s">
        <v>1266</v>
      </c>
      <c r="I388"/>
      <c r="J388" s="165">
        <v>38</v>
      </c>
      <c r="K388" s="11" t="s">
        <v>1267</v>
      </c>
      <c r="L388" s="11"/>
      <c r="M388" s="13">
        <v>43795</v>
      </c>
      <c r="N388" s="86">
        <v>77000</v>
      </c>
      <c r="O388" s="28" t="s">
        <v>20</v>
      </c>
      <c r="P388" s="1" t="s">
        <v>44</v>
      </c>
      <c r="Q388" s="141"/>
      <c r="R388" s="191">
        <v>77000</v>
      </c>
    </row>
    <row r="389" spans="1:18" s="1" customFormat="1" ht="15.75" customHeight="1" x14ac:dyDescent="0.3">
      <c r="A389" s="5" t="s">
        <v>1268</v>
      </c>
      <c r="B389" s="9" t="s">
        <v>1269</v>
      </c>
      <c r="C389" s="11" t="s">
        <v>4489</v>
      </c>
      <c r="D389" t="s">
        <v>4495</v>
      </c>
      <c r="E389"/>
      <c r="F389"/>
      <c r="G389" t="s">
        <v>4629</v>
      </c>
      <c r="H389" s="3" t="s">
        <v>1270</v>
      </c>
      <c r="I389"/>
      <c r="J389" s="165">
        <v>88558</v>
      </c>
      <c r="K389" s="11" t="s">
        <v>664</v>
      </c>
      <c r="L389" s="11"/>
      <c r="M389" s="13">
        <v>43797</v>
      </c>
      <c r="N389" s="86">
        <v>2035</v>
      </c>
      <c r="O389" s="28" t="s">
        <v>20</v>
      </c>
      <c r="P389" s="1" t="s">
        <v>91</v>
      </c>
      <c r="Q389" s="141"/>
      <c r="R389" s="191">
        <v>2035</v>
      </c>
    </row>
    <row r="390" spans="1:18" s="1" customFormat="1" ht="15.75" customHeight="1" x14ac:dyDescent="0.3">
      <c r="A390" s="5" t="s">
        <v>1271</v>
      </c>
      <c r="B390" s="9" t="s">
        <v>1272</v>
      </c>
      <c r="C390" s="11" t="s">
        <v>4490</v>
      </c>
      <c r="D390" t="s">
        <v>4493</v>
      </c>
      <c r="E390"/>
      <c r="F390" t="s">
        <v>1273</v>
      </c>
      <c r="G390" t="s">
        <v>4616</v>
      </c>
      <c r="H390" s="3" t="s">
        <v>1274</v>
      </c>
      <c r="I390"/>
      <c r="J390" s="165">
        <v>2089</v>
      </c>
      <c r="K390" s="11" t="s">
        <v>1275</v>
      </c>
      <c r="L390" s="11"/>
      <c r="M390" s="13">
        <v>43802</v>
      </c>
      <c r="N390" s="86">
        <v>37000</v>
      </c>
      <c r="O390" s="28" t="s">
        <v>20</v>
      </c>
      <c r="P390" s="1" t="s">
        <v>66</v>
      </c>
      <c r="Q390" s="141"/>
      <c r="R390" s="191">
        <v>37000</v>
      </c>
    </row>
    <row r="391" spans="1:18" s="1" customFormat="1" ht="15.75" hidden="1" customHeight="1" x14ac:dyDescent="0.3">
      <c r="A391" s="5" t="s">
        <v>1276</v>
      </c>
      <c r="B391" s="9" t="s">
        <v>1277</v>
      </c>
      <c r="C391" s="11" t="s">
        <v>4519</v>
      </c>
      <c r="D391" t="s">
        <v>4494</v>
      </c>
      <c r="E391" s="3"/>
      <c r="F391" s="15"/>
      <c r="G391" s="15"/>
      <c r="H391" s="3" t="s">
        <v>1278</v>
      </c>
      <c r="I391" s="160"/>
      <c r="J391" s="165" t="s">
        <v>39</v>
      </c>
      <c r="K391" s="27"/>
      <c r="L391" s="27"/>
      <c r="M391" s="13">
        <v>43802</v>
      </c>
      <c r="N391" s="86"/>
      <c r="O391" s="28"/>
      <c r="Q391" s="141"/>
      <c r="R391" s="191"/>
    </row>
    <row r="392" spans="1:18" s="1" customFormat="1" ht="15.75" hidden="1" customHeight="1" x14ac:dyDescent="0.3">
      <c r="A392" s="5" t="s">
        <v>1279</v>
      </c>
      <c r="B392" s="9" t="s">
        <v>1280</v>
      </c>
      <c r="C392" s="11" t="s">
        <v>4519</v>
      </c>
      <c r="D392" t="s">
        <v>4495</v>
      </c>
      <c r="E392" s="3"/>
      <c r="F392" s="15"/>
      <c r="G392" s="15"/>
      <c r="H392" s="3" t="s">
        <v>1281</v>
      </c>
      <c r="I392" s="160"/>
      <c r="J392" s="165" t="s">
        <v>39</v>
      </c>
      <c r="K392" s="27"/>
      <c r="L392" s="27"/>
      <c r="M392" s="13">
        <v>43802</v>
      </c>
      <c r="N392" s="92"/>
      <c r="O392" s="28" t="s">
        <v>20</v>
      </c>
      <c r="Q392" s="141"/>
      <c r="R392" s="186"/>
    </row>
    <row r="393" spans="1:18" s="1" customFormat="1" ht="15.75" customHeight="1" x14ac:dyDescent="0.3">
      <c r="A393" s="5" t="s">
        <v>1282</v>
      </c>
      <c r="B393" s="9" t="s">
        <v>1283</v>
      </c>
      <c r="C393" s="11" t="s">
        <v>4522</v>
      </c>
      <c r="D393" t="s">
        <v>4501</v>
      </c>
      <c r="E393" s="3"/>
      <c r="F393" s="15"/>
      <c r="G393" s="15"/>
      <c r="H393" s="3" t="s">
        <v>1284</v>
      </c>
      <c r="I393" s="160"/>
      <c r="J393" s="165" t="s">
        <v>39</v>
      </c>
      <c r="K393" s="27"/>
      <c r="L393" s="27"/>
      <c r="M393" s="13">
        <v>43803</v>
      </c>
      <c r="N393" s="86">
        <v>38628.76</v>
      </c>
      <c r="O393" s="28"/>
      <c r="Q393" s="141"/>
      <c r="R393" s="191" t="s">
        <v>4760</v>
      </c>
    </row>
    <row r="394" spans="1:18" s="1" customFormat="1" ht="15.75" customHeight="1" x14ac:dyDescent="0.3">
      <c r="A394" s="5" t="s">
        <v>1285</v>
      </c>
      <c r="B394" s="9" t="s">
        <v>1286</v>
      </c>
      <c r="C394" s="11" t="s">
        <v>4489</v>
      </c>
      <c r="D394" t="s">
        <v>4494</v>
      </c>
      <c r="E394" s="3"/>
      <c r="F394" s="15"/>
      <c r="G394" s="15"/>
      <c r="H394" s="3" t="s">
        <v>1287</v>
      </c>
      <c r="I394" s="160"/>
      <c r="J394" s="165">
        <v>42544</v>
      </c>
      <c r="K394" s="11" t="s">
        <v>19</v>
      </c>
      <c r="L394" s="11"/>
      <c r="M394" s="13">
        <v>43803</v>
      </c>
      <c r="N394" s="86">
        <v>4800</v>
      </c>
      <c r="O394" s="28"/>
      <c r="Q394" s="141"/>
      <c r="R394" s="191">
        <v>4800</v>
      </c>
    </row>
    <row r="395" spans="1:18" s="1" customFormat="1" ht="15.75" customHeight="1" x14ac:dyDescent="0.3">
      <c r="A395" s="5" t="s">
        <v>1288</v>
      </c>
      <c r="B395" s="9" t="s">
        <v>1289</v>
      </c>
      <c r="C395" s="11" t="s">
        <v>4489</v>
      </c>
      <c r="D395" t="s">
        <v>4494</v>
      </c>
      <c r="E395" s="3"/>
      <c r="F395" s="15"/>
      <c r="G395" s="15"/>
      <c r="H395" s="3" t="s">
        <v>1290</v>
      </c>
      <c r="I395" s="160"/>
      <c r="J395" s="165" t="s">
        <v>39</v>
      </c>
      <c r="K395" s="27"/>
      <c r="L395" s="27"/>
      <c r="M395" s="13">
        <v>43803</v>
      </c>
      <c r="N395" s="86">
        <v>19994.939999999999</v>
      </c>
      <c r="O395" s="28"/>
      <c r="Q395" s="141"/>
      <c r="R395" s="191" t="s">
        <v>4761</v>
      </c>
    </row>
    <row r="396" spans="1:18" s="1" customFormat="1" ht="15.75" customHeight="1" x14ac:dyDescent="0.3">
      <c r="A396" s="5" t="s">
        <v>1291</v>
      </c>
      <c r="B396" s="9" t="s">
        <v>1292</v>
      </c>
      <c r="C396" s="11" t="s">
        <v>4518</v>
      </c>
      <c r="D396" t="s">
        <v>4493</v>
      </c>
      <c r="E396" s="3"/>
      <c r="F396" s="15"/>
      <c r="G396" s="15"/>
      <c r="H396" s="3" t="s">
        <v>1293</v>
      </c>
      <c r="I396" s="160"/>
      <c r="J396" s="165" t="s">
        <v>39</v>
      </c>
      <c r="K396" s="27"/>
      <c r="L396" s="27"/>
      <c r="M396" s="13">
        <v>43803</v>
      </c>
      <c r="N396" s="86">
        <v>18318.88</v>
      </c>
      <c r="O396" s="28"/>
      <c r="Q396" s="141"/>
      <c r="R396" s="191" t="s">
        <v>4762</v>
      </c>
    </row>
    <row r="397" spans="1:18" s="1" customFormat="1" ht="15.75" customHeight="1" x14ac:dyDescent="0.3">
      <c r="A397" s="5" t="s">
        <v>1294</v>
      </c>
      <c r="B397" s="9" t="s">
        <v>1295</v>
      </c>
      <c r="C397" s="11" t="s">
        <v>4519</v>
      </c>
      <c r="D397" t="s">
        <v>4493</v>
      </c>
      <c r="E397" s="3"/>
      <c r="F397" s="15"/>
      <c r="G397" s="15"/>
      <c r="H397" s="3" t="s">
        <v>1296</v>
      </c>
      <c r="I397"/>
      <c r="J397" s="165">
        <v>20190005</v>
      </c>
      <c r="K397" s="11" t="s">
        <v>19</v>
      </c>
      <c r="L397" s="11"/>
      <c r="M397" s="13">
        <v>43803</v>
      </c>
      <c r="N397" s="86">
        <v>13500</v>
      </c>
      <c r="O397" s="28"/>
      <c r="Q397" s="141"/>
      <c r="R397" s="191">
        <v>13500</v>
      </c>
    </row>
    <row r="398" spans="1:18" s="1" customFormat="1" ht="15.75" customHeight="1" x14ac:dyDescent="0.3">
      <c r="A398" s="5" t="s">
        <v>1297</v>
      </c>
      <c r="B398" s="9" t="s">
        <v>1298</v>
      </c>
      <c r="C398" s="11" t="s">
        <v>4520</v>
      </c>
      <c r="D398" t="s">
        <v>4495</v>
      </c>
      <c r="E398" s="3"/>
      <c r="F398" s="10"/>
      <c r="G398" s="10"/>
      <c r="H398" s="3" t="s">
        <v>1299</v>
      </c>
      <c r="I398"/>
      <c r="J398" s="165" t="s">
        <v>39</v>
      </c>
      <c r="K398" s="27"/>
      <c r="L398" s="27"/>
      <c r="M398" s="13">
        <v>43804</v>
      </c>
      <c r="N398" s="86">
        <v>289</v>
      </c>
      <c r="O398" s="28"/>
      <c r="Q398" s="141"/>
      <c r="R398" s="191">
        <v>289</v>
      </c>
    </row>
    <row r="399" spans="1:18" s="1" customFormat="1" ht="15.75" hidden="1" customHeight="1" x14ac:dyDescent="0.3">
      <c r="A399" s="5" t="s">
        <v>1300</v>
      </c>
      <c r="B399" s="9" t="s">
        <v>1301</v>
      </c>
      <c r="C399" s="11" t="s">
        <v>4519</v>
      </c>
      <c r="D399" t="s">
        <v>4493</v>
      </c>
      <c r="E399" s="3"/>
      <c r="F399" s="15"/>
      <c r="G399" s="15"/>
      <c r="H399" s="3" t="s">
        <v>1302</v>
      </c>
      <c r="I399"/>
      <c r="J399" s="165" t="s">
        <v>39</v>
      </c>
      <c r="K399" s="27"/>
      <c r="L399" s="27"/>
      <c r="M399" s="13">
        <v>43812</v>
      </c>
      <c r="N399" s="86"/>
      <c r="O399" s="28"/>
      <c r="Q399" s="141"/>
      <c r="R399" s="191"/>
    </row>
    <row r="400" spans="1:18" s="1" customFormat="1" ht="15.75" customHeight="1" x14ac:dyDescent="0.3">
      <c r="A400" s="5" t="s">
        <v>1303</v>
      </c>
      <c r="B400" s="9" t="s">
        <v>1304</v>
      </c>
      <c r="C400" s="11" t="s">
        <v>4490</v>
      </c>
      <c r="D400" t="s">
        <v>4493</v>
      </c>
      <c r="E400"/>
      <c r="F400" t="s">
        <v>1305</v>
      </c>
      <c r="G400" t="s">
        <v>4643</v>
      </c>
      <c r="H400" s="3" t="s">
        <v>601</v>
      </c>
      <c r="I400"/>
      <c r="J400" s="165">
        <v>2211</v>
      </c>
      <c r="K400" s="11" t="s">
        <v>944</v>
      </c>
      <c r="L400" s="11"/>
      <c r="M400" s="13">
        <v>43817</v>
      </c>
      <c r="N400" s="86">
        <v>94500</v>
      </c>
      <c r="O400" s="28" t="s">
        <v>20</v>
      </c>
      <c r="P400" s="1" t="s">
        <v>78</v>
      </c>
      <c r="Q400" s="141"/>
      <c r="R400" s="191">
        <v>94500</v>
      </c>
    </row>
    <row r="401" spans="1:18" s="1" customFormat="1" ht="15.75" customHeight="1" x14ac:dyDescent="0.3">
      <c r="A401" s="5" t="s">
        <v>1306</v>
      </c>
      <c r="B401" s="9" t="s">
        <v>1307</v>
      </c>
      <c r="C401" s="11" t="s">
        <v>4489</v>
      </c>
      <c r="D401" t="s">
        <v>4494</v>
      </c>
      <c r="E401" s="3"/>
      <c r="F401" s="15"/>
      <c r="G401" s="15"/>
      <c r="H401" s="3" t="s">
        <v>1308</v>
      </c>
      <c r="I401"/>
      <c r="J401" s="165">
        <v>50718</v>
      </c>
      <c r="K401" s="11" t="s">
        <v>1309</v>
      </c>
      <c r="L401" s="11" t="s">
        <v>1310</v>
      </c>
      <c r="M401" s="13">
        <v>43819</v>
      </c>
      <c r="N401" s="86">
        <v>16500</v>
      </c>
      <c r="O401" s="28"/>
      <c r="Q401" s="141"/>
      <c r="R401" s="191">
        <v>16500</v>
      </c>
    </row>
    <row r="402" spans="1:18" s="1" customFormat="1" ht="15.75" customHeight="1" x14ac:dyDescent="0.3">
      <c r="A402" s="5" t="s">
        <v>1311</v>
      </c>
      <c r="B402" s="9" t="s">
        <v>1312</v>
      </c>
      <c r="C402" s="11" t="s">
        <v>4489</v>
      </c>
      <c r="D402" t="s">
        <v>4494</v>
      </c>
      <c r="E402" s="3"/>
      <c r="F402" s="15"/>
      <c r="G402" s="15"/>
      <c r="H402" s="3" t="s">
        <v>1313</v>
      </c>
      <c r="I402"/>
      <c r="J402" s="165">
        <v>50718</v>
      </c>
      <c r="K402" s="11" t="s">
        <v>1309</v>
      </c>
      <c r="L402" s="3" t="s">
        <v>1310</v>
      </c>
      <c r="M402" s="13">
        <v>43819</v>
      </c>
      <c r="N402" s="86">
        <v>12000</v>
      </c>
      <c r="O402" s="28" t="s">
        <v>20</v>
      </c>
      <c r="P402" s="1" t="s">
        <v>44</v>
      </c>
      <c r="Q402" s="141"/>
      <c r="R402" s="191">
        <v>12000</v>
      </c>
    </row>
    <row r="403" spans="1:18" s="1" customFormat="1" ht="15.75" customHeight="1" x14ac:dyDescent="0.3">
      <c r="A403" s="5" t="s">
        <v>1314</v>
      </c>
      <c r="B403" s="9" t="s">
        <v>1315</v>
      </c>
      <c r="C403" s="11" t="s">
        <v>4490</v>
      </c>
      <c r="D403" t="s">
        <v>4493</v>
      </c>
      <c r="E403" s="160"/>
      <c r="F403" t="s">
        <v>1316</v>
      </c>
      <c r="G403" t="s">
        <v>4629</v>
      </c>
      <c r="H403" s="3" t="s">
        <v>601</v>
      </c>
      <c r="I403"/>
      <c r="J403" s="165">
        <v>2577</v>
      </c>
      <c r="K403" s="11" t="s">
        <v>1317</v>
      </c>
      <c r="L403" s="11"/>
      <c r="M403" s="13">
        <v>43840</v>
      </c>
      <c r="N403" s="86">
        <v>90000</v>
      </c>
      <c r="O403" s="28" t="s">
        <v>20</v>
      </c>
      <c r="P403" s="1" t="s">
        <v>78</v>
      </c>
      <c r="Q403" s="141"/>
      <c r="R403" s="191">
        <v>90000</v>
      </c>
    </row>
    <row r="404" spans="1:18" s="1" customFormat="1" ht="15.75" customHeight="1" x14ac:dyDescent="0.3">
      <c r="A404" s="5" t="s">
        <v>1318</v>
      </c>
      <c r="B404" s="9" t="s">
        <v>1319</v>
      </c>
      <c r="C404" s="11" t="s">
        <v>4490</v>
      </c>
      <c r="D404" t="s">
        <v>4493</v>
      </c>
      <c r="E404" s="160"/>
      <c r="F404" t="s">
        <v>1320</v>
      </c>
      <c r="G404" t="s">
        <v>4629</v>
      </c>
      <c r="H404" s="3" t="s">
        <v>601</v>
      </c>
      <c r="I404"/>
      <c r="J404" s="165">
        <v>2577</v>
      </c>
      <c r="K404" s="11" t="s">
        <v>838</v>
      </c>
      <c r="L404" s="11"/>
      <c r="M404" s="13">
        <v>43840</v>
      </c>
      <c r="N404" s="86">
        <v>90000</v>
      </c>
      <c r="O404" s="28" t="s">
        <v>20</v>
      </c>
      <c r="P404" s="1" t="s">
        <v>78</v>
      </c>
      <c r="Q404" s="141"/>
      <c r="R404" s="191">
        <v>90000</v>
      </c>
    </row>
    <row r="405" spans="1:18" s="1" customFormat="1" ht="15.75" customHeight="1" x14ac:dyDescent="0.3">
      <c r="A405" s="5" t="s">
        <v>1321</v>
      </c>
      <c r="B405" s="9" t="s">
        <v>1322</v>
      </c>
      <c r="C405" s="11" t="s">
        <v>4490</v>
      </c>
      <c r="D405" t="s">
        <v>4493</v>
      </c>
      <c r="E405"/>
      <c r="F405" t="s">
        <v>1323</v>
      </c>
      <c r="G405" t="s">
        <v>4557</v>
      </c>
      <c r="H405" s="3" t="s">
        <v>1324</v>
      </c>
      <c r="I405"/>
      <c r="J405" s="165">
        <v>95</v>
      </c>
      <c r="K405" s="3" t="s">
        <v>1325</v>
      </c>
      <c r="L405" s="3" t="s">
        <v>1326</v>
      </c>
      <c r="M405" s="13">
        <v>43840</v>
      </c>
      <c r="N405" s="86">
        <v>336666.67</v>
      </c>
      <c r="O405" s="28" t="s">
        <v>20</v>
      </c>
      <c r="P405" s="1" t="s">
        <v>78</v>
      </c>
      <c r="Q405" s="141"/>
      <c r="R405" s="191" t="s">
        <v>4763</v>
      </c>
    </row>
    <row r="406" spans="1:18" s="1" customFormat="1" ht="15.75" customHeight="1" x14ac:dyDescent="0.3">
      <c r="A406" s="5" t="s">
        <v>1327</v>
      </c>
      <c r="B406" s="9" t="s">
        <v>1328</v>
      </c>
      <c r="C406" s="11" t="s">
        <v>4490</v>
      </c>
      <c r="D406" t="s">
        <v>4492</v>
      </c>
      <c r="E406" s="160"/>
      <c r="F406" t="s">
        <v>1329</v>
      </c>
      <c r="G406" t="s">
        <v>4629</v>
      </c>
      <c r="H406" s="3" t="s">
        <v>601</v>
      </c>
      <c r="I406"/>
      <c r="J406" s="165" t="s">
        <v>39</v>
      </c>
      <c r="K406" s="27"/>
      <c r="L406" s="27"/>
      <c r="M406" s="13">
        <v>43845</v>
      </c>
      <c r="N406" s="86">
        <v>90000</v>
      </c>
      <c r="O406" s="28" t="s">
        <v>20</v>
      </c>
      <c r="P406" s="1" t="s">
        <v>78</v>
      </c>
      <c r="Q406" s="141"/>
      <c r="R406" s="191">
        <v>90000</v>
      </c>
    </row>
    <row r="407" spans="1:18" s="1" customFormat="1" ht="15.75" customHeight="1" x14ac:dyDescent="0.3">
      <c r="A407" s="5" t="s">
        <v>1330</v>
      </c>
      <c r="B407" s="9" t="s">
        <v>1331</v>
      </c>
      <c r="C407" s="11" t="s">
        <v>4490</v>
      </c>
      <c r="D407" t="s">
        <v>4493</v>
      </c>
      <c r="E407" s="160"/>
      <c r="F407" t="s">
        <v>600</v>
      </c>
      <c r="G407" t="s">
        <v>4629</v>
      </c>
      <c r="H407" s="3" t="s">
        <v>601</v>
      </c>
      <c r="I407"/>
      <c r="J407" s="165" t="s">
        <v>39</v>
      </c>
      <c r="K407" s="27"/>
      <c r="L407" s="27"/>
      <c r="M407" s="13">
        <v>43845</v>
      </c>
      <c r="N407" s="86">
        <v>90000</v>
      </c>
      <c r="O407" s="28" t="s">
        <v>20</v>
      </c>
      <c r="P407" s="1" t="s">
        <v>78</v>
      </c>
      <c r="Q407" s="141"/>
      <c r="R407" s="191">
        <v>90000</v>
      </c>
    </row>
    <row r="408" spans="1:18" s="1" customFormat="1" ht="15.75" customHeight="1" x14ac:dyDescent="0.3">
      <c r="A408" s="5" t="s">
        <v>1332</v>
      </c>
      <c r="B408" s="9" t="s">
        <v>1333</v>
      </c>
      <c r="C408" s="11" t="s">
        <v>4487</v>
      </c>
      <c r="D408" t="s">
        <v>4494</v>
      </c>
      <c r="E408" t="s">
        <v>1334</v>
      </c>
      <c r="F408" t="s">
        <v>1335</v>
      </c>
      <c r="G408" t="s">
        <v>4623</v>
      </c>
      <c r="H408" s="3" t="s">
        <v>1336</v>
      </c>
      <c r="I408"/>
      <c r="J408" s="166">
        <v>140069</v>
      </c>
      <c r="K408" s="11" t="s">
        <v>1337</v>
      </c>
      <c r="L408" s="11"/>
      <c r="M408" s="13">
        <v>43845</v>
      </c>
      <c r="N408" s="86">
        <v>131991.20000000001</v>
      </c>
      <c r="O408" s="28"/>
      <c r="Q408" s="141"/>
      <c r="R408" s="191" t="s">
        <v>4764</v>
      </c>
    </row>
    <row r="409" spans="1:18" s="1" customFormat="1" ht="15.75" hidden="1" customHeight="1" x14ac:dyDescent="0.3">
      <c r="A409" s="9" t="s">
        <v>1338</v>
      </c>
      <c r="B409" s="9" t="s">
        <v>1338</v>
      </c>
      <c r="C409" s="11" t="s">
        <v>4519</v>
      </c>
      <c r="D409" t="s">
        <v>4492</v>
      </c>
      <c r="E409" s="3"/>
      <c r="F409" s="15"/>
      <c r="G409" s="15"/>
      <c r="H409" s="3" t="s">
        <v>186</v>
      </c>
      <c r="I409"/>
      <c r="J409" s="165">
        <v>46974</v>
      </c>
      <c r="K409" s="3" t="s">
        <v>1339</v>
      </c>
      <c r="L409" s="3" t="s">
        <v>188</v>
      </c>
      <c r="M409" s="13"/>
      <c r="N409" s="86"/>
      <c r="O409" s="28"/>
      <c r="Q409" s="141"/>
      <c r="R409" s="191"/>
    </row>
    <row r="410" spans="1:18" s="1" customFormat="1" ht="15.75" customHeight="1" x14ac:dyDescent="0.3">
      <c r="A410" s="5" t="s">
        <v>1340</v>
      </c>
      <c r="B410" s="9" t="s">
        <v>1341</v>
      </c>
      <c r="C410" s="11" t="s">
        <v>4490</v>
      </c>
      <c r="D410" t="s">
        <v>4493</v>
      </c>
      <c r="E410"/>
      <c r="F410" t="s">
        <v>4686</v>
      </c>
      <c r="G410" t="s">
        <v>4557</v>
      </c>
      <c r="H410" s="3" t="s">
        <v>1342</v>
      </c>
      <c r="I410"/>
      <c r="J410" s="165">
        <v>83</v>
      </c>
      <c r="K410" s="11" t="s">
        <v>19</v>
      </c>
      <c r="L410" s="11"/>
      <c r="M410" s="13">
        <v>43849</v>
      </c>
      <c r="N410" s="86">
        <v>336666.67</v>
      </c>
      <c r="O410" s="28" t="s">
        <v>20</v>
      </c>
      <c r="P410" s="1" t="s">
        <v>78</v>
      </c>
      <c r="Q410" s="141"/>
      <c r="R410" s="191" t="s">
        <v>4763</v>
      </c>
    </row>
    <row r="411" spans="1:18" s="1" customFormat="1" ht="15.75" hidden="1" customHeight="1" x14ac:dyDescent="0.3">
      <c r="A411" s="5" t="s">
        <v>1343</v>
      </c>
      <c r="B411" s="9" t="s">
        <v>1344</v>
      </c>
      <c r="C411" s="11" t="s">
        <v>4519</v>
      </c>
      <c r="D411" t="s">
        <v>4495</v>
      </c>
      <c r="E411" s="3"/>
      <c r="F411" s="15"/>
      <c r="G411" s="15"/>
      <c r="H411" s="3" t="s">
        <v>1302</v>
      </c>
      <c r="I411"/>
      <c r="J411" s="165" t="s">
        <v>39</v>
      </c>
      <c r="K411" s="27"/>
      <c r="L411" s="27"/>
      <c r="M411" s="13">
        <v>43852</v>
      </c>
      <c r="N411" s="86"/>
      <c r="O411" s="28" t="s">
        <v>20</v>
      </c>
      <c r="Q411" s="141"/>
      <c r="R411" s="191"/>
    </row>
    <row r="412" spans="1:18" s="1" customFormat="1" ht="15.75" customHeight="1" x14ac:dyDescent="0.3">
      <c r="A412" s="5" t="s">
        <v>1345</v>
      </c>
      <c r="B412" s="9" t="s">
        <v>1346</v>
      </c>
      <c r="C412" s="11" t="s">
        <v>4490</v>
      </c>
      <c r="D412" t="s">
        <v>4493</v>
      </c>
      <c r="E412"/>
      <c r="F412" t="s">
        <v>1347</v>
      </c>
      <c r="G412" t="s">
        <v>4557</v>
      </c>
      <c r="H412" s="3" t="s">
        <v>1348</v>
      </c>
      <c r="I412"/>
      <c r="J412" s="165">
        <v>95</v>
      </c>
      <c r="K412" s="11" t="s">
        <v>1349</v>
      </c>
      <c r="L412" s="3" t="s">
        <v>1326</v>
      </c>
      <c r="M412" s="13">
        <v>43858</v>
      </c>
      <c r="N412" s="86">
        <v>336666.67</v>
      </c>
      <c r="O412" s="28" t="s">
        <v>20</v>
      </c>
      <c r="P412" s="1" t="s">
        <v>78</v>
      </c>
      <c r="Q412" s="141"/>
      <c r="R412" s="191" t="s">
        <v>4763</v>
      </c>
    </row>
    <row r="413" spans="1:18" s="1" customFormat="1" ht="15.75" customHeight="1" x14ac:dyDescent="0.3">
      <c r="A413" s="59" t="s">
        <v>1350</v>
      </c>
      <c r="B413" s="9" t="s">
        <v>1350</v>
      </c>
      <c r="C413" s="11" t="s">
        <v>4519</v>
      </c>
      <c r="D413" t="s">
        <v>4493</v>
      </c>
      <c r="E413" s="12"/>
      <c r="F413" s="15"/>
      <c r="G413" s="15"/>
      <c r="H413" s="3" t="s">
        <v>1351</v>
      </c>
      <c r="I413"/>
      <c r="J413" s="166">
        <v>45493</v>
      </c>
      <c r="K413" s="3" t="s">
        <v>187</v>
      </c>
      <c r="L413" s="3" t="s">
        <v>188</v>
      </c>
      <c r="M413" s="29">
        <v>45930</v>
      </c>
      <c r="N413" s="86">
        <v>4560</v>
      </c>
      <c r="O413" s="28"/>
      <c r="P413" s="1" t="s">
        <v>78</v>
      </c>
      <c r="Q413" s="141"/>
      <c r="R413" s="191">
        <v>4560</v>
      </c>
    </row>
    <row r="414" spans="1:18" s="1" customFormat="1" ht="15.75" customHeight="1" x14ac:dyDescent="0.3">
      <c r="A414" s="59" t="s">
        <v>1352</v>
      </c>
      <c r="B414" s="9" t="s">
        <v>1352</v>
      </c>
      <c r="C414" s="11" t="s">
        <v>4518</v>
      </c>
      <c r="D414" t="s">
        <v>4495</v>
      </c>
      <c r="E414" s="12"/>
      <c r="F414" s="15"/>
      <c r="G414" s="15"/>
      <c r="H414" s="3" t="s">
        <v>1353</v>
      </c>
      <c r="I414"/>
      <c r="J414" s="165">
        <v>202</v>
      </c>
      <c r="K414" s="11" t="s">
        <v>1354</v>
      </c>
      <c r="L414" s="11" t="s">
        <v>1355</v>
      </c>
      <c r="M414" s="29">
        <v>45877</v>
      </c>
      <c r="N414" s="86">
        <v>29000</v>
      </c>
      <c r="O414" s="28"/>
      <c r="P414" s="1" t="s">
        <v>66</v>
      </c>
      <c r="Q414" s="141"/>
      <c r="R414" s="191">
        <v>29000</v>
      </c>
    </row>
    <row r="415" spans="1:18" s="1" customFormat="1" ht="15.75" customHeight="1" x14ac:dyDescent="0.3">
      <c r="A415" s="128" t="s">
        <v>1356</v>
      </c>
      <c r="B415" s="9" t="s">
        <v>1357</v>
      </c>
      <c r="C415" s="11" t="s">
        <v>4520</v>
      </c>
      <c r="D415" t="s">
        <v>4493</v>
      </c>
      <c r="E415" s="3"/>
      <c r="F415" s="10"/>
      <c r="G415" s="10"/>
      <c r="H415" s="3" t="s">
        <v>536</v>
      </c>
      <c r="I415"/>
      <c r="J415" s="165" t="s">
        <v>39</v>
      </c>
      <c r="K415" s="27"/>
      <c r="L415" s="27"/>
      <c r="M415" s="13">
        <v>43873</v>
      </c>
      <c r="N415" s="86">
        <v>1556</v>
      </c>
      <c r="O415" s="28"/>
      <c r="Q415" s="141"/>
      <c r="R415" s="191">
        <v>1556</v>
      </c>
    </row>
    <row r="416" spans="1:18" s="1" customFormat="1" ht="15.75" customHeight="1" x14ac:dyDescent="0.3">
      <c r="A416" s="5" t="s">
        <v>1358</v>
      </c>
      <c r="B416" s="9" t="s">
        <v>1359</v>
      </c>
      <c r="C416" s="11" t="s">
        <v>4518</v>
      </c>
      <c r="D416" t="s">
        <v>4495</v>
      </c>
      <c r="E416" s="3"/>
      <c r="F416" s="15"/>
      <c r="G416" s="15"/>
      <c r="H416" s="3" t="s">
        <v>1360</v>
      </c>
      <c r="I416"/>
      <c r="J416" s="165" t="s">
        <v>39</v>
      </c>
      <c r="K416" s="27"/>
      <c r="L416" s="27"/>
      <c r="M416" s="13">
        <v>43875</v>
      </c>
      <c r="N416" s="86">
        <v>9800</v>
      </c>
      <c r="O416" s="28" t="s">
        <v>20</v>
      </c>
      <c r="Q416" s="141"/>
      <c r="R416" s="191">
        <v>9800</v>
      </c>
    </row>
    <row r="417" spans="1:18" s="1" customFormat="1" ht="15.75" customHeight="1" x14ac:dyDescent="0.3">
      <c r="A417" s="5" t="s">
        <v>1361</v>
      </c>
      <c r="B417" s="9" t="s">
        <v>1362</v>
      </c>
      <c r="C417" s="11" t="s">
        <v>4520</v>
      </c>
      <c r="D417" t="s">
        <v>4495</v>
      </c>
      <c r="E417" s="3"/>
      <c r="F417" s="10"/>
      <c r="G417" s="10"/>
      <c r="H417" s="3" t="s">
        <v>1363</v>
      </c>
      <c r="I417"/>
      <c r="J417" s="165" t="s">
        <v>39</v>
      </c>
      <c r="K417" s="27"/>
      <c r="L417" s="27"/>
      <c r="M417" s="13">
        <v>43887</v>
      </c>
      <c r="N417" s="86">
        <v>834.51</v>
      </c>
      <c r="O417" s="28"/>
      <c r="Q417" s="141"/>
      <c r="R417" s="191" t="s">
        <v>4765</v>
      </c>
    </row>
    <row r="418" spans="1:18" s="1" customFormat="1" ht="15.75" hidden="1" customHeight="1" x14ac:dyDescent="0.3">
      <c r="A418" s="5" t="s">
        <v>1364</v>
      </c>
      <c r="B418" s="9" t="s">
        <v>1365</v>
      </c>
      <c r="C418" s="11" t="s">
        <v>4519</v>
      </c>
      <c r="D418" t="s">
        <v>4493</v>
      </c>
      <c r="E418" s="3"/>
      <c r="F418" s="15"/>
      <c r="G418" s="15"/>
      <c r="H418" s="3" t="s">
        <v>1366</v>
      </c>
      <c r="I418"/>
      <c r="J418" s="165" t="s">
        <v>39</v>
      </c>
      <c r="K418" s="27"/>
      <c r="L418" s="27"/>
      <c r="M418" s="13">
        <v>43895</v>
      </c>
      <c r="N418" s="86"/>
      <c r="O418" s="28" t="s">
        <v>20</v>
      </c>
      <c r="P418" s="1" t="s">
        <v>78</v>
      </c>
      <c r="Q418" s="141"/>
      <c r="R418" s="191"/>
    </row>
    <row r="419" spans="1:18" s="1" customFormat="1" ht="15.75" hidden="1" customHeight="1" x14ac:dyDescent="0.3">
      <c r="A419" s="5" t="s">
        <v>1367</v>
      </c>
      <c r="B419" s="9" t="s">
        <v>1368</v>
      </c>
      <c r="C419" s="11" t="s">
        <v>4519</v>
      </c>
      <c r="D419" t="s">
        <v>4494</v>
      </c>
      <c r="E419" s="3"/>
      <c r="F419" s="15"/>
      <c r="G419" s="15"/>
      <c r="H419" s="3" t="s">
        <v>1366</v>
      </c>
      <c r="I419"/>
      <c r="J419" s="165" t="s">
        <v>39</v>
      </c>
      <c r="K419" s="27"/>
      <c r="L419" s="27"/>
      <c r="M419" s="13">
        <v>43895</v>
      </c>
      <c r="N419" s="86"/>
      <c r="O419" s="28"/>
      <c r="Q419" s="141"/>
      <c r="R419" s="191"/>
    </row>
    <row r="420" spans="1:18" s="1" customFormat="1" ht="15.75" hidden="1" customHeight="1" x14ac:dyDescent="0.3">
      <c r="A420" s="5" t="s">
        <v>1369</v>
      </c>
      <c r="B420" s="9" t="s">
        <v>1370</v>
      </c>
      <c r="C420" s="11" t="s">
        <v>4519</v>
      </c>
      <c r="D420" t="s">
        <v>4495</v>
      </c>
      <c r="E420" s="3"/>
      <c r="F420" s="15"/>
      <c r="G420" s="15"/>
      <c r="H420" s="3" t="s">
        <v>1366</v>
      </c>
      <c r="I420"/>
      <c r="J420" s="165" t="s">
        <v>39</v>
      </c>
      <c r="K420" s="27"/>
      <c r="L420" s="27"/>
      <c r="M420" s="13">
        <v>43895</v>
      </c>
      <c r="N420" s="86"/>
      <c r="O420" s="28" t="s">
        <v>20</v>
      </c>
      <c r="Q420" s="141"/>
      <c r="R420" s="191"/>
    </row>
    <row r="421" spans="1:18" s="1" customFormat="1" ht="15.75" customHeight="1" x14ac:dyDescent="0.3">
      <c r="A421" s="5" t="s">
        <v>1371</v>
      </c>
      <c r="B421" s="9" t="s">
        <v>1372</v>
      </c>
      <c r="C421" s="11" t="s">
        <v>4489</v>
      </c>
      <c r="D421" t="s">
        <v>4493</v>
      </c>
      <c r="E421"/>
      <c r="F421"/>
      <c r="G421" t="s">
        <v>4629</v>
      </c>
      <c r="H421" s="3" t="s">
        <v>1243</v>
      </c>
      <c r="I421"/>
      <c r="J421" s="165">
        <v>90740</v>
      </c>
      <c r="K421" s="11" t="s">
        <v>664</v>
      </c>
      <c r="L421" s="11"/>
      <c r="M421" s="13">
        <v>43899</v>
      </c>
      <c r="N421" s="86">
        <v>2150</v>
      </c>
      <c r="O421" s="28"/>
      <c r="Q421" s="141"/>
      <c r="R421" s="191">
        <v>2150</v>
      </c>
    </row>
    <row r="422" spans="1:18" s="1" customFormat="1" ht="15.75" customHeight="1" x14ac:dyDescent="0.3">
      <c r="A422" s="5" t="s">
        <v>1373</v>
      </c>
      <c r="B422" s="9" t="s">
        <v>1374</v>
      </c>
      <c r="C422" s="11" t="s">
        <v>4490</v>
      </c>
      <c r="D422" t="s">
        <v>4495</v>
      </c>
      <c r="E422"/>
      <c r="F422" t="s">
        <v>1375</v>
      </c>
      <c r="G422" t="s">
        <v>4557</v>
      </c>
      <c r="H422" s="3" t="s">
        <v>1376</v>
      </c>
      <c r="I422"/>
      <c r="J422" s="165">
        <v>243</v>
      </c>
      <c r="K422" s="11" t="s">
        <v>1377</v>
      </c>
      <c r="L422" s="11"/>
      <c r="M422" s="13">
        <v>43899</v>
      </c>
      <c r="N422" s="86">
        <v>20000</v>
      </c>
      <c r="O422" s="28"/>
      <c r="Q422" s="141"/>
      <c r="R422" s="191">
        <v>20000</v>
      </c>
    </row>
    <row r="423" spans="1:18" s="1" customFormat="1" ht="15.75" customHeight="1" x14ac:dyDescent="0.3">
      <c r="A423" s="5" t="s">
        <v>1378</v>
      </c>
      <c r="B423" s="9" t="s">
        <v>1379</v>
      </c>
      <c r="C423" s="11" t="s">
        <v>4489</v>
      </c>
      <c r="D423" t="s">
        <v>4493</v>
      </c>
      <c r="E423" s="3"/>
      <c r="F423" s="15"/>
      <c r="G423" s="15"/>
      <c r="H423" s="3" t="s">
        <v>1380</v>
      </c>
      <c r="I423"/>
      <c r="J423" s="165" t="s">
        <v>39</v>
      </c>
      <c r="K423" s="27"/>
      <c r="L423" s="27"/>
      <c r="M423" s="13">
        <v>43900</v>
      </c>
      <c r="N423" s="86">
        <v>7000</v>
      </c>
      <c r="O423" s="28"/>
      <c r="Q423" s="141"/>
      <c r="R423" s="191">
        <v>7000</v>
      </c>
    </row>
    <row r="424" spans="1:18" s="1" customFormat="1" ht="15.75" customHeight="1" x14ac:dyDescent="0.3">
      <c r="A424" s="5" t="s">
        <v>1381</v>
      </c>
      <c r="B424" s="9" t="s">
        <v>1382</v>
      </c>
      <c r="C424" s="11" t="s">
        <v>4489</v>
      </c>
      <c r="D424" t="s">
        <v>4493</v>
      </c>
      <c r="E424" s="3"/>
      <c r="F424" s="15"/>
      <c r="G424" s="15"/>
      <c r="H424" s="3" t="s">
        <v>1383</v>
      </c>
      <c r="I424"/>
      <c r="J424" s="165" t="s">
        <v>39</v>
      </c>
      <c r="K424" s="27"/>
      <c r="L424" s="27"/>
      <c r="M424" s="13">
        <v>43906</v>
      </c>
      <c r="N424" s="86">
        <v>1300</v>
      </c>
      <c r="O424" s="28"/>
      <c r="Q424" s="141"/>
      <c r="R424" s="191">
        <v>1300</v>
      </c>
    </row>
    <row r="425" spans="1:18" s="1" customFormat="1" ht="15.75" customHeight="1" x14ac:dyDescent="0.3">
      <c r="A425" s="5" t="s">
        <v>1384</v>
      </c>
      <c r="B425" s="9" t="s">
        <v>1385</v>
      </c>
      <c r="C425" s="11" t="s">
        <v>4490</v>
      </c>
      <c r="D425" t="s">
        <v>4494</v>
      </c>
      <c r="E425"/>
      <c r="F425">
        <v>219392181</v>
      </c>
      <c r="G425" t="s">
        <v>4675</v>
      </c>
      <c r="H425" s="3" t="s">
        <v>1386</v>
      </c>
      <c r="I425"/>
      <c r="J425" s="165">
        <v>13760</v>
      </c>
      <c r="K425" s="11" t="s">
        <v>956</v>
      </c>
      <c r="L425" s="11"/>
      <c r="M425" s="13">
        <v>43928</v>
      </c>
      <c r="N425" s="86">
        <v>37000</v>
      </c>
      <c r="O425" s="28" t="s">
        <v>20</v>
      </c>
      <c r="P425" s="1" t="s">
        <v>44</v>
      </c>
      <c r="Q425" s="141"/>
      <c r="R425" s="191">
        <v>37000</v>
      </c>
    </row>
    <row r="426" spans="1:18" s="23" customFormat="1" ht="15.75" customHeight="1" x14ac:dyDescent="0.3">
      <c r="A426" s="189" t="s">
        <v>1387</v>
      </c>
      <c r="B426" s="83" t="s">
        <v>1387</v>
      </c>
      <c r="C426" s="54" t="s">
        <v>4489</v>
      </c>
      <c r="D426" t="s">
        <v>4494</v>
      </c>
      <c r="E426" s="55"/>
      <c r="F426" s="83"/>
      <c r="G426" s="83"/>
      <c r="H426" s="54" t="s">
        <v>1388</v>
      </c>
      <c r="I426"/>
      <c r="J426" s="172">
        <v>5063</v>
      </c>
      <c r="K426" s="54" t="s">
        <v>546</v>
      </c>
      <c r="L426" s="55" t="s">
        <v>547</v>
      </c>
      <c r="M426" s="61">
        <v>45957</v>
      </c>
      <c r="N426" s="95">
        <v>10636</v>
      </c>
      <c r="O426" s="82"/>
      <c r="P426" s="85"/>
      <c r="Q426" s="141"/>
      <c r="R426" s="197">
        <v>10636</v>
      </c>
    </row>
    <row r="427" spans="1:18" s="1" customFormat="1" ht="15.75" customHeight="1" x14ac:dyDescent="0.3">
      <c r="A427" s="5" t="s">
        <v>1389</v>
      </c>
      <c r="B427" s="9" t="s">
        <v>1390</v>
      </c>
      <c r="C427" s="11" t="s">
        <v>4518</v>
      </c>
      <c r="D427" t="s">
        <v>4495</v>
      </c>
      <c r="E427"/>
      <c r="F427"/>
      <c r="G427" t="s">
        <v>4645</v>
      </c>
      <c r="H427" s="3" t="s">
        <v>1391</v>
      </c>
      <c r="I427"/>
      <c r="J427" s="165" t="s">
        <v>39</v>
      </c>
      <c r="K427" s="27"/>
      <c r="L427" s="27"/>
      <c r="M427" s="13">
        <v>43944</v>
      </c>
      <c r="N427" s="86">
        <v>9846.76</v>
      </c>
      <c r="O427" s="28" t="s">
        <v>20</v>
      </c>
      <c r="Q427" s="141"/>
      <c r="R427" s="191" t="s">
        <v>4766</v>
      </c>
    </row>
    <row r="428" spans="1:18" s="1" customFormat="1" ht="15.75" customHeight="1" x14ac:dyDescent="0.3">
      <c r="A428" s="5" t="s">
        <v>1392</v>
      </c>
      <c r="B428" s="9" t="s">
        <v>1393</v>
      </c>
      <c r="C428" s="11" t="s">
        <v>4518</v>
      </c>
      <c r="D428" t="s">
        <v>4495</v>
      </c>
      <c r="E428" s="3"/>
      <c r="F428" s="15"/>
      <c r="G428" s="15"/>
      <c r="H428" s="3" t="s">
        <v>1394</v>
      </c>
      <c r="I428"/>
      <c r="J428" s="165" t="s">
        <v>39</v>
      </c>
      <c r="K428" s="27"/>
      <c r="L428" s="27"/>
      <c r="M428" s="13">
        <v>43944</v>
      </c>
      <c r="N428" s="86">
        <v>9846.76</v>
      </c>
      <c r="O428" s="28" t="s">
        <v>20</v>
      </c>
      <c r="Q428" s="141"/>
      <c r="R428" s="191" t="s">
        <v>4766</v>
      </c>
    </row>
    <row r="429" spans="1:18" s="1" customFormat="1" ht="15.75" customHeight="1" x14ac:dyDescent="0.3">
      <c r="A429" s="9" t="s">
        <v>1395</v>
      </c>
      <c r="B429" s="9" t="s">
        <v>1395</v>
      </c>
      <c r="C429" s="11" t="s">
        <v>4520</v>
      </c>
      <c r="D429" t="s">
        <v>4494</v>
      </c>
      <c r="E429" s="3"/>
      <c r="F429" s="15"/>
      <c r="G429" s="15"/>
      <c r="H429" s="3" t="s">
        <v>195</v>
      </c>
      <c r="I429"/>
      <c r="J429" s="165">
        <v>31928</v>
      </c>
      <c r="K429" s="11" t="s">
        <v>196</v>
      </c>
      <c r="L429" s="11" t="s">
        <v>197</v>
      </c>
      <c r="M429" s="29">
        <v>45887</v>
      </c>
      <c r="N429" s="86">
        <v>1899.9</v>
      </c>
      <c r="O429" s="28"/>
      <c r="P429" s="1" t="s">
        <v>44</v>
      </c>
      <c r="Q429" s="141"/>
      <c r="R429" s="191" t="s">
        <v>4767</v>
      </c>
    </row>
    <row r="430" spans="1:18" s="1" customFormat="1" ht="15.75" customHeight="1" x14ac:dyDescent="0.3">
      <c r="A430" s="5" t="s">
        <v>1396</v>
      </c>
      <c r="B430" s="9" t="s">
        <v>1397</v>
      </c>
      <c r="C430" s="11" t="s">
        <v>4489</v>
      </c>
      <c r="D430" t="s">
        <v>4494</v>
      </c>
      <c r="E430"/>
      <c r="F430"/>
      <c r="G430" t="s">
        <v>4626</v>
      </c>
      <c r="H430" s="3" t="s">
        <v>153</v>
      </c>
      <c r="I430"/>
      <c r="J430" s="165"/>
      <c r="K430" s="11"/>
      <c r="L430" s="15"/>
      <c r="M430" s="13">
        <v>43956</v>
      </c>
      <c r="N430" s="86">
        <v>20414.63</v>
      </c>
      <c r="O430" s="28" t="s">
        <v>20</v>
      </c>
      <c r="P430" s="1" t="s">
        <v>66</v>
      </c>
      <c r="Q430" s="141"/>
      <c r="R430" s="191" t="s">
        <v>4768</v>
      </c>
    </row>
    <row r="431" spans="1:18" s="1" customFormat="1" ht="15.75" customHeight="1" x14ac:dyDescent="0.3">
      <c r="A431" s="5" t="s">
        <v>1398</v>
      </c>
      <c r="B431" s="9" t="s">
        <v>1399</v>
      </c>
      <c r="C431" s="11" t="s">
        <v>4490</v>
      </c>
      <c r="D431" t="s">
        <v>4494</v>
      </c>
      <c r="E431" t="s">
        <v>4687</v>
      </c>
      <c r="F431" t="s">
        <v>1401</v>
      </c>
      <c r="G431" t="s">
        <v>4631</v>
      </c>
      <c r="H431" s="3" t="s">
        <v>1402</v>
      </c>
      <c r="I431"/>
      <c r="J431" s="165"/>
      <c r="K431" s="11"/>
      <c r="L431" s="15"/>
      <c r="M431" s="13">
        <v>43964</v>
      </c>
      <c r="N431" s="86">
        <v>40008</v>
      </c>
      <c r="O431" s="28" t="s">
        <v>20</v>
      </c>
      <c r="P431" s="1" t="s">
        <v>66</v>
      </c>
      <c r="Q431" s="141"/>
      <c r="R431" s="191">
        <v>40008</v>
      </c>
    </row>
    <row r="432" spans="1:18" s="1" customFormat="1" ht="15.75" customHeight="1" x14ac:dyDescent="0.3">
      <c r="A432" s="5" t="s">
        <v>1403</v>
      </c>
      <c r="B432" s="9" t="s">
        <v>1404</v>
      </c>
      <c r="C432" s="11" t="s">
        <v>4490</v>
      </c>
      <c r="D432" t="s">
        <v>4494</v>
      </c>
      <c r="E432" s="160" t="s">
        <v>1400</v>
      </c>
      <c r="F432" t="s">
        <v>1405</v>
      </c>
      <c r="G432" t="s">
        <v>4631</v>
      </c>
      <c r="H432" s="3" t="s">
        <v>1406</v>
      </c>
      <c r="I432" t="s">
        <v>4540</v>
      </c>
      <c r="J432" s="171"/>
      <c r="K432" s="11"/>
      <c r="L432" s="15"/>
      <c r="M432" s="13">
        <v>43964</v>
      </c>
      <c r="N432" s="86">
        <v>134992</v>
      </c>
      <c r="O432" s="28" t="s">
        <v>20</v>
      </c>
      <c r="P432" s="1" t="s">
        <v>66</v>
      </c>
      <c r="Q432" s="141"/>
      <c r="R432" s="191">
        <v>134992</v>
      </c>
    </row>
    <row r="433" spans="1:18" s="1" customFormat="1" ht="15.75" customHeight="1" x14ac:dyDescent="0.3">
      <c r="A433" s="5" t="s">
        <v>1407</v>
      </c>
      <c r="B433" s="9" t="s">
        <v>1408</v>
      </c>
      <c r="C433" s="11" t="s">
        <v>4487</v>
      </c>
      <c r="D433" t="s">
        <v>4494</v>
      </c>
      <c r="E433" s="160" t="s">
        <v>1409</v>
      </c>
      <c r="F433" t="s">
        <v>1410</v>
      </c>
      <c r="G433" t="s">
        <v>4623</v>
      </c>
      <c r="H433" s="3" t="s">
        <v>1411</v>
      </c>
      <c r="I433"/>
      <c r="J433" s="166">
        <v>1980</v>
      </c>
      <c r="K433" s="11" t="s">
        <v>1412</v>
      </c>
      <c r="L433" s="3" t="s">
        <v>1413</v>
      </c>
      <c r="M433" s="13">
        <v>43964</v>
      </c>
      <c r="N433" s="86">
        <v>115500</v>
      </c>
      <c r="O433" s="28" t="s">
        <v>20</v>
      </c>
      <c r="P433" s="1" t="s">
        <v>44</v>
      </c>
      <c r="Q433" s="141"/>
      <c r="R433" s="191">
        <v>115500</v>
      </c>
    </row>
    <row r="434" spans="1:18" s="1" customFormat="1" ht="15.75" customHeight="1" x14ac:dyDescent="0.3">
      <c r="A434" s="5" t="s">
        <v>1414</v>
      </c>
      <c r="B434" s="9" t="s">
        <v>1415</v>
      </c>
      <c r="C434" s="11" t="s">
        <v>4490</v>
      </c>
      <c r="D434" t="s">
        <v>4495</v>
      </c>
      <c r="E434"/>
      <c r="F434">
        <v>89411</v>
      </c>
      <c r="G434" t="s">
        <v>4629</v>
      </c>
      <c r="H434" s="3" t="s">
        <v>1416</v>
      </c>
      <c r="I434"/>
      <c r="J434" s="165" t="s">
        <v>39</v>
      </c>
      <c r="K434" s="27"/>
      <c r="L434" s="27"/>
      <c r="M434" s="13">
        <v>43965</v>
      </c>
      <c r="N434" s="86">
        <v>15000</v>
      </c>
      <c r="O434" s="28" t="s">
        <v>20</v>
      </c>
      <c r="P434" s="1" t="s">
        <v>66</v>
      </c>
      <c r="Q434" s="141"/>
      <c r="R434" s="191">
        <v>15000</v>
      </c>
    </row>
    <row r="435" spans="1:18" s="1" customFormat="1" ht="15.75" hidden="1" customHeight="1" x14ac:dyDescent="0.3">
      <c r="A435" s="5" t="s">
        <v>1417</v>
      </c>
      <c r="B435" s="9" t="s">
        <v>1418</v>
      </c>
      <c r="C435" s="11" t="s">
        <v>4519</v>
      </c>
      <c r="D435" t="s">
        <v>4495</v>
      </c>
      <c r="E435" s="3"/>
      <c r="F435" s="15"/>
      <c r="G435" s="15"/>
      <c r="H435" s="3" t="s">
        <v>1419</v>
      </c>
      <c r="I435"/>
      <c r="J435" s="165" t="s">
        <v>39</v>
      </c>
      <c r="K435" s="27"/>
      <c r="L435" s="27"/>
      <c r="M435" s="13">
        <v>43965</v>
      </c>
      <c r="N435" s="86"/>
      <c r="O435" s="28"/>
      <c r="Q435" s="141"/>
      <c r="R435" s="191"/>
    </row>
    <row r="436" spans="1:18" s="1" customFormat="1" ht="15.75" customHeight="1" x14ac:dyDescent="0.3">
      <c r="A436" s="5" t="s">
        <v>1420</v>
      </c>
      <c r="B436" s="9" t="s">
        <v>1421</v>
      </c>
      <c r="C436" s="11" t="s">
        <v>4487</v>
      </c>
      <c r="D436" t="s">
        <v>4494</v>
      </c>
      <c r="E436" t="s">
        <v>1422</v>
      </c>
      <c r="F436" t="s">
        <v>1423</v>
      </c>
      <c r="G436" t="s">
        <v>4623</v>
      </c>
      <c r="H436" s="3" t="s">
        <v>1424</v>
      </c>
      <c r="I436"/>
      <c r="J436" s="166">
        <v>143314772</v>
      </c>
      <c r="K436" s="11" t="s">
        <v>1425</v>
      </c>
      <c r="L436" s="11"/>
      <c r="M436" s="13">
        <v>43973</v>
      </c>
      <c r="N436" s="86">
        <v>40000</v>
      </c>
      <c r="O436" s="28" t="s">
        <v>20</v>
      </c>
      <c r="P436" s="1" t="s">
        <v>44</v>
      </c>
      <c r="Q436" s="141"/>
      <c r="R436" s="191">
        <v>40000</v>
      </c>
    </row>
    <row r="437" spans="1:18" s="1" customFormat="1" ht="15.75" customHeight="1" x14ac:dyDescent="0.3">
      <c r="A437" s="5" t="s">
        <v>1426</v>
      </c>
      <c r="B437" s="9" t="s">
        <v>1427</v>
      </c>
      <c r="C437" s="11" t="s">
        <v>4487</v>
      </c>
      <c r="D437" t="s">
        <v>4494</v>
      </c>
      <c r="E437" t="s">
        <v>1428</v>
      </c>
      <c r="F437" t="s">
        <v>1429</v>
      </c>
      <c r="G437" t="s">
        <v>4629</v>
      </c>
      <c r="H437" s="3" t="s">
        <v>1430</v>
      </c>
      <c r="I437" s="160"/>
      <c r="J437" s="165" t="s">
        <v>39</v>
      </c>
      <c r="K437" s="27"/>
      <c r="L437" s="27"/>
      <c r="M437" s="13">
        <v>43973</v>
      </c>
      <c r="N437" s="86">
        <v>161000</v>
      </c>
      <c r="O437" s="28" t="s">
        <v>20</v>
      </c>
      <c r="P437" s="1" t="s">
        <v>78</v>
      </c>
      <c r="Q437" s="141"/>
      <c r="R437" s="191">
        <v>161000</v>
      </c>
    </row>
    <row r="438" spans="1:18" s="1" customFormat="1" ht="15.75" customHeight="1" x14ac:dyDescent="0.3">
      <c r="A438" s="5" t="s">
        <v>1431</v>
      </c>
      <c r="B438" s="131" t="s">
        <v>1432</v>
      </c>
      <c r="C438" s="11" t="s">
        <v>4490</v>
      </c>
      <c r="D438" t="s">
        <v>4493</v>
      </c>
      <c r="E438" s="160"/>
      <c r="F438" s="160" t="s">
        <v>1433</v>
      </c>
      <c r="G438" t="s">
        <v>4617</v>
      </c>
      <c r="H438" s="3" t="s">
        <v>1434</v>
      </c>
      <c r="I438"/>
      <c r="J438" s="165">
        <v>12582</v>
      </c>
      <c r="K438" s="11" t="s">
        <v>1435</v>
      </c>
      <c r="L438" s="11"/>
      <c r="M438" s="13">
        <v>43978</v>
      </c>
      <c r="N438" s="86">
        <v>64890</v>
      </c>
      <c r="O438" s="28" t="s">
        <v>20</v>
      </c>
      <c r="P438" s="1" t="s">
        <v>78</v>
      </c>
      <c r="Q438" s="141"/>
      <c r="R438" s="191">
        <v>64890</v>
      </c>
    </row>
    <row r="439" spans="1:18" s="1" customFormat="1" ht="15.75" customHeight="1" x14ac:dyDescent="0.3">
      <c r="A439" s="5" t="s">
        <v>1436</v>
      </c>
      <c r="B439" s="131" t="s">
        <v>1437</v>
      </c>
      <c r="C439" s="11" t="s">
        <v>4490</v>
      </c>
      <c r="D439" t="s">
        <v>4493</v>
      </c>
      <c r="E439" s="160"/>
      <c r="F439" s="160" t="s">
        <v>1438</v>
      </c>
      <c r="G439" t="s">
        <v>4617</v>
      </c>
      <c r="H439" s="3" t="s">
        <v>1434</v>
      </c>
      <c r="I439"/>
      <c r="J439" s="165">
        <v>12582</v>
      </c>
      <c r="K439" s="3" t="s">
        <v>1435</v>
      </c>
      <c r="L439" s="3" t="s">
        <v>1439</v>
      </c>
      <c r="M439" s="13">
        <v>43978</v>
      </c>
      <c r="N439" s="86">
        <v>64890</v>
      </c>
      <c r="O439" s="28" t="s">
        <v>20</v>
      </c>
      <c r="P439" s="1" t="s">
        <v>78</v>
      </c>
      <c r="Q439" s="141"/>
      <c r="R439" s="191">
        <v>64890</v>
      </c>
    </row>
    <row r="440" spans="1:18" s="1" customFormat="1" ht="15.75" customHeight="1" x14ac:dyDescent="0.3">
      <c r="A440" s="5" t="s">
        <v>1440</v>
      </c>
      <c r="B440" s="131" t="s">
        <v>1441</v>
      </c>
      <c r="C440" s="11" t="s">
        <v>4490</v>
      </c>
      <c r="D440" t="s">
        <v>4494</v>
      </c>
      <c r="E440" s="160"/>
      <c r="F440" s="160" t="s">
        <v>1442</v>
      </c>
      <c r="G440" t="s">
        <v>4617</v>
      </c>
      <c r="H440" s="3" t="s">
        <v>1434</v>
      </c>
      <c r="I440"/>
      <c r="J440" s="165">
        <v>12582</v>
      </c>
      <c r="K440" s="11" t="s">
        <v>1435</v>
      </c>
      <c r="L440" s="11"/>
      <c r="M440" s="13">
        <v>43978</v>
      </c>
      <c r="N440" s="86">
        <v>64890</v>
      </c>
      <c r="O440" s="28"/>
      <c r="Q440" s="141"/>
      <c r="R440" s="191">
        <v>64890</v>
      </c>
    </row>
    <row r="441" spans="1:18" s="1" customFormat="1" ht="15.75" customHeight="1" x14ac:dyDescent="0.3">
      <c r="A441" s="5" t="s">
        <v>1443</v>
      </c>
      <c r="B441" s="9" t="s">
        <v>1444</v>
      </c>
      <c r="C441" s="11" t="s">
        <v>4518</v>
      </c>
      <c r="D441" t="s">
        <v>4494</v>
      </c>
      <c r="E441"/>
      <c r="F441"/>
      <c r="G441" t="s">
        <v>4642</v>
      </c>
      <c r="H441" s="3" t="s">
        <v>1445</v>
      </c>
      <c r="I441"/>
      <c r="J441" s="165" t="s">
        <v>39</v>
      </c>
      <c r="K441" s="27"/>
      <c r="L441" s="27"/>
      <c r="M441" s="13">
        <v>43983</v>
      </c>
      <c r="N441" s="86">
        <v>1980</v>
      </c>
      <c r="O441" s="28"/>
      <c r="Q441" s="141"/>
      <c r="R441" s="191">
        <v>1980</v>
      </c>
    </row>
    <row r="442" spans="1:18" s="1" customFormat="1" ht="15.75" customHeight="1" x14ac:dyDescent="0.3">
      <c r="A442" s="6" t="s">
        <v>1446</v>
      </c>
      <c r="B442" s="16" t="s">
        <v>1447</v>
      </c>
      <c r="C442" s="11" t="s">
        <v>4490</v>
      </c>
      <c r="D442" t="s">
        <v>4494</v>
      </c>
      <c r="E442"/>
      <c r="F442" t="s">
        <v>1448</v>
      </c>
      <c r="G442" t="s">
        <v>4642</v>
      </c>
      <c r="H442" s="3" t="s">
        <v>1449</v>
      </c>
      <c r="I442"/>
      <c r="J442" s="165">
        <v>65508</v>
      </c>
      <c r="K442" s="11" t="s">
        <v>1450</v>
      </c>
      <c r="L442" s="3" t="s">
        <v>1451</v>
      </c>
      <c r="M442" s="13">
        <v>43983</v>
      </c>
      <c r="N442" s="86">
        <v>330000</v>
      </c>
      <c r="O442" s="28" t="s">
        <v>20</v>
      </c>
      <c r="Q442" s="141"/>
      <c r="R442" s="191">
        <v>330000</v>
      </c>
    </row>
    <row r="443" spans="1:18" s="1" customFormat="1" ht="15.75" customHeight="1" x14ac:dyDescent="0.3">
      <c r="A443" s="5" t="s">
        <v>1452</v>
      </c>
      <c r="B443" s="9" t="s">
        <v>1453</v>
      </c>
      <c r="C443" s="11" t="s">
        <v>4490</v>
      </c>
      <c r="D443" t="s">
        <v>4493</v>
      </c>
      <c r="E443"/>
      <c r="F443" t="s">
        <v>1454</v>
      </c>
      <c r="G443" t="s">
        <v>4557</v>
      </c>
      <c r="H443" s="3" t="s">
        <v>1455</v>
      </c>
      <c r="I443"/>
      <c r="J443" s="165">
        <v>49525</v>
      </c>
      <c r="K443" s="3" t="s">
        <v>998</v>
      </c>
      <c r="L443" s="3" t="s">
        <v>999</v>
      </c>
      <c r="M443" s="13">
        <v>43987</v>
      </c>
      <c r="N443" s="86">
        <v>17000</v>
      </c>
      <c r="O443" s="28" t="s">
        <v>20</v>
      </c>
      <c r="P443" s="1" t="s">
        <v>78</v>
      </c>
      <c r="Q443" s="141"/>
      <c r="R443" s="191">
        <v>17000</v>
      </c>
    </row>
    <row r="444" spans="1:18" s="1" customFormat="1" ht="15.75" customHeight="1" x14ac:dyDescent="0.3">
      <c r="A444" s="5" t="s">
        <v>1456</v>
      </c>
      <c r="B444" s="9" t="s">
        <v>1457</v>
      </c>
      <c r="C444" s="11" t="s">
        <v>4490</v>
      </c>
      <c r="D444" t="s">
        <v>4495</v>
      </c>
      <c r="E444"/>
      <c r="F444">
        <v>107030</v>
      </c>
      <c r="G444" t="s">
        <v>4617</v>
      </c>
      <c r="H444" s="3" t="s">
        <v>1143</v>
      </c>
      <c r="I444"/>
      <c r="J444" s="165">
        <v>130</v>
      </c>
      <c r="K444" s="11" t="s">
        <v>1458</v>
      </c>
      <c r="L444" s="11"/>
      <c r="M444" s="13">
        <v>43990</v>
      </c>
      <c r="N444" s="86">
        <v>15000</v>
      </c>
      <c r="O444" s="28"/>
      <c r="Q444" s="141"/>
      <c r="R444" s="191">
        <v>15000</v>
      </c>
    </row>
    <row r="445" spans="1:18" s="1" customFormat="1" ht="15.75" customHeight="1" x14ac:dyDescent="0.3">
      <c r="A445" s="5" t="s">
        <v>1459</v>
      </c>
      <c r="B445" s="9" t="s">
        <v>1460</v>
      </c>
      <c r="C445" s="11" t="s">
        <v>4490</v>
      </c>
      <c r="D445" t="s">
        <v>4492</v>
      </c>
      <c r="E445" s="160"/>
      <c r="F445"/>
      <c r="G445" t="s">
        <v>4617</v>
      </c>
      <c r="H445" s="3" t="s">
        <v>1461</v>
      </c>
      <c r="I445"/>
      <c r="J445" s="165">
        <v>400</v>
      </c>
      <c r="K445" s="11" t="s">
        <v>1462</v>
      </c>
      <c r="L445" s="11"/>
      <c r="M445" s="13">
        <v>43992</v>
      </c>
      <c r="N445" s="86">
        <v>70000</v>
      </c>
      <c r="O445" s="28" t="s">
        <v>20</v>
      </c>
      <c r="P445" s="1" t="s">
        <v>91</v>
      </c>
      <c r="Q445" s="141"/>
      <c r="R445" s="191">
        <v>70000</v>
      </c>
    </row>
    <row r="446" spans="1:18" s="1" customFormat="1" ht="15.75" customHeight="1" x14ac:dyDescent="0.3">
      <c r="A446" s="5" t="s">
        <v>1463</v>
      </c>
      <c r="B446" s="9" t="s">
        <v>1464</v>
      </c>
      <c r="C446" s="11" t="s">
        <v>4489</v>
      </c>
      <c r="D446" t="s">
        <v>4494</v>
      </c>
      <c r="E446"/>
      <c r="F446"/>
      <c r="G446" t="s">
        <v>4626</v>
      </c>
      <c r="H446" s="3" t="s">
        <v>69</v>
      </c>
      <c r="I446"/>
      <c r="J446" s="165"/>
      <c r="K446" s="11"/>
      <c r="L446" s="15"/>
      <c r="M446" s="13">
        <v>43997</v>
      </c>
      <c r="N446" s="86">
        <v>37426.83</v>
      </c>
      <c r="O446" s="28" t="s">
        <v>20</v>
      </c>
      <c r="P446" s="1" t="s">
        <v>66</v>
      </c>
      <c r="Q446" s="141"/>
      <c r="R446" s="191" t="s">
        <v>4769</v>
      </c>
    </row>
    <row r="447" spans="1:18" s="1" customFormat="1" ht="15.75" customHeight="1" x14ac:dyDescent="0.3">
      <c r="A447" s="5" t="s">
        <v>1465</v>
      </c>
      <c r="B447" s="9" t="s">
        <v>1466</v>
      </c>
      <c r="C447" s="11" t="s">
        <v>4520</v>
      </c>
      <c r="D447" t="s">
        <v>4493</v>
      </c>
      <c r="E447" s="3"/>
      <c r="F447" s="10"/>
      <c r="G447" s="10"/>
      <c r="H447" s="3" t="s">
        <v>1467</v>
      </c>
      <c r="I447"/>
      <c r="J447" s="165" t="s">
        <v>39</v>
      </c>
      <c r="K447" s="27"/>
      <c r="L447" s="27"/>
      <c r="M447" s="13">
        <v>43998</v>
      </c>
      <c r="N447" s="86">
        <v>16000</v>
      </c>
      <c r="O447" s="28"/>
      <c r="Q447" s="141"/>
      <c r="R447" s="191">
        <v>16000</v>
      </c>
    </row>
    <row r="448" spans="1:18" s="1" customFormat="1" ht="15.75" customHeight="1" x14ac:dyDescent="0.3">
      <c r="A448" s="5" t="s">
        <v>1468</v>
      </c>
      <c r="B448" s="9" t="s">
        <v>1469</v>
      </c>
      <c r="C448" s="11" t="s">
        <v>4518</v>
      </c>
      <c r="D448" t="s">
        <v>4494</v>
      </c>
      <c r="E448" s="3"/>
      <c r="F448" s="15"/>
      <c r="G448" s="15"/>
      <c r="H448" s="3" t="s">
        <v>1470</v>
      </c>
      <c r="I448"/>
      <c r="J448" s="165" t="s">
        <v>39</v>
      </c>
      <c r="K448" s="27"/>
      <c r="L448" s="27"/>
      <c r="M448" s="13">
        <v>43998</v>
      </c>
      <c r="N448" s="86">
        <v>900.25</v>
      </c>
      <c r="O448" s="28" t="s">
        <v>20</v>
      </c>
      <c r="Q448" s="141"/>
      <c r="R448" s="191" t="s">
        <v>4770</v>
      </c>
    </row>
    <row r="449" spans="1:18" s="1" customFormat="1" ht="15.75" customHeight="1" x14ac:dyDescent="0.3">
      <c r="A449" s="5" t="s">
        <v>1471</v>
      </c>
      <c r="B449" s="9" t="s">
        <v>1472</v>
      </c>
      <c r="C449" s="11" t="s">
        <v>4490</v>
      </c>
      <c r="D449" t="s">
        <v>4494</v>
      </c>
      <c r="E449" s="160"/>
      <c r="F449" t="s">
        <v>1473</v>
      </c>
      <c r="G449" t="s">
        <v>4616</v>
      </c>
      <c r="H449" s="3" t="s">
        <v>1474</v>
      </c>
      <c r="I449"/>
      <c r="J449" s="165" t="s">
        <v>39</v>
      </c>
      <c r="K449" s="27"/>
      <c r="L449" s="27"/>
      <c r="M449" s="13">
        <v>44003</v>
      </c>
      <c r="N449" s="86">
        <v>90000</v>
      </c>
      <c r="O449" s="28" t="s">
        <v>20</v>
      </c>
      <c r="P449" s="1" t="s">
        <v>44</v>
      </c>
      <c r="Q449" s="141"/>
      <c r="R449" s="191">
        <v>90000</v>
      </c>
    </row>
    <row r="450" spans="1:18" s="1" customFormat="1" ht="15.75" customHeight="1" x14ac:dyDescent="0.3">
      <c r="A450" s="5" t="s">
        <v>1475</v>
      </c>
      <c r="B450" s="9" t="s">
        <v>1476</v>
      </c>
      <c r="C450" s="11" t="s">
        <v>4490</v>
      </c>
      <c r="D450" t="s">
        <v>4495</v>
      </c>
      <c r="E450"/>
      <c r="F450"/>
      <c r="G450" t="s">
        <v>4642</v>
      </c>
      <c r="H450" s="3" t="s">
        <v>1477</v>
      </c>
      <c r="I450" t="s">
        <v>4541</v>
      </c>
      <c r="J450" s="165" t="s">
        <v>39</v>
      </c>
      <c r="K450" s="27"/>
      <c r="L450" s="27"/>
      <c r="M450" s="13">
        <v>44008</v>
      </c>
      <c r="N450" s="86">
        <v>1985</v>
      </c>
      <c r="O450" s="28"/>
      <c r="Q450" s="141"/>
      <c r="R450" s="191">
        <v>1985</v>
      </c>
    </row>
    <row r="451" spans="1:18" s="1" customFormat="1" ht="15.75" customHeight="1" x14ac:dyDescent="0.3">
      <c r="A451" s="5" t="s">
        <v>1478</v>
      </c>
      <c r="B451" s="9" t="s">
        <v>1479</v>
      </c>
      <c r="C451" s="11" t="s">
        <v>4490</v>
      </c>
      <c r="D451" t="s">
        <v>4493</v>
      </c>
      <c r="E451"/>
      <c r="F451" t="s">
        <v>1480</v>
      </c>
      <c r="G451" t="s">
        <v>4557</v>
      </c>
      <c r="H451" s="3" t="s">
        <v>1481</v>
      </c>
      <c r="I451"/>
      <c r="J451" s="166">
        <v>139</v>
      </c>
      <c r="K451" s="3" t="s">
        <v>1482</v>
      </c>
      <c r="L451" s="3" t="s">
        <v>1326</v>
      </c>
      <c r="M451" s="13">
        <v>44025</v>
      </c>
      <c r="N451" s="86">
        <v>250000</v>
      </c>
      <c r="O451" s="28" t="s">
        <v>20</v>
      </c>
      <c r="P451" s="1" t="s">
        <v>78</v>
      </c>
      <c r="Q451" s="141"/>
      <c r="R451" s="191">
        <v>250000</v>
      </c>
    </row>
    <row r="452" spans="1:18" s="1" customFormat="1" ht="15.75" customHeight="1" x14ac:dyDescent="0.3">
      <c r="A452" s="5" t="s">
        <v>1483</v>
      </c>
      <c r="B452" s="9" t="s">
        <v>1484</v>
      </c>
      <c r="C452" s="11" t="s">
        <v>4490</v>
      </c>
      <c r="D452" t="s">
        <v>4493</v>
      </c>
      <c r="E452"/>
      <c r="F452" t="s">
        <v>1485</v>
      </c>
      <c r="G452" t="s">
        <v>4557</v>
      </c>
      <c r="H452" s="3" t="s">
        <v>1486</v>
      </c>
      <c r="I452"/>
      <c r="J452" s="165">
        <v>12020</v>
      </c>
      <c r="K452" s="11" t="s">
        <v>1487</v>
      </c>
      <c r="L452" s="11"/>
      <c r="M452" s="13">
        <v>44042</v>
      </c>
      <c r="N452" s="86">
        <v>45000</v>
      </c>
      <c r="O452" s="28"/>
      <c r="Q452" s="141"/>
      <c r="R452" s="191">
        <v>45000</v>
      </c>
    </row>
    <row r="453" spans="1:18" s="1" customFormat="1" ht="15.75" customHeight="1" x14ac:dyDescent="0.3">
      <c r="A453" s="5" t="s">
        <v>1488</v>
      </c>
      <c r="B453" s="9" t="s">
        <v>1489</v>
      </c>
      <c r="C453" s="11" t="s">
        <v>4489</v>
      </c>
      <c r="D453" t="s">
        <v>4499</v>
      </c>
      <c r="E453" s="3"/>
      <c r="F453" s="15"/>
      <c r="G453" s="15"/>
      <c r="H453" s="3" t="s">
        <v>1490</v>
      </c>
      <c r="I453"/>
      <c r="J453" s="165" t="s">
        <v>39</v>
      </c>
      <c r="K453" s="27"/>
      <c r="L453" s="27"/>
      <c r="M453" s="13">
        <v>44047</v>
      </c>
      <c r="N453" s="86">
        <v>6000</v>
      </c>
      <c r="O453" s="28" t="s">
        <v>20</v>
      </c>
      <c r="P453" s="1" t="s">
        <v>66</v>
      </c>
      <c r="Q453" s="141"/>
      <c r="R453" s="191">
        <v>6000</v>
      </c>
    </row>
    <row r="454" spans="1:18" s="1" customFormat="1" ht="15.75" customHeight="1" x14ac:dyDescent="0.3">
      <c r="A454" s="5" t="s">
        <v>1491</v>
      </c>
      <c r="B454" s="9" t="s">
        <v>1492</v>
      </c>
      <c r="C454" s="11" t="s">
        <v>4490</v>
      </c>
      <c r="D454" t="s">
        <v>4492</v>
      </c>
      <c r="E454"/>
      <c r="F454" t="s">
        <v>1493</v>
      </c>
      <c r="G454" t="s">
        <v>4642</v>
      </c>
      <c r="H454" s="3" t="s">
        <v>1494</v>
      </c>
      <c r="I454" s="160"/>
      <c r="J454" s="166">
        <v>50368</v>
      </c>
      <c r="K454" s="3" t="s">
        <v>998</v>
      </c>
      <c r="L454" s="3" t="s">
        <v>999</v>
      </c>
      <c r="M454" s="13">
        <v>44048</v>
      </c>
      <c r="N454" s="86">
        <v>155000</v>
      </c>
      <c r="O454" s="28" t="s">
        <v>20</v>
      </c>
      <c r="P454" s="1" t="s">
        <v>91</v>
      </c>
      <c r="Q454" s="141"/>
      <c r="R454" s="191">
        <v>155000</v>
      </c>
    </row>
    <row r="455" spans="1:18" s="1" customFormat="1" ht="15.75" customHeight="1" x14ac:dyDescent="0.3">
      <c r="A455" s="5" t="s">
        <v>1495</v>
      </c>
      <c r="B455" s="9" t="s">
        <v>1496</v>
      </c>
      <c r="C455" s="11" t="s">
        <v>4489</v>
      </c>
      <c r="D455" t="s">
        <v>4494</v>
      </c>
      <c r="E455" s="3"/>
      <c r="F455" s="15"/>
      <c r="G455" s="15"/>
      <c r="H455" s="3" t="s">
        <v>1497</v>
      </c>
      <c r="I455"/>
      <c r="J455" s="165" t="s">
        <v>39</v>
      </c>
      <c r="K455" s="27"/>
      <c r="L455" s="27"/>
      <c r="M455" s="13">
        <v>44050</v>
      </c>
      <c r="N455" s="86">
        <v>63956.639999999999</v>
      </c>
      <c r="O455" s="28"/>
      <c r="Q455" s="141"/>
      <c r="R455" s="191" t="s">
        <v>4771</v>
      </c>
    </row>
    <row r="456" spans="1:18" s="1" customFormat="1" ht="15.75" customHeight="1" x14ac:dyDescent="0.3">
      <c r="A456" s="5" t="s">
        <v>1498</v>
      </c>
      <c r="B456" s="9" t="s">
        <v>1499</v>
      </c>
      <c r="C456" s="11" t="s">
        <v>4489</v>
      </c>
      <c r="D456" t="s">
        <v>4499</v>
      </c>
      <c r="E456" s="3"/>
      <c r="F456" s="15"/>
      <c r="G456" s="15"/>
      <c r="H456" s="3" t="s">
        <v>1153</v>
      </c>
      <c r="I456"/>
      <c r="J456" s="165" t="s">
        <v>39</v>
      </c>
      <c r="K456" s="27"/>
      <c r="L456" s="27"/>
      <c r="M456" s="13">
        <v>44050</v>
      </c>
      <c r="N456" s="86">
        <v>64272.74</v>
      </c>
      <c r="O456" s="28" t="s">
        <v>20</v>
      </c>
      <c r="Q456" s="141"/>
      <c r="R456" s="191" t="s">
        <v>4772</v>
      </c>
    </row>
    <row r="457" spans="1:18" s="1" customFormat="1" ht="15.75" customHeight="1" x14ac:dyDescent="0.3">
      <c r="A457" s="5" t="s">
        <v>1500</v>
      </c>
      <c r="B457" s="9" t="s">
        <v>1501</v>
      </c>
      <c r="C457" s="11" t="s">
        <v>4489</v>
      </c>
      <c r="D457" t="s">
        <v>4497</v>
      </c>
      <c r="E457" s="3"/>
      <c r="F457" s="15"/>
      <c r="G457" s="15"/>
      <c r="H457" s="3" t="s">
        <v>1502</v>
      </c>
      <c r="I457"/>
      <c r="J457" s="165" t="s">
        <v>39</v>
      </c>
      <c r="K457" s="27"/>
      <c r="L457" s="27"/>
      <c r="M457" s="13">
        <v>44050</v>
      </c>
      <c r="N457" s="86">
        <v>71116.2</v>
      </c>
      <c r="O457" s="28"/>
      <c r="Q457" s="141"/>
      <c r="R457" s="191" t="s">
        <v>4773</v>
      </c>
    </row>
    <row r="458" spans="1:18" s="1" customFormat="1" ht="15.75" customHeight="1" x14ac:dyDescent="0.3">
      <c r="A458" s="5" t="s">
        <v>1503</v>
      </c>
      <c r="B458" s="9" t="s">
        <v>1504</v>
      </c>
      <c r="C458" s="11" t="s">
        <v>4489</v>
      </c>
      <c r="D458" t="s">
        <v>4494</v>
      </c>
      <c r="E458" s="3"/>
      <c r="F458" s="15"/>
      <c r="G458" s="15"/>
      <c r="H458" s="3" t="s">
        <v>1497</v>
      </c>
      <c r="I458"/>
      <c r="J458" s="165" t="s">
        <v>39</v>
      </c>
      <c r="K458" s="27"/>
      <c r="L458" s="27"/>
      <c r="M458" s="13">
        <v>44050</v>
      </c>
      <c r="N458" s="86">
        <v>63956.639999999999</v>
      </c>
      <c r="O458" s="28" t="s">
        <v>20</v>
      </c>
      <c r="Q458" s="141"/>
      <c r="R458" s="191" t="s">
        <v>4771</v>
      </c>
    </row>
    <row r="459" spans="1:18" s="1" customFormat="1" ht="15.75" customHeight="1" x14ac:dyDescent="0.3">
      <c r="A459" s="5" t="s">
        <v>1505</v>
      </c>
      <c r="B459" s="9" t="s">
        <v>1506</v>
      </c>
      <c r="C459" s="11" t="s">
        <v>4489</v>
      </c>
      <c r="D459" t="s">
        <v>4495</v>
      </c>
      <c r="E459" s="3"/>
      <c r="F459" s="15"/>
      <c r="G459" s="15"/>
      <c r="H459" s="3" t="s">
        <v>1507</v>
      </c>
      <c r="I459"/>
      <c r="J459" s="165" t="s">
        <v>39</v>
      </c>
      <c r="K459" s="27"/>
      <c r="L459" s="27"/>
      <c r="M459" s="13">
        <v>44050</v>
      </c>
      <c r="N459" s="86">
        <v>20019.37</v>
      </c>
      <c r="O459" s="28"/>
      <c r="Q459" s="141"/>
      <c r="R459" s="191" t="s">
        <v>4774</v>
      </c>
    </row>
    <row r="460" spans="1:18" s="1" customFormat="1" ht="15.75" customHeight="1" x14ac:dyDescent="0.3">
      <c r="A460" s="5" t="s">
        <v>1508</v>
      </c>
      <c r="B460" s="9" t="s">
        <v>1509</v>
      </c>
      <c r="C460" s="11" t="s">
        <v>4490</v>
      </c>
      <c r="D460" t="s">
        <v>4495</v>
      </c>
      <c r="E460"/>
      <c r="F460"/>
      <c r="G460" t="s">
        <v>4557</v>
      </c>
      <c r="H460" s="3" t="s">
        <v>1510</v>
      </c>
      <c r="I460"/>
      <c r="J460" s="165" t="s">
        <v>39</v>
      </c>
      <c r="K460" s="27"/>
      <c r="L460" s="27"/>
      <c r="M460" s="13">
        <v>44060</v>
      </c>
      <c r="N460" s="86">
        <v>8000</v>
      </c>
      <c r="O460" s="28" t="s">
        <v>20</v>
      </c>
      <c r="P460" s="1" t="s">
        <v>66</v>
      </c>
      <c r="Q460" s="141"/>
      <c r="R460" s="191">
        <v>8000</v>
      </c>
    </row>
    <row r="461" spans="1:18" s="1" customFormat="1" ht="15.75" customHeight="1" x14ac:dyDescent="0.3">
      <c r="A461" s="5" t="s">
        <v>1511</v>
      </c>
      <c r="B461" s="9" t="s">
        <v>1512</v>
      </c>
      <c r="C461" s="11" t="s">
        <v>4490</v>
      </c>
      <c r="D461" t="s">
        <v>4494</v>
      </c>
      <c r="E461"/>
      <c r="F461" t="s">
        <v>1513</v>
      </c>
      <c r="G461" t="s">
        <v>4629</v>
      </c>
      <c r="H461" s="3" t="s">
        <v>1026</v>
      </c>
      <c r="I461"/>
      <c r="J461" s="165">
        <v>7380</v>
      </c>
      <c r="K461" s="11" t="s">
        <v>176</v>
      </c>
      <c r="L461" s="11" t="s">
        <v>1028</v>
      </c>
      <c r="M461" s="13">
        <v>44169</v>
      </c>
      <c r="N461" s="86">
        <v>825000</v>
      </c>
      <c r="O461" s="28" t="s">
        <v>20</v>
      </c>
      <c r="P461" s="1" t="s">
        <v>44</v>
      </c>
      <c r="Q461" s="141"/>
      <c r="R461" s="191">
        <v>825000</v>
      </c>
    </row>
    <row r="462" spans="1:18" s="1" customFormat="1" ht="15.75" customHeight="1" x14ac:dyDescent="0.3">
      <c r="A462" s="5" t="s">
        <v>1514</v>
      </c>
      <c r="B462" s="9" t="s">
        <v>1515</v>
      </c>
      <c r="C462" s="11" t="s">
        <v>4490</v>
      </c>
      <c r="D462" t="s">
        <v>4495</v>
      </c>
      <c r="E462" s="160"/>
      <c r="F462" t="s">
        <v>1516</v>
      </c>
      <c r="G462" t="s">
        <v>4557</v>
      </c>
      <c r="H462" s="3" t="s">
        <v>1517</v>
      </c>
      <c r="I462"/>
      <c r="J462" s="165" t="s">
        <v>39</v>
      </c>
      <c r="K462" s="27"/>
      <c r="L462" s="27"/>
      <c r="M462" s="13">
        <v>44075</v>
      </c>
      <c r="N462" s="86">
        <v>80000</v>
      </c>
      <c r="O462" s="28" t="s">
        <v>20</v>
      </c>
      <c r="Q462" s="141"/>
      <c r="R462" s="191">
        <v>80000</v>
      </c>
    </row>
    <row r="463" spans="1:18" s="1" customFormat="1" ht="15.75" customHeight="1" x14ac:dyDescent="0.3">
      <c r="A463" s="128" t="s">
        <v>1518</v>
      </c>
      <c r="B463" s="9" t="s">
        <v>1519</v>
      </c>
      <c r="C463" s="11" t="s">
        <v>4489</v>
      </c>
      <c r="D463" t="s">
        <v>4494</v>
      </c>
      <c r="E463" s="3"/>
      <c r="F463" s="15"/>
      <c r="G463" s="15"/>
      <c r="H463" s="3" t="s">
        <v>1520</v>
      </c>
      <c r="I463"/>
      <c r="J463" s="165" t="s">
        <v>39</v>
      </c>
      <c r="K463" s="27"/>
      <c r="L463" s="27"/>
      <c r="M463" s="13">
        <v>44083</v>
      </c>
      <c r="N463" s="86">
        <v>2400</v>
      </c>
      <c r="O463" s="28"/>
      <c r="Q463" s="141"/>
      <c r="R463" s="191">
        <v>2400</v>
      </c>
    </row>
    <row r="464" spans="1:18" s="1" customFormat="1" ht="15.75" customHeight="1" x14ac:dyDescent="0.3">
      <c r="A464" s="5" t="s">
        <v>1521</v>
      </c>
      <c r="B464" s="9" t="s">
        <v>1522</v>
      </c>
      <c r="C464" s="11" t="s">
        <v>4490</v>
      </c>
      <c r="D464" t="s">
        <v>4494</v>
      </c>
      <c r="E464" s="160"/>
      <c r="F464" t="s">
        <v>1523</v>
      </c>
      <c r="G464" t="s">
        <v>4616</v>
      </c>
      <c r="H464" s="3" t="s">
        <v>1524</v>
      </c>
      <c r="I464"/>
      <c r="J464" s="165">
        <v>2425</v>
      </c>
      <c r="K464" s="11" t="s">
        <v>1525</v>
      </c>
      <c r="L464" s="3" t="s">
        <v>1526</v>
      </c>
      <c r="M464" s="13">
        <v>44083</v>
      </c>
      <c r="N464" s="86">
        <v>70000</v>
      </c>
      <c r="O464" s="28" t="s">
        <v>20</v>
      </c>
      <c r="P464" s="1" t="s">
        <v>44</v>
      </c>
      <c r="Q464" s="141"/>
      <c r="R464" s="191">
        <v>70000</v>
      </c>
    </row>
    <row r="465" spans="1:18" s="1" customFormat="1" ht="15.75" customHeight="1" x14ac:dyDescent="0.3">
      <c r="A465" s="5" t="s">
        <v>1527</v>
      </c>
      <c r="B465" s="9" t="s">
        <v>1528</v>
      </c>
      <c r="C465" s="11" t="s">
        <v>4489</v>
      </c>
      <c r="D465" t="s">
        <v>4495</v>
      </c>
      <c r="E465" s="3"/>
      <c r="F465" s="15">
        <v>2008801</v>
      </c>
      <c r="G465" s="15"/>
      <c r="H465" s="3" t="s">
        <v>1529</v>
      </c>
      <c r="I465">
        <v>2008801</v>
      </c>
      <c r="J465" s="165" t="s">
        <v>39</v>
      </c>
      <c r="K465" s="27"/>
      <c r="L465" s="27"/>
      <c r="M465" s="13">
        <v>44085</v>
      </c>
      <c r="N465" s="86">
        <v>8400</v>
      </c>
      <c r="O465" s="28" t="s">
        <v>20</v>
      </c>
      <c r="P465" s="1" t="s">
        <v>66</v>
      </c>
      <c r="Q465" s="141"/>
      <c r="R465" s="191">
        <v>8400</v>
      </c>
    </row>
    <row r="466" spans="1:18" s="1" customFormat="1" ht="15.75" customHeight="1" x14ac:dyDescent="0.3">
      <c r="A466" s="5" t="s">
        <v>1530</v>
      </c>
      <c r="B466" s="9" t="s">
        <v>1531</v>
      </c>
      <c r="C466" s="11" t="s">
        <v>4489</v>
      </c>
      <c r="D466" t="s">
        <v>4493</v>
      </c>
      <c r="E466"/>
      <c r="F466"/>
      <c r="G466" t="s">
        <v>4629</v>
      </c>
      <c r="H466" s="3" t="s">
        <v>646</v>
      </c>
      <c r="I466"/>
      <c r="J466" s="165"/>
      <c r="K466" s="11"/>
      <c r="L466" s="15"/>
      <c r="M466" s="13">
        <v>44095</v>
      </c>
      <c r="N466" s="86">
        <v>1940.46</v>
      </c>
      <c r="O466" s="28" t="s">
        <v>20</v>
      </c>
      <c r="P466" s="1" t="s">
        <v>78</v>
      </c>
      <c r="Q466" s="141"/>
      <c r="R466" s="191" t="s">
        <v>4775</v>
      </c>
    </row>
    <row r="467" spans="1:18" s="1" customFormat="1" ht="15.75" hidden="1" customHeight="1" x14ac:dyDescent="0.3">
      <c r="A467" s="5" t="s">
        <v>1532</v>
      </c>
      <c r="B467" s="9" t="s">
        <v>1533</v>
      </c>
      <c r="C467" s="11" t="s">
        <v>4522</v>
      </c>
      <c r="D467" t="s">
        <v>4501</v>
      </c>
      <c r="E467" s="3"/>
      <c r="F467" s="15"/>
      <c r="G467" s="15"/>
      <c r="H467" s="3" t="s">
        <v>1534</v>
      </c>
      <c r="I467"/>
      <c r="J467" s="165"/>
      <c r="K467" s="11"/>
      <c r="L467" s="15"/>
      <c r="M467" s="13">
        <v>44102</v>
      </c>
      <c r="N467" s="86"/>
      <c r="O467" s="28" t="s">
        <v>20</v>
      </c>
      <c r="P467" s="1" t="s">
        <v>91</v>
      </c>
      <c r="Q467" s="141"/>
      <c r="R467" s="191"/>
    </row>
    <row r="468" spans="1:18" s="1" customFormat="1" ht="15.75" customHeight="1" x14ac:dyDescent="0.3">
      <c r="A468" s="5" t="s">
        <v>1535</v>
      </c>
      <c r="B468" s="9" t="s">
        <v>1536</v>
      </c>
      <c r="C468" s="11" t="s">
        <v>4490</v>
      </c>
      <c r="D468" t="s">
        <v>4493</v>
      </c>
      <c r="E468"/>
      <c r="F468" t="s">
        <v>1541</v>
      </c>
      <c r="G468" t="s">
        <v>4643</v>
      </c>
      <c r="H468" s="3" t="s">
        <v>1538</v>
      </c>
      <c r="I468"/>
      <c r="J468" s="165">
        <v>146577</v>
      </c>
      <c r="K468" s="11" t="s">
        <v>176</v>
      </c>
      <c r="L468" s="11" t="s">
        <v>1028</v>
      </c>
      <c r="M468" s="13">
        <v>45040</v>
      </c>
      <c r="N468" s="86">
        <v>650000</v>
      </c>
      <c r="O468" s="28" t="s">
        <v>20</v>
      </c>
      <c r="P468" s="1" t="s">
        <v>78</v>
      </c>
      <c r="Q468" s="141"/>
      <c r="R468" s="191">
        <v>650000</v>
      </c>
    </row>
    <row r="469" spans="1:18" s="1" customFormat="1" ht="15.75" customHeight="1" x14ac:dyDescent="0.3">
      <c r="A469" s="5" t="s">
        <v>1539</v>
      </c>
      <c r="B469" s="9" t="s">
        <v>1540</v>
      </c>
      <c r="C469" s="11" t="s">
        <v>4490</v>
      </c>
      <c r="D469" t="s">
        <v>4493</v>
      </c>
      <c r="E469"/>
      <c r="F469" t="s">
        <v>1537</v>
      </c>
      <c r="G469" t="s">
        <v>4643</v>
      </c>
      <c r="H469" s="3" t="s">
        <v>1538</v>
      </c>
      <c r="I469"/>
      <c r="J469" s="165">
        <v>146578</v>
      </c>
      <c r="K469" s="11" t="s">
        <v>176</v>
      </c>
      <c r="L469" s="11" t="s">
        <v>1028</v>
      </c>
      <c r="M469" s="13">
        <v>45040</v>
      </c>
      <c r="N469" s="86">
        <v>650000</v>
      </c>
      <c r="O469" s="28" t="s">
        <v>20</v>
      </c>
      <c r="P469" s="1" t="s">
        <v>78</v>
      </c>
      <c r="Q469" s="141"/>
      <c r="R469" s="191">
        <v>650000</v>
      </c>
    </row>
    <row r="470" spans="1:18" s="1" customFormat="1" ht="15.75" customHeight="1" x14ac:dyDescent="0.3">
      <c r="A470" s="5" t="s">
        <v>1542</v>
      </c>
      <c r="B470" s="9" t="s">
        <v>1543</v>
      </c>
      <c r="C470" s="11" t="s">
        <v>4490</v>
      </c>
      <c r="D470" t="s">
        <v>4494</v>
      </c>
      <c r="E470"/>
      <c r="F470"/>
      <c r="G470" t="s">
        <v>4557</v>
      </c>
      <c r="H470" s="3" t="s">
        <v>1544</v>
      </c>
      <c r="I470"/>
      <c r="J470" s="165"/>
      <c r="K470" s="11"/>
      <c r="L470" s="15"/>
      <c r="M470" s="13">
        <v>44106</v>
      </c>
      <c r="N470" s="86">
        <v>58000.01</v>
      </c>
      <c r="O470" s="28"/>
      <c r="Q470" s="141"/>
      <c r="R470" s="191" t="s">
        <v>4776</v>
      </c>
    </row>
    <row r="471" spans="1:18" s="1" customFormat="1" ht="15.75" customHeight="1" x14ac:dyDescent="0.3">
      <c r="A471" s="5" t="s">
        <v>1545</v>
      </c>
      <c r="B471" s="9" t="s">
        <v>1546</v>
      </c>
      <c r="C471" s="11" t="s">
        <v>4519</v>
      </c>
      <c r="D471" t="s">
        <v>4495</v>
      </c>
      <c r="E471" s="3"/>
      <c r="F471" s="15"/>
      <c r="G471" s="15"/>
      <c r="H471" s="3" t="s">
        <v>1547</v>
      </c>
      <c r="I471"/>
      <c r="J471" s="166">
        <v>51684</v>
      </c>
      <c r="K471" s="3" t="s">
        <v>1548</v>
      </c>
      <c r="L471" s="3" t="s">
        <v>556</v>
      </c>
      <c r="M471" s="13">
        <v>44118</v>
      </c>
      <c r="N471" s="86">
        <v>1099.99</v>
      </c>
      <c r="O471" s="28"/>
      <c r="Q471" s="141"/>
      <c r="R471" s="191" t="s">
        <v>4777</v>
      </c>
    </row>
    <row r="472" spans="1:18" s="1" customFormat="1" ht="15.75" customHeight="1" x14ac:dyDescent="0.3">
      <c r="A472" s="5" t="s">
        <v>1549</v>
      </c>
      <c r="B472" s="9" t="s">
        <v>1550</v>
      </c>
      <c r="C472" s="11" t="s">
        <v>4490</v>
      </c>
      <c r="D472" t="s">
        <v>4495</v>
      </c>
      <c r="E472"/>
      <c r="F472" t="s">
        <v>1551</v>
      </c>
      <c r="G472" t="s">
        <v>4618</v>
      </c>
      <c r="H472" s="3" t="s">
        <v>1552</v>
      </c>
      <c r="I472" s="160"/>
      <c r="J472" s="165"/>
      <c r="K472" s="11"/>
      <c r="L472" s="15"/>
      <c r="M472" s="13">
        <v>44158</v>
      </c>
      <c r="N472" s="86">
        <v>213000</v>
      </c>
      <c r="O472" s="28" t="s">
        <v>20</v>
      </c>
      <c r="P472" s="1" t="s">
        <v>44</v>
      </c>
      <c r="Q472" s="141"/>
      <c r="R472" s="191">
        <v>213000</v>
      </c>
    </row>
    <row r="473" spans="1:18" s="1" customFormat="1" ht="15.75" customHeight="1" x14ac:dyDescent="0.3">
      <c r="A473" s="5" t="s">
        <v>1553</v>
      </c>
      <c r="B473" s="9" t="s">
        <v>1554</v>
      </c>
      <c r="C473" s="11" t="s">
        <v>4518</v>
      </c>
      <c r="D473" t="s">
        <v>4495</v>
      </c>
      <c r="E473" s="3"/>
      <c r="F473" s="15"/>
      <c r="G473" s="15"/>
      <c r="H473" s="3" t="s">
        <v>489</v>
      </c>
      <c r="I473"/>
      <c r="J473" s="165"/>
      <c r="K473" s="11"/>
      <c r="L473" s="15"/>
      <c r="M473" s="13">
        <v>44160</v>
      </c>
      <c r="N473" s="86">
        <v>1611.03</v>
      </c>
      <c r="O473" s="28" t="s">
        <v>20</v>
      </c>
      <c r="Q473" s="141"/>
      <c r="R473" s="191" t="s">
        <v>4778</v>
      </c>
    </row>
    <row r="474" spans="1:18" s="1" customFormat="1" ht="15.75" customHeight="1" x14ac:dyDescent="0.3">
      <c r="A474" s="5" t="s">
        <v>1555</v>
      </c>
      <c r="B474" s="9" t="s">
        <v>1556</v>
      </c>
      <c r="C474" s="11" t="s">
        <v>4489</v>
      </c>
      <c r="D474" t="s">
        <v>4495</v>
      </c>
      <c r="E474" s="3"/>
      <c r="F474" s="15"/>
      <c r="G474" s="15"/>
      <c r="H474" s="3" t="s">
        <v>1557</v>
      </c>
      <c r="I474"/>
      <c r="J474" s="166"/>
      <c r="K474" s="11"/>
      <c r="L474" s="11"/>
      <c r="M474" s="13">
        <v>44166</v>
      </c>
      <c r="N474" s="86">
        <v>8026.69</v>
      </c>
      <c r="O474" s="28" t="s">
        <v>20</v>
      </c>
      <c r="P474" s="1" t="s">
        <v>44</v>
      </c>
      <c r="Q474" s="141"/>
      <c r="R474" s="191" t="s">
        <v>4779</v>
      </c>
    </row>
    <row r="475" spans="1:18" s="23" customFormat="1" ht="15.75" customHeight="1" x14ac:dyDescent="0.3">
      <c r="A475" s="5" t="s">
        <v>1558</v>
      </c>
      <c r="B475" s="10" t="s">
        <v>1559</v>
      </c>
      <c r="C475" s="11" t="s">
        <v>4490</v>
      </c>
      <c r="D475" t="s">
        <v>4494</v>
      </c>
      <c r="E475"/>
      <c r="F475" t="s">
        <v>1560</v>
      </c>
      <c r="G475" t="s">
        <v>4643</v>
      </c>
      <c r="H475" s="11" t="s">
        <v>1561</v>
      </c>
      <c r="I475"/>
      <c r="J475" s="168"/>
      <c r="K475" s="11"/>
      <c r="L475" s="15"/>
      <c r="M475" s="13">
        <v>44169</v>
      </c>
      <c r="N475" s="90">
        <v>1400000</v>
      </c>
      <c r="O475" s="28" t="s">
        <v>20</v>
      </c>
      <c r="P475" s="23" t="s">
        <v>44</v>
      </c>
      <c r="Q475" s="141"/>
      <c r="R475" s="193">
        <v>1400000</v>
      </c>
    </row>
    <row r="476" spans="1:18" s="1" customFormat="1" ht="15.75" customHeight="1" x14ac:dyDescent="0.3">
      <c r="A476" s="5" t="s">
        <v>1562</v>
      </c>
      <c r="B476" s="9" t="s">
        <v>1563</v>
      </c>
      <c r="C476" s="11" t="s">
        <v>4490</v>
      </c>
      <c r="D476" t="s">
        <v>4494</v>
      </c>
      <c r="E476"/>
      <c r="F476" t="s">
        <v>1564</v>
      </c>
      <c r="G476" t="s">
        <v>4643</v>
      </c>
      <c r="H476" s="3" t="s">
        <v>1538</v>
      </c>
      <c r="I476"/>
      <c r="J476" s="165"/>
      <c r="K476" s="11"/>
      <c r="L476" s="15"/>
      <c r="M476" s="13">
        <v>44169</v>
      </c>
      <c r="N476" s="86">
        <v>400000</v>
      </c>
      <c r="O476" s="28" t="s">
        <v>20</v>
      </c>
      <c r="P476" s="1" t="s">
        <v>78</v>
      </c>
      <c r="Q476" s="141"/>
      <c r="R476" s="191">
        <v>400000</v>
      </c>
    </row>
    <row r="477" spans="1:18" s="1" customFormat="1" ht="15.75" customHeight="1" x14ac:dyDescent="0.3">
      <c r="A477" s="5" t="s">
        <v>1565</v>
      </c>
      <c r="B477" s="9" t="s">
        <v>1566</v>
      </c>
      <c r="C477" s="11" t="s">
        <v>4490</v>
      </c>
      <c r="D477" t="s">
        <v>4494</v>
      </c>
      <c r="E477"/>
      <c r="F477" t="s">
        <v>1567</v>
      </c>
      <c r="G477" t="s">
        <v>4642</v>
      </c>
      <c r="H477" s="3" t="s">
        <v>1568</v>
      </c>
      <c r="I477"/>
      <c r="J477" s="165">
        <v>38128</v>
      </c>
      <c r="K477" s="11" t="s">
        <v>653</v>
      </c>
      <c r="L477" s="11" t="s">
        <v>654</v>
      </c>
      <c r="M477" s="13">
        <v>44061</v>
      </c>
      <c r="N477" s="86">
        <v>860000</v>
      </c>
      <c r="O477" s="28" t="s">
        <v>20</v>
      </c>
      <c r="P477" s="1" t="s">
        <v>66</v>
      </c>
      <c r="Q477" s="141"/>
      <c r="R477" s="191">
        <v>860000</v>
      </c>
    </row>
    <row r="478" spans="1:18" s="77" customFormat="1" ht="15.75" hidden="1" customHeight="1" x14ac:dyDescent="0.3">
      <c r="A478" s="112" t="s">
        <v>1569</v>
      </c>
      <c r="B478" s="113" t="s">
        <v>1569</v>
      </c>
      <c r="C478" s="11" t="s">
        <v>4487</v>
      </c>
      <c r="D478" t="s">
        <v>4495</v>
      </c>
      <c r="E478" t="s">
        <v>1570</v>
      </c>
      <c r="F478" t="s">
        <v>1571</v>
      </c>
      <c r="G478" t="s">
        <v>4618</v>
      </c>
      <c r="H478" s="115" t="s">
        <v>1572</v>
      </c>
      <c r="I478" t="s">
        <v>4542</v>
      </c>
      <c r="J478" s="173"/>
      <c r="K478" s="114"/>
      <c r="L478" s="114"/>
      <c r="M478" s="116"/>
      <c r="N478" s="94"/>
      <c r="O478" s="117"/>
      <c r="P478" s="1" t="s">
        <v>66</v>
      </c>
      <c r="Q478" s="141"/>
      <c r="R478" s="191"/>
    </row>
    <row r="479" spans="1:18" s="1" customFormat="1" ht="15.75" customHeight="1" x14ac:dyDescent="0.3">
      <c r="A479" s="5" t="s">
        <v>1573</v>
      </c>
      <c r="B479" s="9" t="s">
        <v>1574</v>
      </c>
      <c r="C479" s="11" t="s">
        <v>4490</v>
      </c>
      <c r="D479" t="s">
        <v>4494</v>
      </c>
      <c r="E479"/>
      <c r="F479"/>
      <c r="G479" t="s">
        <v>4675</v>
      </c>
      <c r="H479" s="3" t="s">
        <v>1386</v>
      </c>
      <c r="I479"/>
      <c r="J479" s="165"/>
      <c r="K479" s="11"/>
      <c r="L479" s="15"/>
      <c r="M479" s="13">
        <v>44172</v>
      </c>
      <c r="N479" s="86">
        <v>49000</v>
      </c>
      <c r="O479" s="28" t="s">
        <v>20</v>
      </c>
      <c r="P479" s="1" t="s">
        <v>78</v>
      </c>
      <c r="Q479" s="141"/>
      <c r="R479" s="191">
        <v>49000</v>
      </c>
    </row>
    <row r="480" spans="1:18" s="1" customFormat="1" ht="15.75" customHeight="1" x14ac:dyDescent="0.3">
      <c r="A480" s="5" t="s">
        <v>1575</v>
      </c>
      <c r="B480" s="9" t="s">
        <v>1576</v>
      </c>
      <c r="C480" s="11" t="s">
        <v>4489</v>
      </c>
      <c r="D480" t="s">
        <v>4494</v>
      </c>
      <c r="E480" s="3"/>
      <c r="F480" s="15"/>
      <c r="G480" s="15"/>
      <c r="H480" s="3" t="s">
        <v>1577</v>
      </c>
      <c r="I480"/>
      <c r="J480" s="165"/>
      <c r="K480" s="11"/>
      <c r="L480" s="15"/>
      <c r="M480" s="13">
        <v>44196</v>
      </c>
      <c r="N480" s="86">
        <v>73719.509999999995</v>
      </c>
      <c r="O480" s="28"/>
      <c r="Q480" s="141"/>
      <c r="R480" s="191" t="s">
        <v>4780</v>
      </c>
    </row>
    <row r="481" spans="1:18" s="1" customFormat="1" ht="15.75" customHeight="1" x14ac:dyDescent="0.3">
      <c r="A481" s="5" t="s">
        <v>1578</v>
      </c>
      <c r="B481" s="9" t="s">
        <v>1579</v>
      </c>
      <c r="C481" s="11" t="s">
        <v>4489</v>
      </c>
      <c r="D481" t="s">
        <v>4495</v>
      </c>
      <c r="E481"/>
      <c r="F481"/>
      <c r="G481" t="s">
        <v>4617</v>
      </c>
      <c r="H481" s="3" t="s">
        <v>1580</v>
      </c>
      <c r="I481"/>
      <c r="J481" s="165"/>
      <c r="K481" s="11"/>
      <c r="L481" s="15"/>
      <c r="M481" s="13">
        <v>44204</v>
      </c>
      <c r="N481" s="86">
        <v>1242.05</v>
      </c>
      <c r="O481" s="28" t="s">
        <v>20</v>
      </c>
      <c r="Q481" s="141"/>
      <c r="R481" s="191" t="s">
        <v>4781</v>
      </c>
    </row>
    <row r="482" spans="1:18" s="1" customFormat="1" ht="15.75" customHeight="1" x14ac:dyDescent="0.3">
      <c r="A482" s="5" t="s">
        <v>1581</v>
      </c>
      <c r="B482" s="9" t="s">
        <v>1582</v>
      </c>
      <c r="C482" s="11" t="s">
        <v>4489</v>
      </c>
      <c r="D482" t="s">
        <v>4493</v>
      </c>
      <c r="E482"/>
      <c r="F482"/>
      <c r="G482" t="s">
        <v>4617</v>
      </c>
      <c r="H482" s="3" t="s">
        <v>1580</v>
      </c>
      <c r="I482"/>
      <c r="J482" s="165"/>
      <c r="K482" s="11"/>
      <c r="L482" s="15"/>
      <c r="M482" s="13">
        <v>44204</v>
      </c>
      <c r="N482" s="86">
        <v>1242.05</v>
      </c>
      <c r="O482" s="28"/>
      <c r="Q482" s="141"/>
      <c r="R482" s="191" t="s">
        <v>4781</v>
      </c>
    </row>
    <row r="483" spans="1:18" s="1" customFormat="1" ht="15.75" customHeight="1" x14ac:dyDescent="0.3">
      <c r="A483" s="5" t="s">
        <v>1583</v>
      </c>
      <c r="B483" s="9" t="s">
        <v>1584</v>
      </c>
      <c r="C483" s="11" t="s">
        <v>4519</v>
      </c>
      <c r="D483" t="s">
        <v>4494</v>
      </c>
      <c r="E483" s="3"/>
      <c r="F483" s="15"/>
      <c r="G483" s="15"/>
      <c r="H483" s="3" t="s">
        <v>1585</v>
      </c>
      <c r="I483"/>
      <c r="J483" s="166">
        <v>5314593</v>
      </c>
      <c r="K483" s="3" t="s">
        <v>1586</v>
      </c>
      <c r="L483" s="3" t="s">
        <v>1587</v>
      </c>
      <c r="M483" s="13">
        <v>44221</v>
      </c>
      <c r="N483" s="86">
        <v>2808.77</v>
      </c>
      <c r="O483" s="28"/>
      <c r="Q483" s="141"/>
      <c r="R483" s="191" t="s">
        <v>4782</v>
      </c>
    </row>
    <row r="484" spans="1:18" s="1" customFormat="1" ht="15.75" customHeight="1" x14ac:dyDescent="0.3">
      <c r="A484" s="5" t="s">
        <v>1588</v>
      </c>
      <c r="B484" s="9" t="s">
        <v>1589</v>
      </c>
      <c r="C484" s="11" t="s">
        <v>4490</v>
      </c>
      <c r="D484" t="s">
        <v>4493</v>
      </c>
      <c r="E484"/>
      <c r="F484" t="s">
        <v>1590</v>
      </c>
      <c r="G484" t="s">
        <v>4675</v>
      </c>
      <c r="H484" s="3" t="s">
        <v>1591</v>
      </c>
      <c r="I484"/>
      <c r="J484" s="166"/>
      <c r="K484" s="11"/>
      <c r="L484" s="11"/>
      <c r="M484" s="13">
        <v>44222</v>
      </c>
      <c r="N484" s="86">
        <v>42000</v>
      </c>
      <c r="O484" s="28" t="s">
        <v>20</v>
      </c>
      <c r="P484" s="1" t="s">
        <v>78</v>
      </c>
      <c r="Q484" s="141"/>
      <c r="R484" s="191">
        <v>42000</v>
      </c>
    </row>
    <row r="485" spans="1:18" s="1" customFormat="1" ht="15.75" customHeight="1" x14ac:dyDescent="0.3">
      <c r="A485" s="5" t="s">
        <v>1592</v>
      </c>
      <c r="B485" s="9" t="s">
        <v>1593</v>
      </c>
      <c r="C485" s="11" t="s">
        <v>4489</v>
      </c>
      <c r="D485" t="s">
        <v>4493</v>
      </c>
      <c r="E485"/>
      <c r="F485"/>
      <c r="G485" t="s">
        <v>4623</v>
      </c>
      <c r="H485" s="3" t="s">
        <v>1594</v>
      </c>
      <c r="I485"/>
      <c r="J485" s="165"/>
      <c r="K485" s="11"/>
      <c r="L485" s="15"/>
      <c r="M485" s="13">
        <v>44226</v>
      </c>
      <c r="N485" s="86">
        <v>1940.46</v>
      </c>
      <c r="O485" s="28" t="s">
        <v>20</v>
      </c>
      <c r="P485" s="1" t="s">
        <v>78</v>
      </c>
      <c r="Q485" s="141"/>
      <c r="R485" s="191" t="s">
        <v>4775</v>
      </c>
    </row>
    <row r="486" spans="1:18" s="1" customFormat="1" ht="15.75" customHeight="1" x14ac:dyDescent="0.3">
      <c r="A486" s="5" t="s">
        <v>1595</v>
      </c>
      <c r="B486" s="9" t="s">
        <v>1596</v>
      </c>
      <c r="C486" s="11" t="s">
        <v>4518</v>
      </c>
      <c r="D486" t="s">
        <v>4494</v>
      </c>
      <c r="E486" s="3"/>
      <c r="F486" s="15"/>
      <c r="G486" s="15"/>
      <c r="H486" s="3" t="s">
        <v>1597</v>
      </c>
      <c r="I486" t="s">
        <v>4543</v>
      </c>
      <c r="J486" s="165"/>
      <c r="K486" s="11"/>
      <c r="L486" s="15"/>
      <c r="M486" s="13">
        <v>44228</v>
      </c>
      <c r="N486" s="86">
        <v>1830.37</v>
      </c>
      <c r="O486" s="28" t="s">
        <v>20</v>
      </c>
      <c r="P486" s="1" t="s">
        <v>44</v>
      </c>
      <c r="Q486" s="141"/>
      <c r="R486" s="191" t="s">
        <v>4783</v>
      </c>
    </row>
    <row r="487" spans="1:18" s="1" customFormat="1" ht="15.75" customHeight="1" x14ac:dyDescent="0.3">
      <c r="A487" s="5" t="s">
        <v>1598</v>
      </c>
      <c r="B487" s="9" t="s">
        <v>1599</v>
      </c>
      <c r="C487" s="11" t="s">
        <v>4518</v>
      </c>
      <c r="D487" t="s">
        <v>4494</v>
      </c>
      <c r="E487" s="3"/>
      <c r="F487" s="15"/>
      <c r="G487" s="15"/>
      <c r="H487" s="3" t="s">
        <v>1600</v>
      </c>
      <c r="I487" t="s">
        <v>4544</v>
      </c>
      <c r="J487" s="165"/>
      <c r="K487" s="11"/>
      <c r="L487" s="15"/>
      <c r="M487" s="13">
        <v>44228</v>
      </c>
      <c r="N487" s="86">
        <v>7805.72</v>
      </c>
      <c r="O487" s="28" t="s">
        <v>20</v>
      </c>
      <c r="P487" s="1" t="s">
        <v>44</v>
      </c>
      <c r="Q487" s="141"/>
      <c r="R487" s="191" t="s">
        <v>4784</v>
      </c>
    </row>
    <row r="488" spans="1:18" s="1" customFormat="1" ht="15.75" customHeight="1" x14ac:dyDescent="0.3">
      <c r="A488" s="5" t="s">
        <v>1601</v>
      </c>
      <c r="B488" s="9" t="s">
        <v>1602</v>
      </c>
      <c r="C488" s="11" t="s">
        <v>4519</v>
      </c>
      <c r="D488" t="s">
        <v>4494</v>
      </c>
      <c r="E488" s="3"/>
      <c r="F488" s="15"/>
      <c r="G488" s="15"/>
      <c r="H488" s="3" t="s">
        <v>1603</v>
      </c>
      <c r="I488"/>
      <c r="J488" s="166">
        <v>55686</v>
      </c>
      <c r="K488" s="3" t="s">
        <v>1548</v>
      </c>
      <c r="L488" s="3" t="s">
        <v>556</v>
      </c>
      <c r="M488" s="13">
        <v>44228</v>
      </c>
      <c r="N488" s="86">
        <v>2339</v>
      </c>
      <c r="O488" s="28"/>
      <c r="Q488" s="141"/>
      <c r="R488" s="191">
        <v>2339</v>
      </c>
    </row>
    <row r="489" spans="1:18" s="1" customFormat="1" ht="15.75" customHeight="1" x14ac:dyDescent="0.3">
      <c r="A489" s="5" t="s">
        <v>1604</v>
      </c>
      <c r="B489" s="9" t="s">
        <v>1605</v>
      </c>
      <c r="C489" s="11" t="s">
        <v>4520</v>
      </c>
      <c r="D489" t="s">
        <v>4494</v>
      </c>
      <c r="E489" s="3"/>
      <c r="F489" s="10"/>
      <c r="G489" s="10"/>
      <c r="H489" s="3" t="s">
        <v>1606</v>
      </c>
      <c r="I489" t="s">
        <v>4545</v>
      </c>
      <c r="J489" s="165"/>
      <c r="K489" s="11"/>
      <c r="L489" s="15"/>
      <c r="M489" s="13">
        <v>44236</v>
      </c>
      <c r="N489" s="86">
        <v>1350.85</v>
      </c>
      <c r="O489" s="28" t="s">
        <v>20</v>
      </c>
      <c r="P489" s="1" t="s">
        <v>44</v>
      </c>
      <c r="Q489" s="141"/>
      <c r="R489" s="191" t="s">
        <v>4785</v>
      </c>
    </row>
    <row r="490" spans="1:18" s="1" customFormat="1" ht="15.75" hidden="1" customHeight="1" x14ac:dyDescent="0.3">
      <c r="A490" s="5" t="s">
        <v>1607</v>
      </c>
      <c r="B490" s="9" t="s">
        <v>1608</v>
      </c>
      <c r="C490" s="11" t="s">
        <v>4490</v>
      </c>
      <c r="D490" t="s">
        <v>4493</v>
      </c>
      <c r="E490"/>
      <c r="F490" t="s">
        <v>1609</v>
      </c>
      <c r="G490" t="s">
        <v>4557</v>
      </c>
      <c r="H490" s="3" t="s">
        <v>1376</v>
      </c>
      <c r="I490"/>
      <c r="J490" s="165"/>
      <c r="K490" s="11"/>
      <c r="L490" s="15"/>
      <c r="M490" s="13">
        <v>44240</v>
      </c>
      <c r="N490" s="86"/>
      <c r="O490" s="28" t="s">
        <v>20</v>
      </c>
      <c r="P490" s="1" t="s">
        <v>78</v>
      </c>
      <c r="Q490" s="141"/>
      <c r="R490" s="191"/>
    </row>
    <row r="491" spans="1:18" s="1" customFormat="1" ht="15.75" customHeight="1" x14ac:dyDescent="0.3">
      <c r="A491" s="5" t="s">
        <v>1610</v>
      </c>
      <c r="B491" s="9" t="s">
        <v>1611</v>
      </c>
      <c r="C491" s="11" t="s">
        <v>4518</v>
      </c>
      <c r="D491" t="s">
        <v>4495</v>
      </c>
      <c r="E491" s="3"/>
      <c r="F491" s="15"/>
      <c r="G491" s="15"/>
      <c r="H491" s="3" t="s">
        <v>1612</v>
      </c>
      <c r="I491" t="s">
        <v>4546</v>
      </c>
      <c r="J491" s="165"/>
      <c r="K491" s="11"/>
      <c r="L491" s="15"/>
      <c r="M491" s="13">
        <v>44246</v>
      </c>
      <c r="N491" s="152">
        <v>1144</v>
      </c>
      <c r="O491" s="28" t="s">
        <v>20</v>
      </c>
      <c r="Q491" s="141"/>
      <c r="R491" s="191">
        <v>1144</v>
      </c>
    </row>
    <row r="492" spans="1:18" s="1" customFormat="1" ht="15.75" customHeight="1" x14ac:dyDescent="0.3">
      <c r="A492" s="5" t="s">
        <v>1613</v>
      </c>
      <c r="B492" s="9" t="s">
        <v>1614</v>
      </c>
      <c r="C492" s="11" t="s">
        <v>4489</v>
      </c>
      <c r="D492" t="s">
        <v>4493</v>
      </c>
      <c r="E492"/>
      <c r="F492"/>
      <c r="G492" t="s">
        <v>4626</v>
      </c>
      <c r="H492" s="3" t="s">
        <v>1615</v>
      </c>
      <c r="I492"/>
      <c r="J492" s="165"/>
      <c r="K492" s="11"/>
      <c r="L492" s="15"/>
      <c r="M492" s="13">
        <v>44253</v>
      </c>
      <c r="N492" s="86">
        <v>2090.9899999999998</v>
      </c>
      <c r="O492" s="28"/>
      <c r="Q492" s="141"/>
      <c r="R492" s="191" t="s">
        <v>4786</v>
      </c>
    </row>
    <row r="493" spans="1:18" s="1" customFormat="1" ht="15.75" customHeight="1" x14ac:dyDescent="0.3">
      <c r="A493" s="5" t="s">
        <v>1616</v>
      </c>
      <c r="B493" s="9" t="s">
        <v>1617</v>
      </c>
      <c r="C493" s="11" t="s">
        <v>4518</v>
      </c>
      <c r="D493" t="s">
        <v>4494</v>
      </c>
      <c r="E493"/>
      <c r="F493"/>
      <c r="G493" t="s">
        <v>4626</v>
      </c>
      <c r="H493" s="3" t="s">
        <v>1615</v>
      </c>
      <c r="I493"/>
      <c r="J493" s="165"/>
      <c r="K493" s="11"/>
      <c r="L493" s="15"/>
      <c r="M493" s="13">
        <v>44253</v>
      </c>
      <c r="N493" s="86">
        <v>2090.9899999999998</v>
      </c>
      <c r="O493" s="28"/>
      <c r="Q493" s="141"/>
      <c r="R493" s="191" t="s">
        <v>4786</v>
      </c>
    </row>
    <row r="494" spans="1:18" s="1" customFormat="1" ht="15.75" customHeight="1" x14ac:dyDescent="0.3">
      <c r="A494" s="5" t="s">
        <v>1618</v>
      </c>
      <c r="B494" s="9" t="s">
        <v>1619</v>
      </c>
      <c r="C494" s="11" t="s">
        <v>4489</v>
      </c>
      <c r="D494" t="s">
        <v>4495</v>
      </c>
      <c r="E494" s="3"/>
      <c r="F494" s="15"/>
      <c r="G494" s="15"/>
      <c r="H494" s="3" t="s">
        <v>1620</v>
      </c>
      <c r="I494"/>
      <c r="J494" s="165"/>
      <c r="K494" s="11"/>
      <c r="L494" s="15"/>
      <c r="M494" s="13">
        <v>44253</v>
      </c>
      <c r="N494" s="86">
        <v>2090.9899999999998</v>
      </c>
      <c r="O494" s="28"/>
      <c r="Q494" s="141"/>
      <c r="R494" s="191" t="s">
        <v>4786</v>
      </c>
    </row>
    <row r="495" spans="1:18" s="1" customFormat="1" ht="15.75" customHeight="1" x14ac:dyDescent="0.3">
      <c r="A495" s="5" t="s">
        <v>1621</v>
      </c>
      <c r="B495" s="9" t="s">
        <v>1622</v>
      </c>
      <c r="C495" s="11" t="s">
        <v>4487</v>
      </c>
      <c r="D495" t="s">
        <v>4493</v>
      </c>
      <c r="E495" t="s">
        <v>1623</v>
      </c>
      <c r="F495" t="s">
        <v>1624</v>
      </c>
      <c r="G495" t="s">
        <v>4631</v>
      </c>
      <c r="H495" s="3" t="s">
        <v>1625</v>
      </c>
      <c r="I495"/>
      <c r="J495" s="166"/>
      <c r="K495" s="11"/>
      <c r="L495" s="11"/>
      <c r="M495" s="13">
        <v>44257</v>
      </c>
      <c r="N495" s="86">
        <v>8550</v>
      </c>
      <c r="O495" s="28" t="s">
        <v>20</v>
      </c>
      <c r="P495" s="1" t="s">
        <v>78</v>
      </c>
      <c r="Q495" s="141"/>
      <c r="R495" s="191">
        <v>8550</v>
      </c>
    </row>
    <row r="496" spans="1:18" s="1" customFormat="1" ht="15.75" customHeight="1" x14ac:dyDescent="0.3">
      <c r="A496" s="5" t="s">
        <v>1626</v>
      </c>
      <c r="B496" s="9" t="s">
        <v>1627</v>
      </c>
      <c r="C496" s="11" t="s">
        <v>4489</v>
      </c>
      <c r="D496" t="s">
        <v>4495</v>
      </c>
      <c r="E496" s="3"/>
      <c r="F496" s="15"/>
      <c r="G496" s="15"/>
      <c r="H496" s="3" t="s">
        <v>1628</v>
      </c>
      <c r="I496"/>
      <c r="J496" s="165"/>
      <c r="K496" s="11"/>
      <c r="L496" s="15"/>
      <c r="M496" s="13">
        <v>44280</v>
      </c>
      <c r="N496" s="86">
        <v>55467.6</v>
      </c>
      <c r="O496" s="28"/>
      <c r="Q496" s="141"/>
      <c r="R496" s="191" t="s">
        <v>4787</v>
      </c>
    </row>
    <row r="497" spans="1:18" s="1" customFormat="1" ht="15.75" customHeight="1" x14ac:dyDescent="0.3">
      <c r="A497" s="5" t="s">
        <v>1629</v>
      </c>
      <c r="B497" s="9" t="s">
        <v>1630</v>
      </c>
      <c r="C497" s="11" t="s">
        <v>4490</v>
      </c>
      <c r="D497" t="s">
        <v>4495</v>
      </c>
      <c r="E497" s="160"/>
      <c r="F497">
        <v>1041065</v>
      </c>
      <c r="G497" t="s">
        <v>4645</v>
      </c>
      <c r="H497" s="3" t="s">
        <v>1631</v>
      </c>
      <c r="I497"/>
      <c r="J497" s="165"/>
      <c r="K497" s="11"/>
      <c r="L497" s="15"/>
      <c r="M497" s="13">
        <v>44281</v>
      </c>
      <c r="N497" s="86">
        <v>118000</v>
      </c>
      <c r="O497" s="28" t="s">
        <v>20</v>
      </c>
      <c r="P497" s="1" t="s">
        <v>78</v>
      </c>
      <c r="Q497" s="141"/>
      <c r="R497" s="191">
        <v>118000</v>
      </c>
    </row>
    <row r="498" spans="1:18" s="1" customFormat="1" ht="15.75" customHeight="1" x14ac:dyDescent="0.3">
      <c r="A498" s="5" t="s">
        <v>1632</v>
      </c>
      <c r="B498" s="9" t="s">
        <v>1633</v>
      </c>
      <c r="C498" s="11" t="s">
        <v>4490</v>
      </c>
      <c r="D498" t="s">
        <v>4494</v>
      </c>
      <c r="E498"/>
      <c r="F498" t="s">
        <v>4688</v>
      </c>
      <c r="G498" t="s">
        <v>4643</v>
      </c>
      <c r="H498" s="3" t="s">
        <v>1538</v>
      </c>
      <c r="I498" t="s">
        <v>4547</v>
      </c>
      <c r="J498" s="165"/>
      <c r="K498" s="11"/>
      <c r="L498" s="15"/>
      <c r="M498" s="13">
        <v>44286</v>
      </c>
      <c r="N498" s="86">
        <v>400000</v>
      </c>
      <c r="O498" s="28" t="s">
        <v>20</v>
      </c>
      <c r="P498" s="1" t="s">
        <v>44</v>
      </c>
      <c r="Q498" s="141"/>
      <c r="R498" s="191">
        <v>400000</v>
      </c>
    </row>
    <row r="499" spans="1:18" s="1" customFormat="1" ht="15.75" customHeight="1" x14ac:dyDescent="0.3">
      <c r="A499" s="5" t="s">
        <v>1634</v>
      </c>
      <c r="B499" s="9" t="s">
        <v>1635</v>
      </c>
      <c r="C499" s="11" t="s">
        <v>4490</v>
      </c>
      <c r="D499" t="s">
        <v>4493</v>
      </c>
      <c r="E499"/>
      <c r="F499" t="s">
        <v>4689</v>
      </c>
      <c r="G499" t="s">
        <v>4643</v>
      </c>
      <c r="H499" s="3" t="s">
        <v>1538</v>
      </c>
      <c r="I499"/>
      <c r="J499" s="165"/>
      <c r="K499" s="11"/>
      <c r="L499" s="15"/>
      <c r="M499" s="13">
        <v>44286</v>
      </c>
      <c r="N499" s="86">
        <v>400000</v>
      </c>
      <c r="O499" s="28" t="s">
        <v>20</v>
      </c>
      <c r="P499" s="1" t="s">
        <v>78</v>
      </c>
      <c r="Q499" s="141"/>
      <c r="R499" s="191">
        <v>400000</v>
      </c>
    </row>
    <row r="500" spans="1:18" s="23" customFormat="1" ht="15.75" customHeight="1" x14ac:dyDescent="0.3">
      <c r="A500" s="5" t="s">
        <v>1636</v>
      </c>
      <c r="B500" s="10" t="s">
        <v>1637</v>
      </c>
      <c r="C500" s="11" t="s">
        <v>4490</v>
      </c>
      <c r="D500" t="s">
        <v>4494</v>
      </c>
      <c r="E500"/>
      <c r="F500" t="s">
        <v>1638</v>
      </c>
      <c r="G500" t="s">
        <v>4643</v>
      </c>
      <c r="H500" s="11" t="s">
        <v>1639</v>
      </c>
      <c r="I500"/>
      <c r="J500" s="170"/>
      <c r="K500" s="11"/>
      <c r="L500" s="15"/>
      <c r="M500" s="13">
        <v>44286</v>
      </c>
      <c r="N500" s="90">
        <v>500000</v>
      </c>
      <c r="O500" s="28"/>
      <c r="Q500" s="141"/>
      <c r="R500" s="193">
        <v>500000</v>
      </c>
    </row>
    <row r="501" spans="1:18" s="1" customFormat="1" ht="15.75" customHeight="1" x14ac:dyDescent="0.3">
      <c r="A501" s="45" t="s">
        <v>1640</v>
      </c>
      <c r="B501" s="9" t="s">
        <v>1640</v>
      </c>
      <c r="C501" s="11" t="s">
        <v>4488</v>
      </c>
      <c r="D501" t="s">
        <v>4499</v>
      </c>
      <c r="E501"/>
      <c r="F501" t="s">
        <v>4619</v>
      </c>
      <c r="G501"/>
      <c r="H501" s="3" t="s">
        <v>1641</v>
      </c>
      <c r="I501"/>
      <c r="J501" s="165"/>
      <c r="K501" s="3"/>
      <c r="L501" s="15"/>
      <c r="M501" s="29">
        <v>45565</v>
      </c>
      <c r="N501" s="86">
        <v>8994013.5500000007</v>
      </c>
      <c r="O501" s="25"/>
      <c r="P501" s="1" t="s">
        <v>66</v>
      </c>
      <c r="Q501" s="141"/>
      <c r="R501" s="191" t="s">
        <v>4788</v>
      </c>
    </row>
    <row r="502" spans="1:18" s="1" customFormat="1" ht="15.75" customHeight="1" x14ac:dyDescent="0.3">
      <c r="A502" s="5" t="s">
        <v>1642</v>
      </c>
      <c r="B502" s="9" t="s">
        <v>1643</v>
      </c>
      <c r="C502" s="11" t="s">
        <v>4490</v>
      </c>
      <c r="D502" t="s">
        <v>4495</v>
      </c>
      <c r="E502"/>
      <c r="F502">
        <v>21104456</v>
      </c>
      <c r="G502" t="s">
        <v>4643</v>
      </c>
      <c r="H502" s="3" t="s">
        <v>1644</v>
      </c>
      <c r="I502"/>
      <c r="J502" s="165">
        <v>16341</v>
      </c>
      <c r="K502" s="11" t="s">
        <v>1645</v>
      </c>
      <c r="L502" s="11" t="s">
        <v>957</v>
      </c>
      <c r="M502" s="13">
        <v>44292</v>
      </c>
      <c r="N502" s="86">
        <v>140000</v>
      </c>
      <c r="O502" s="28" t="s">
        <v>20</v>
      </c>
      <c r="P502" s="1" t="s">
        <v>44</v>
      </c>
      <c r="Q502" s="141"/>
      <c r="R502" s="191">
        <v>140000</v>
      </c>
    </row>
    <row r="503" spans="1:18" s="1" customFormat="1" ht="15.75" customHeight="1" x14ac:dyDescent="0.3">
      <c r="A503" s="5" t="s">
        <v>1646</v>
      </c>
      <c r="B503" s="9" t="s">
        <v>1647</v>
      </c>
      <c r="C503" s="11" t="s">
        <v>4490</v>
      </c>
      <c r="D503" t="s">
        <v>4495</v>
      </c>
      <c r="E503"/>
      <c r="F503" t="s">
        <v>1648</v>
      </c>
      <c r="G503" t="s">
        <v>4557</v>
      </c>
      <c r="H503" s="3" t="s">
        <v>1649</v>
      </c>
      <c r="I503"/>
      <c r="J503" s="165"/>
      <c r="K503" s="11"/>
      <c r="L503" s="15"/>
      <c r="M503" s="13">
        <v>44294</v>
      </c>
      <c r="N503" s="86">
        <v>22000</v>
      </c>
      <c r="O503" s="28" t="s">
        <v>20</v>
      </c>
      <c r="P503" s="1" t="s">
        <v>78</v>
      </c>
      <c r="Q503" s="141"/>
      <c r="R503" s="191">
        <v>22000</v>
      </c>
    </row>
    <row r="504" spans="1:18" s="1" customFormat="1" ht="15.75" customHeight="1" x14ac:dyDescent="0.3">
      <c r="A504" s="5" t="s">
        <v>1650</v>
      </c>
      <c r="B504" s="9" t="s">
        <v>1651</v>
      </c>
      <c r="C504" s="11" t="s">
        <v>4490</v>
      </c>
      <c r="D504" t="s">
        <v>4493</v>
      </c>
      <c r="E504"/>
      <c r="F504" t="s">
        <v>1652</v>
      </c>
      <c r="G504" t="s">
        <v>4643</v>
      </c>
      <c r="H504" s="3" t="s">
        <v>478</v>
      </c>
      <c r="I504"/>
      <c r="J504" s="165"/>
      <c r="K504" s="11"/>
      <c r="L504" s="15"/>
      <c r="M504" s="13">
        <v>44295</v>
      </c>
      <c r="N504" s="86">
        <v>76191.759999999995</v>
      </c>
      <c r="O504" s="28" t="s">
        <v>20</v>
      </c>
      <c r="P504" s="1" t="s">
        <v>78</v>
      </c>
      <c r="Q504" s="141"/>
      <c r="R504" s="191" t="s">
        <v>4789</v>
      </c>
    </row>
    <row r="505" spans="1:18" s="1" customFormat="1" ht="15.75" customHeight="1" x14ac:dyDescent="0.3">
      <c r="A505" s="5" t="s">
        <v>1653</v>
      </c>
      <c r="B505" s="9" t="s">
        <v>1654</v>
      </c>
      <c r="C505" s="11" t="s">
        <v>4490</v>
      </c>
      <c r="D505" t="s">
        <v>4493</v>
      </c>
      <c r="E505"/>
      <c r="F505" t="s">
        <v>1655</v>
      </c>
      <c r="G505" t="s">
        <v>4643</v>
      </c>
      <c r="H505" s="3" t="s">
        <v>478</v>
      </c>
      <c r="I505"/>
      <c r="J505" s="165"/>
      <c r="K505" s="11"/>
      <c r="L505" s="15"/>
      <c r="M505" s="13">
        <v>44295</v>
      </c>
      <c r="N505" s="86">
        <v>76191.759999999995</v>
      </c>
      <c r="O505" s="28" t="s">
        <v>20</v>
      </c>
      <c r="P505" s="1" t="s">
        <v>78</v>
      </c>
      <c r="Q505" s="141"/>
      <c r="R505" s="191" t="s">
        <v>4789</v>
      </c>
    </row>
    <row r="506" spans="1:18" s="1" customFormat="1" ht="15.75" customHeight="1" x14ac:dyDescent="0.3">
      <c r="A506" s="5" t="s">
        <v>1656</v>
      </c>
      <c r="B506" s="9" t="s">
        <v>1657</v>
      </c>
      <c r="C506" s="11" t="s">
        <v>4490</v>
      </c>
      <c r="D506" t="s">
        <v>4493</v>
      </c>
      <c r="E506"/>
      <c r="F506" t="s">
        <v>1658</v>
      </c>
      <c r="G506" t="s">
        <v>4643</v>
      </c>
      <c r="H506" s="3" t="s">
        <v>478</v>
      </c>
      <c r="I506"/>
      <c r="J506" s="165"/>
      <c r="K506" s="11"/>
      <c r="L506" s="15"/>
      <c r="M506" s="13">
        <v>44295</v>
      </c>
      <c r="N506" s="86">
        <v>76191.759999999995</v>
      </c>
      <c r="O506" s="28" t="s">
        <v>20</v>
      </c>
      <c r="P506" s="1" t="s">
        <v>78</v>
      </c>
      <c r="Q506" s="141"/>
      <c r="R506" s="191" t="s">
        <v>4789</v>
      </c>
    </row>
    <row r="507" spans="1:18" s="1" customFormat="1" ht="15.75" customHeight="1" x14ac:dyDescent="0.3">
      <c r="A507" s="5" t="s">
        <v>1659</v>
      </c>
      <c r="B507" s="9" t="s">
        <v>1660</v>
      </c>
      <c r="C507" s="11" t="s">
        <v>4490</v>
      </c>
      <c r="D507" t="s">
        <v>4493</v>
      </c>
      <c r="E507"/>
      <c r="F507" t="s">
        <v>1661</v>
      </c>
      <c r="G507" t="s">
        <v>4643</v>
      </c>
      <c r="H507" s="3" t="s">
        <v>478</v>
      </c>
      <c r="I507"/>
      <c r="J507" s="165"/>
      <c r="K507" s="11"/>
      <c r="L507" s="15"/>
      <c r="M507" s="13">
        <v>44295</v>
      </c>
      <c r="N507" s="86">
        <v>76191.759999999995</v>
      </c>
      <c r="O507" s="28" t="s">
        <v>20</v>
      </c>
      <c r="P507" s="1" t="s">
        <v>78</v>
      </c>
      <c r="Q507" s="141"/>
      <c r="R507" s="191" t="s">
        <v>4789</v>
      </c>
    </row>
    <row r="508" spans="1:18" s="1" customFormat="1" ht="15.75" customHeight="1" x14ac:dyDescent="0.3">
      <c r="A508" s="5" t="s">
        <v>1662</v>
      </c>
      <c r="B508" s="9" t="s">
        <v>1663</v>
      </c>
      <c r="C508" s="11" t="s">
        <v>4490</v>
      </c>
      <c r="D508" t="s">
        <v>4495</v>
      </c>
      <c r="E508"/>
      <c r="F508" t="s">
        <v>1664</v>
      </c>
      <c r="G508" t="s">
        <v>4557</v>
      </c>
      <c r="H508" s="3" t="s">
        <v>1665</v>
      </c>
      <c r="I508"/>
      <c r="J508" s="165"/>
      <c r="K508" s="11"/>
      <c r="L508" s="15"/>
      <c r="M508" s="13">
        <v>44302</v>
      </c>
      <c r="N508" s="86">
        <v>235000</v>
      </c>
      <c r="O508" s="28" t="s">
        <v>20</v>
      </c>
      <c r="P508" s="1" t="s">
        <v>91</v>
      </c>
      <c r="Q508" s="141"/>
      <c r="R508" s="191">
        <v>235000</v>
      </c>
    </row>
    <row r="509" spans="1:18" s="23" customFormat="1" ht="15.75" customHeight="1" x14ac:dyDescent="0.3">
      <c r="A509" s="5" t="s">
        <v>1666</v>
      </c>
      <c r="B509" s="10" t="s">
        <v>1667</v>
      </c>
      <c r="C509" s="11" t="s">
        <v>4490</v>
      </c>
      <c r="D509" t="s">
        <v>4494</v>
      </c>
      <c r="E509"/>
      <c r="F509" t="s">
        <v>1668</v>
      </c>
      <c r="G509" t="s">
        <v>4643</v>
      </c>
      <c r="H509" s="11" t="s">
        <v>1561</v>
      </c>
      <c r="I509"/>
      <c r="J509" s="168"/>
      <c r="K509" s="11"/>
      <c r="L509" s="15"/>
      <c r="M509" s="13">
        <v>44314</v>
      </c>
      <c r="N509" s="90">
        <v>1450000</v>
      </c>
      <c r="O509" s="28" t="s">
        <v>20</v>
      </c>
      <c r="P509" s="23" t="s">
        <v>78</v>
      </c>
      <c r="Q509" s="141"/>
      <c r="R509" s="193">
        <v>1450000</v>
      </c>
    </row>
    <row r="510" spans="1:18" s="1" customFormat="1" ht="15.75" customHeight="1" x14ac:dyDescent="0.3">
      <c r="A510" s="5" t="s">
        <v>1669</v>
      </c>
      <c r="B510" s="9" t="s">
        <v>1670</v>
      </c>
      <c r="C510" s="11" t="s">
        <v>4520</v>
      </c>
      <c r="D510" t="s">
        <v>4496</v>
      </c>
      <c r="E510" s="3"/>
      <c r="F510" s="10"/>
      <c r="G510" s="10"/>
      <c r="H510" s="3" t="s">
        <v>1671</v>
      </c>
      <c r="I510"/>
      <c r="J510" s="165"/>
      <c r="K510" s="11"/>
      <c r="L510" s="15"/>
      <c r="M510" s="13">
        <v>44320</v>
      </c>
      <c r="N510" s="86">
        <v>4422.05</v>
      </c>
      <c r="O510" s="28" t="s">
        <v>20</v>
      </c>
      <c r="P510" s="1" t="s">
        <v>106</v>
      </c>
      <c r="Q510" s="141" t="s">
        <v>4709</v>
      </c>
      <c r="R510" s="191" t="s">
        <v>4790</v>
      </c>
    </row>
    <row r="511" spans="1:18" s="1" customFormat="1" ht="15.75" customHeight="1" x14ac:dyDescent="0.3">
      <c r="A511" s="5" t="s">
        <v>1672</v>
      </c>
      <c r="B511" s="9" t="s">
        <v>1673</v>
      </c>
      <c r="C511" s="11" t="s">
        <v>4490</v>
      </c>
      <c r="D511" t="s">
        <v>4495</v>
      </c>
      <c r="E511"/>
      <c r="F511" t="s">
        <v>1674</v>
      </c>
      <c r="G511" t="s">
        <v>4643</v>
      </c>
      <c r="H511" s="3" t="s">
        <v>1675</v>
      </c>
      <c r="I511"/>
      <c r="J511" s="165"/>
      <c r="K511" s="11"/>
      <c r="L511" s="15"/>
      <c r="M511" s="13">
        <v>44329</v>
      </c>
      <c r="N511" s="86">
        <v>260000</v>
      </c>
      <c r="O511" s="28" t="s">
        <v>20</v>
      </c>
      <c r="P511" s="1" t="s">
        <v>66</v>
      </c>
      <c r="Q511" s="141"/>
      <c r="R511" s="191">
        <v>260000</v>
      </c>
    </row>
    <row r="512" spans="1:18" s="1" customFormat="1" ht="15.75" customHeight="1" x14ac:dyDescent="0.3">
      <c r="A512" s="5" t="s">
        <v>1676</v>
      </c>
      <c r="B512" s="9" t="s">
        <v>1677</v>
      </c>
      <c r="C512" s="11" t="s">
        <v>4490</v>
      </c>
      <c r="D512" t="s">
        <v>4493</v>
      </c>
      <c r="E512"/>
      <c r="F512" t="s">
        <v>1678</v>
      </c>
      <c r="G512" t="s">
        <v>4557</v>
      </c>
      <c r="H512" s="3" t="s">
        <v>1679</v>
      </c>
      <c r="I512"/>
      <c r="J512" s="165"/>
      <c r="K512" s="11"/>
      <c r="L512" s="15"/>
      <c r="M512" s="13">
        <v>44347</v>
      </c>
      <c r="N512" s="86">
        <v>304766.24</v>
      </c>
      <c r="O512" s="28" t="s">
        <v>20</v>
      </c>
      <c r="P512" s="1" t="s">
        <v>78</v>
      </c>
      <c r="Q512" s="141"/>
      <c r="R512" s="191" t="s">
        <v>4791</v>
      </c>
    </row>
    <row r="513" spans="1:18" s="1" customFormat="1" ht="15.75" customHeight="1" x14ac:dyDescent="0.3">
      <c r="A513" s="5" t="s">
        <v>1680</v>
      </c>
      <c r="B513" s="9" t="s">
        <v>1681</v>
      </c>
      <c r="C513" s="11" t="s">
        <v>4490</v>
      </c>
      <c r="D513" t="s">
        <v>4494</v>
      </c>
      <c r="E513"/>
      <c r="F513"/>
      <c r="G513"/>
      <c r="H513" s="3" t="s">
        <v>1682</v>
      </c>
      <c r="I513"/>
      <c r="J513" s="165">
        <v>457</v>
      </c>
      <c r="K513" s="3" t="s">
        <v>1683</v>
      </c>
      <c r="L513" s="11" t="s">
        <v>1684</v>
      </c>
      <c r="M513" s="13">
        <v>44368</v>
      </c>
      <c r="N513" s="86">
        <v>7000</v>
      </c>
      <c r="O513" s="28" t="s">
        <v>20</v>
      </c>
      <c r="Q513" s="141"/>
      <c r="R513" s="191">
        <v>7000</v>
      </c>
    </row>
    <row r="514" spans="1:18" s="1" customFormat="1" ht="15.75" customHeight="1" x14ac:dyDescent="0.3">
      <c r="A514" s="5" t="s">
        <v>1685</v>
      </c>
      <c r="B514" s="9" t="s">
        <v>1686</v>
      </c>
      <c r="C514" s="11" t="s">
        <v>4490</v>
      </c>
      <c r="D514" t="s">
        <v>4495</v>
      </c>
      <c r="E514" s="160"/>
      <c r="F514">
        <v>12</v>
      </c>
      <c r="G514" t="s">
        <v>4557</v>
      </c>
      <c r="H514" s="3" t="s">
        <v>1687</v>
      </c>
      <c r="I514"/>
      <c r="J514" s="165">
        <v>189</v>
      </c>
      <c r="K514" s="11" t="s">
        <v>1688</v>
      </c>
      <c r="L514" s="11" t="s">
        <v>989</v>
      </c>
      <c r="M514" s="13">
        <v>44376</v>
      </c>
      <c r="N514" s="86">
        <v>75000</v>
      </c>
      <c r="O514" s="28" t="s">
        <v>20</v>
      </c>
      <c r="P514" s="1" t="s">
        <v>66</v>
      </c>
      <c r="Q514" s="141"/>
      <c r="R514" s="191">
        <v>75000</v>
      </c>
    </row>
    <row r="515" spans="1:18" s="22" customFormat="1" ht="15.75" customHeight="1" x14ac:dyDescent="0.3">
      <c r="A515" s="5" t="s">
        <v>1689</v>
      </c>
      <c r="B515" s="9" t="s">
        <v>1690</v>
      </c>
      <c r="C515" s="11" t="s">
        <v>4519</v>
      </c>
      <c r="D515" t="s">
        <v>4496</v>
      </c>
      <c r="E515" s="3"/>
      <c r="F515" s="15"/>
      <c r="G515" s="15"/>
      <c r="H515" s="3" t="s">
        <v>1691</v>
      </c>
      <c r="I515"/>
      <c r="J515" s="166">
        <v>2822</v>
      </c>
      <c r="K515" s="3" t="s">
        <v>1692</v>
      </c>
      <c r="L515" s="11" t="s">
        <v>1693</v>
      </c>
      <c r="M515" s="13">
        <v>44386</v>
      </c>
      <c r="N515" s="86">
        <v>1819</v>
      </c>
      <c r="O515" s="28"/>
      <c r="P515" s="1"/>
      <c r="Q515" s="141"/>
      <c r="R515" s="191">
        <v>1819</v>
      </c>
    </row>
    <row r="516" spans="1:18" s="1" customFormat="1" ht="15.75" hidden="1" customHeight="1" x14ac:dyDescent="0.3">
      <c r="A516" s="64" t="s">
        <v>1694</v>
      </c>
      <c r="B516" s="9" t="s">
        <v>1695</v>
      </c>
      <c r="C516" s="11" t="s">
        <v>4490</v>
      </c>
      <c r="D516" t="s">
        <v>4495</v>
      </c>
      <c r="E516" s="3"/>
      <c r="F516" s="15"/>
      <c r="G516" s="15"/>
      <c r="H516" s="3" t="s">
        <v>1696</v>
      </c>
      <c r="I516"/>
      <c r="J516" s="174"/>
      <c r="K516" s="15"/>
      <c r="L516" s="15"/>
      <c r="M516" s="13">
        <v>44389</v>
      </c>
      <c r="N516" s="86"/>
      <c r="O516" s="28"/>
      <c r="Q516" s="141"/>
      <c r="R516" s="191"/>
    </row>
    <row r="517" spans="1:18" s="1" customFormat="1" ht="15.75" customHeight="1" x14ac:dyDescent="0.3">
      <c r="A517" s="5" t="s">
        <v>1697</v>
      </c>
      <c r="B517" s="9" t="s">
        <v>1698</v>
      </c>
      <c r="C517" s="11" t="s">
        <v>4490</v>
      </c>
      <c r="D517" t="s">
        <v>4495</v>
      </c>
      <c r="E517" s="160"/>
      <c r="F517">
        <v>1041864</v>
      </c>
      <c r="G517" t="s">
        <v>4617</v>
      </c>
      <c r="H517" s="3" t="s">
        <v>1699</v>
      </c>
      <c r="I517"/>
      <c r="J517" s="165">
        <v>103</v>
      </c>
      <c r="K517" s="3" t="s">
        <v>1700</v>
      </c>
      <c r="L517" s="11" t="s">
        <v>1701</v>
      </c>
      <c r="M517" s="13">
        <v>44391</v>
      </c>
      <c r="N517" s="86">
        <v>120000</v>
      </c>
      <c r="O517" s="28" t="s">
        <v>20</v>
      </c>
      <c r="P517" s="1" t="s">
        <v>44</v>
      </c>
      <c r="Q517" s="141"/>
      <c r="R517" s="191">
        <v>120000</v>
      </c>
    </row>
    <row r="518" spans="1:18" s="1" customFormat="1" ht="15.75" customHeight="1" x14ac:dyDescent="0.3">
      <c r="A518" s="5" t="s">
        <v>1702</v>
      </c>
      <c r="B518" s="9" t="s">
        <v>1703</v>
      </c>
      <c r="C518" s="11" t="s">
        <v>4519</v>
      </c>
      <c r="D518" t="s">
        <v>4494</v>
      </c>
      <c r="E518" s="3"/>
      <c r="F518" s="15"/>
      <c r="G518" s="15"/>
      <c r="H518" s="3" t="s">
        <v>1704</v>
      </c>
      <c r="I518"/>
      <c r="J518" s="165">
        <v>493675</v>
      </c>
      <c r="K518" s="3" t="s">
        <v>701</v>
      </c>
      <c r="L518" s="11" t="s">
        <v>730</v>
      </c>
      <c r="M518" s="13">
        <v>44391</v>
      </c>
      <c r="N518" s="86">
        <v>3200</v>
      </c>
      <c r="O518" s="28" t="s">
        <v>20</v>
      </c>
      <c r="P518" s="1" t="s">
        <v>44</v>
      </c>
      <c r="Q518" s="141"/>
      <c r="R518" s="191">
        <v>3200</v>
      </c>
    </row>
    <row r="519" spans="1:18" s="1" customFormat="1" ht="15.75" customHeight="1" x14ac:dyDescent="0.3">
      <c r="A519" s="5" t="s">
        <v>1705</v>
      </c>
      <c r="B519" s="9" t="s">
        <v>1706</v>
      </c>
      <c r="C519" s="11" t="s">
        <v>4519</v>
      </c>
      <c r="D519" t="s">
        <v>4495</v>
      </c>
      <c r="E519" s="3"/>
      <c r="F519" s="15"/>
      <c r="G519" s="15"/>
      <c r="H519" s="3" t="s">
        <v>1707</v>
      </c>
      <c r="I519"/>
      <c r="J519" s="165">
        <v>493905</v>
      </c>
      <c r="K519" s="3" t="s">
        <v>701</v>
      </c>
      <c r="L519" s="11" t="s">
        <v>730</v>
      </c>
      <c r="M519" s="13">
        <v>44391</v>
      </c>
      <c r="N519" s="86">
        <v>3200</v>
      </c>
      <c r="O519" s="28" t="s">
        <v>20</v>
      </c>
      <c r="Q519" s="141"/>
      <c r="R519" s="191">
        <v>3200</v>
      </c>
    </row>
    <row r="520" spans="1:18" s="1" customFormat="1" ht="15.75" customHeight="1" x14ac:dyDescent="0.3">
      <c r="A520" s="5" t="s">
        <v>1708</v>
      </c>
      <c r="B520" s="9" t="s">
        <v>1709</v>
      </c>
      <c r="C520" s="11" t="s">
        <v>4490</v>
      </c>
      <c r="D520" t="s">
        <v>4494</v>
      </c>
      <c r="E520"/>
      <c r="F520"/>
      <c r="G520" t="s">
        <v>4557</v>
      </c>
      <c r="H520" s="3" t="s">
        <v>1710</v>
      </c>
      <c r="I520"/>
      <c r="J520" s="166">
        <v>32</v>
      </c>
      <c r="K520" s="11" t="s">
        <v>1711</v>
      </c>
      <c r="L520" s="11" t="s">
        <v>1712</v>
      </c>
      <c r="M520" s="13">
        <v>44397</v>
      </c>
      <c r="N520" s="86">
        <v>254763.16</v>
      </c>
      <c r="O520" s="28" t="s">
        <v>20</v>
      </c>
      <c r="P520" s="1" t="s">
        <v>91</v>
      </c>
      <c r="Q520" s="141"/>
      <c r="R520" s="191" t="s">
        <v>4792</v>
      </c>
    </row>
    <row r="521" spans="1:18" s="1" customFormat="1" ht="15.75" customHeight="1" x14ac:dyDescent="0.3">
      <c r="A521" s="5" t="s">
        <v>1713</v>
      </c>
      <c r="B521" s="9" t="s">
        <v>1714</v>
      </c>
      <c r="C521" s="11" t="s">
        <v>4519</v>
      </c>
      <c r="D521" t="s">
        <v>4495</v>
      </c>
      <c r="E521" s="3"/>
      <c r="F521" s="15"/>
      <c r="G521" s="15"/>
      <c r="H521" s="3" t="s">
        <v>1715</v>
      </c>
      <c r="I521"/>
      <c r="J521" s="166">
        <v>492659</v>
      </c>
      <c r="K521" s="3" t="s">
        <v>701</v>
      </c>
      <c r="L521" s="11" t="s">
        <v>730</v>
      </c>
      <c r="M521" s="13">
        <v>44397</v>
      </c>
      <c r="N521" s="86">
        <v>3178.73</v>
      </c>
      <c r="O521" s="28" t="s">
        <v>20</v>
      </c>
      <c r="Q521" s="141"/>
      <c r="R521" s="191" t="s">
        <v>4793</v>
      </c>
    </row>
    <row r="522" spans="1:18" s="1" customFormat="1" ht="15.75" customHeight="1" x14ac:dyDescent="0.3">
      <c r="A522" s="5" t="s">
        <v>1716</v>
      </c>
      <c r="B522" s="9" t="s">
        <v>1717</v>
      </c>
      <c r="C522" s="11" t="s">
        <v>4490</v>
      </c>
      <c r="D522" t="s">
        <v>4495</v>
      </c>
      <c r="E522" s="160"/>
      <c r="F522" t="s">
        <v>1718</v>
      </c>
      <c r="G522" t="s">
        <v>4629</v>
      </c>
      <c r="H522" s="3" t="s">
        <v>1719</v>
      </c>
      <c r="I522"/>
      <c r="J522" s="166">
        <v>57563</v>
      </c>
      <c r="K522" s="3" t="s">
        <v>998</v>
      </c>
      <c r="L522" s="11" t="s">
        <v>999</v>
      </c>
      <c r="M522" s="13">
        <v>44399</v>
      </c>
      <c r="N522" s="86">
        <v>85320</v>
      </c>
      <c r="O522" s="28" t="s">
        <v>20</v>
      </c>
      <c r="Q522" s="141"/>
      <c r="R522" s="191">
        <v>85320</v>
      </c>
    </row>
    <row r="523" spans="1:18" s="1" customFormat="1" ht="15.75" customHeight="1" x14ac:dyDescent="0.3">
      <c r="A523" s="65" t="s">
        <v>1720</v>
      </c>
      <c r="B523" s="9" t="s">
        <v>1720</v>
      </c>
      <c r="C523" s="3" t="s">
        <v>4488</v>
      </c>
      <c r="D523" t="s">
        <v>4494</v>
      </c>
      <c r="E523"/>
      <c r="F523"/>
      <c r="G523"/>
      <c r="H523" s="3" t="s">
        <v>1721</v>
      </c>
      <c r="I523"/>
      <c r="J523" s="165"/>
      <c r="K523" s="3"/>
      <c r="L523" s="11"/>
      <c r="M523" s="29">
        <v>45565</v>
      </c>
      <c r="N523" s="86">
        <v>96.02</v>
      </c>
      <c r="O523" s="25"/>
      <c r="P523" s="49" t="s">
        <v>44</v>
      </c>
      <c r="Q523" s="141"/>
      <c r="R523" s="191" t="s">
        <v>4794</v>
      </c>
    </row>
    <row r="524" spans="1:18" s="1" customFormat="1" ht="15.75" customHeight="1" x14ac:dyDescent="0.3">
      <c r="A524" s="64" t="s">
        <v>1722</v>
      </c>
      <c r="B524" s="9" t="s">
        <v>1723</v>
      </c>
      <c r="C524" s="11" t="s">
        <v>4519</v>
      </c>
      <c r="D524" t="s">
        <v>4493</v>
      </c>
      <c r="E524" s="3"/>
      <c r="F524" s="15"/>
      <c r="G524" s="15"/>
      <c r="H524" s="3" t="s">
        <v>1724</v>
      </c>
      <c r="I524"/>
      <c r="J524" s="166">
        <v>495270</v>
      </c>
      <c r="K524" s="11" t="s">
        <v>701</v>
      </c>
      <c r="L524" s="11" t="s">
        <v>730</v>
      </c>
      <c r="M524" s="13">
        <v>44420</v>
      </c>
      <c r="N524" s="86">
        <v>5982.93</v>
      </c>
      <c r="O524" s="28" t="s">
        <v>20</v>
      </c>
      <c r="P524" s="1" t="s">
        <v>78</v>
      </c>
      <c r="Q524" s="141"/>
      <c r="R524" s="191" t="s">
        <v>4795</v>
      </c>
    </row>
    <row r="525" spans="1:18" s="1" customFormat="1" ht="15.75" customHeight="1" x14ac:dyDescent="0.3">
      <c r="A525" s="5" t="s">
        <v>1725</v>
      </c>
      <c r="B525" s="9" t="s">
        <v>1726</v>
      </c>
      <c r="C525" s="11" t="s">
        <v>4490</v>
      </c>
      <c r="D525" t="s">
        <v>4495</v>
      </c>
      <c r="E525"/>
      <c r="F525" t="s">
        <v>1727</v>
      </c>
      <c r="G525" t="s">
        <v>4557</v>
      </c>
      <c r="H525" s="3" t="s">
        <v>1728</v>
      </c>
      <c r="I525"/>
      <c r="J525" s="174"/>
      <c r="K525" s="15"/>
      <c r="L525" s="15"/>
      <c r="M525" s="13">
        <v>44432</v>
      </c>
      <c r="N525" s="86">
        <v>95000</v>
      </c>
      <c r="O525" s="28" t="s">
        <v>20</v>
      </c>
      <c r="Q525" s="141"/>
      <c r="R525" s="191">
        <v>95000</v>
      </c>
    </row>
    <row r="526" spans="1:18" s="1" customFormat="1" ht="15.75" customHeight="1" x14ac:dyDescent="0.3">
      <c r="A526" s="5" t="s">
        <v>1729</v>
      </c>
      <c r="B526" s="9" t="s">
        <v>1730</v>
      </c>
      <c r="C526" s="11" t="s">
        <v>4518</v>
      </c>
      <c r="D526" t="s">
        <v>4495</v>
      </c>
      <c r="E526" s="3"/>
      <c r="F526" s="15"/>
      <c r="G526" s="15"/>
      <c r="H526" s="3" t="s">
        <v>1098</v>
      </c>
      <c r="I526"/>
      <c r="J526" s="174"/>
      <c r="K526" s="15"/>
      <c r="L526" s="15"/>
      <c r="M526" s="13">
        <v>44433</v>
      </c>
      <c r="N526" s="86">
        <v>2870</v>
      </c>
      <c r="O526" s="28"/>
      <c r="Q526" s="141"/>
      <c r="R526" s="191">
        <v>2870</v>
      </c>
    </row>
    <row r="527" spans="1:18" s="1" customFormat="1" ht="15.75" customHeight="1" x14ac:dyDescent="0.3">
      <c r="A527" s="5" t="s">
        <v>1731</v>
      </c>
      <c r="B527" s="9" t="s">
        <v>1732</v>
      </c>
      <c r="C527" s="11" t="s">
        <v>4490</v>
      </c>
      <c r="D527" t="s">
        <v>4492</v>
      </c>
      <c r="E527"/>
      <c r="F527"/>
      <c r="G527" t="s">
        <v>4643</v>
      </c>
      <c r="H527" s="3" t="s">
        <v>646</v>
      </c>
      <c r="I527"/>
      <c r="J527" s="166">
        <v>17159</v>
      </c>
      <c r="K527" s="3" t="s">
        <v>1645</v>
      </c>
      <c r="L527" s="11" t="s">
        <v>957</v>
      </c>
      <c r="M527" s="13">
        <v>44433</v>
      </c>
      <c r="N527" s="86">
        <v>34500</v>
      </c>
      <c r="O527" s="28" t="s">
        <v>20</v>
      </c>
      <c r="P527" s="1" t="s">
        <v>91</v>
      </c>
      <c r="Q527" s="141"/>
      <c r="R527" s="191">
        <v>34500</v>
      </c>
    </row>
    <row r="528" spans="1:18" s="1" customFormat="1" ht="15.75" customHeight="1" x14ac:dyDescent="0.3">
      <c r="A528" s="5" t="s">
        <v>1733</v>
      </c>
      <c r="B528" s="9" t="s">
        <v>1734</v>
      </c>
      <c r="C528" s="11" t="s">
        <v>4490</v>
      </c>
      <c r="D528" t="s">
        <v>4495</v>
      </c>
      <c r="E528"/>
      <c r="F528" t="s">
        <v>1735</v>
      </c>
      <c r="G528" t="s">
        <v>4645</v>
      </c>
      <c r="H528" s="3" t="s">
        <v>1736</v>
      </c>
      <c r="I528"/>
      <c r="J528" s="166">
        <v>159513</v>
      </c>
      <c r="K528" s="3" t="s">
        <v>1737</v>
      </c>
      <c r="L528" s="11" t="s">
        <v>1738</v>
      </c>
      <c r="M528" s="13">
        <v>44441</v>
      </c>
      <c r="N528" s="86">
        <v>854000</v>
      </c>
      <c r="O528" s="28" t="s">
        <v>20</v>
      </c>
      <c r="Q528" s="141"/>
      <c r="R528" s="191">
        <v>854000</v>
      </c>
    </row>
    <row r="529" spans="1:18" s="1" customFormat="1" ht="15.75" customHeight="1" x14ac:dyDescent="0.3">
      <c r="A529" s="5" t="s">
        <v>1739</v>
      </c>
      <c r="B529" s="9" t="s">
        <v>1740</v>
      </c>
      <c r="C529" s="11" t="s">
        <v>4490</v>
      </c>
      <c r="D529" t="s">
        <v>4495</v>
      </c>
      <c r="E529"/>
      <c r="F529" t="s">
        <v>1741</v>
      </c>
      <c r="G529" t="s">
        <v>4645</v>
      </c>
      <c r="H529" s="3" t="s">
        <v>1742</v>
      </c>
      <c r="I529"/>
      <c r="J529" s="166">
        <v>159512</v>
      </c>
      <c r="K529" s="3" t="s">
        <v>1737</v>
      </c>
      <c r="L529" s="11" t="s">
        <v>1738</v>
      </c>
      <c r="M529" s="13">
        <v>44441</v>
      </c>
      <c r="N529" s="86">
        <v>508000</v>
      </c>
      <c r="O529" s="28" t="s">
        <v>20</v>
      </c>
      <c r="P529" s="1" t="s">
        <v>78</v>
      </c>
      <c r="Q529" s="141"/>
      <c r="R529" s="191">
        <v>508000</v>
      </c>
    </row>
    <row r="530" spans="1:18" s="1" customFormat="1" ht="15.75" customHeight="1" x14ac:dyDescent="0.3">
      <c r="A530" s="5" t="s">
        <v>1743</v>
      </c>
      <c r="B530" s="9" t="s">
        <v>1744</v>
      </c>
      <c r="C530" s="11" t="s">
        <v>4487</v>
      </c>
      <c r="D530" t="s">
        <v>4493</v>
      </c>
      <c r="E530" t="s">
        <v>1745</v>
      </c>
      <c r="F530" t="s">
        <v>1746</v>
      </c>
      <c r="G530" t="s">
        <v>4626</v>
      </c>
      <c r="H530" s="3" t="s">
        <v>1747</v>
      </c>
      <c r="I530"/>
      <c r="J530" s="166">
        <v>21902</v>
      </c>
      <c r="K530" s="3" t="s">
        <v>1748</v>
      </c>
      <c r="L530" s="11" t="s">
        <v>1749</v>
      </c>
      <c r="M530" s="13">
        <v>44442</v>
      </c>
      <c r="N530" s="86">
        <v>201865.52</v>
      </c>
      <c r="O530" s="28" t="s">
        <v>20</v>
      </c>
      <c r="Q530" s="141"/>
      <c r="R530" s="191" t="s">
        <v>4796</v>
      </c>
    </row>
    <row r="531" spans="1:18" s="1" customFormat="1" ht="15.75" customHeight="1" x14ac:dyDescent="0.3">
      <c r="A531" s="5" t="s">
        <v>1750</v>
      </c>
      <c r="B531" s="9" t="s">
        <v>1751</v>
      </c>
      <c r="C531" s="11" t="s">
        <v>4490</v>
      </c>
      <c r="D531" t="s">
        <v>4495</v>
      </c>
      <c r="E531" s="132"/>
      <c r="F531" s="15"/>
      <c r="G531" s="15"/>
      <c r="H531" s="3" t="s">
        <v>1752</v>
      </c>
      <c r="I531"/>
      <c r="J531" s="166">
        <v>29523</v>
      </c>
      <c r="K531" s="3" t="s">
        <v>1753</v>
      </c>
      <c r="L531" s="11" t="s">
        <v>1754</v>
      </c>
      <c r="M531" s="13">
        <v>44450</v>
      </c>
      <c r="N531" s="86">
        <v>100000</v>
      </c>
      <c r="O531" s="28"/>
      <c r="Q531" s="141"/>
      <c r="R531" s="191">
        <v>100000</v>
      </c>
    </row>
    <row r="532" spans="1:18" s="1" customFormat="1" ht="15.75" customHeight="1" x14ac:dyDescent="0.3">
      <c r="A532" s="5" t="s">
        <v>1755</v>
      </c>
      <c r="B532" s="9" t="s">
        <v>1756</v>
      </c>
      <c r="C532" s="11" t="s">
        <v>4489</v>
      </c>
      <c r="D532" t="s">
        <v>4495</v>
      </c>
      <c r="E532"/>
      <c r="F532"/>
      <c r="G532" t="s">
        <v>4626</v>
      </c>
      <c r="H532" s="3" t="s">
        <v>153</v>
      </c>
      <c r="I532"/>
      <c r="J532" s="166">
        <v>29875</v>
      </c>
      <c r="K532" s="3" t="s">
        <v>1753</v>
      </c>
      <c r="L532" s="11" t="s">
        <v>1754</v>
      </c>
      <c r="M532" s="13">
        <v>44450</v>
      </c>
      <c r="N532" s="86">
        <v>35000</v>
      </c>
      <c r="O532" s="28" t="s">
        <v>20</v>
      </c>
      <c r="P532" s="1" t="s">
        <v>78</v>
      </c>
      <c r="Q532" s="141"/>
      <c r="R532" s="191">
        <v>35000</v>
      </c>
    </row>
    <row r="533" spans="1:18" s="1" customFormat="1" ht="15.75" customHeight="1" x14ac:dyDescent="0.3">
      <c r="A533" s="5" t="s">
        <v>1757</v>
      </c>
      <c r="B533" s="9" t="s">
        <v>1758</v>
      </c>
      <c r="C533" s="11" t="s">
        <v>4490</v>
      </c>
      <c r="D533" t="s">
        <v>4495</v>
      </c>
      <c r="E533"/>
      <c r="F533"/>
      <c r="G533" t="s">
        <v>4626</v>
      </c>
      <c r="H533" s="3" t="s">
        <v>153</v>
      </c>
      <c r="I533"/>
      <c r="J533" s="166">
        <v>29875</v>
      </c>
      <c r="K533" s="3" t="s">
        <v>1753</v>
      </c>
      <c r="L533" s="11" t="s">
        <v>1754</v>
      </c>
      <c r="M533" s="13">
        <v>44450</v>
      </c>
      <c r="N533" s="86">
        <v>35000</v>
      </c>
      <c r="O533" s="28" t="s">
        <v>20</v>
      </c>
      <c r="Q533" s="141"/>
      <c r="R533" s="191">
        <v>35000</v>
      </c>
    </row>
    <row r="534" spans="1:18" s="1" customFormat="1" ht="15.75" customHeight="1" x14ac:dyDescent="0.3">
      <c r="A534" s="5" t="s">
        <v>1759</v>
      </c>
      <c r="B534" s="9" t="s">
        <v>1760</v>
      </c>
      <c r="C534" s="11" t="s">
        <v>4490</v>
      </c>
      <c r="D534" t="s">
        <v>4494</v>
      </c>
      <c r="E534"/>
      <c r="F534"/>
      <c r="G534" t="s">
        <v>4626</v>
      </c>
      <c r="H534" s="3" t="s">
        <v>153</v>
      </c>
      <c r="I534"/>
      <c r="J534" s="166">
        <v>29875</v>
      </c>
      <c r="K534" s="3" t="s">
        <v>1753</v>
      </c>
      <c r="L534" s="11" t="s">
        <v>1754</v>
      </c>
      <c r="M534" s="13">
        <v>44450</v>
      </c>
      <c r="N534" s="86">
        <v>35000</v>
      </c>
      <c r="O534" s="28" t="s">
        <v>20</v>
      </c>
      <c r="P534" s="1" t="s">
        <v>78</v>
      </c>
      <c r="Q534" s="141"/>
      <c r="R534" s="191">
        <v>35000</v>
      </c>
    </row>
    <row r="535" spans="1:18" s="1" customFormat="1" ht="15.75" customHeight="1" x14ac:dyDescent="0.3">
      <c r="A535" s="5" t="s">
        <v>1761</v>
      </c>
      <c r="B535" s="9" t="s">
        <v>1762</v>
      </c>
      <c r="C535" s="11" t="s">
        <v>4489</v>
      </c>
      <c r="D535" t="s">
        <v>4495</v>
      </c>
      <c r="E535"/>
      <c r="F535"/>
      <c r="G535" t="s">
        <v>4626</v>
      </c>
      <c r="H535" s="3" t="s">
        <v>153</v>
      </c>
      <c r="I535"/>
      <c r="J535" s="166">
        <v>29524</v>
      </c>
      <c r="K535" s="3" t="s">
        <v>1753</v>
      </c>
      <c r="L535" s="11" t="s">
        <v>1754</v>
      </c>
      <c r="M535" s="13">
        <v>44450</v>
      </c>
      <c r="N535" s="86">
        <v>35000</v>
      </c>
      <c r="O535" s="28"/>
      <c r="Q535" s="141"/>
      <c r="R535" s="191">
        <v>35000</v>
      </c>
    </row>
    <row r="536" spans="1:18" s="1" customFormat="1" ht="15.75" customHeight="1" x14ac:dyDescent="0.3">
      <c r="A536" s="5" t="s">
        <v>1763</v>
      </c>
      <c r="B536" s="9" t="s">
        <v>1764</v>
      </c>
      <c r="C536" s="11" t="s">
        <v>4518</v>
      </c>
      <c r="D536" t="s">
        <v>4495</v>
      </c>
      <c r="E536"/>
      <c r="F536" t="s">
        <v>4620</v>
      </c>
      <c r="G536"/>
      <c r="H536" s="3" t="s">
        <v>1765</v>
      </c>
      <c r="I536"/>
      <c r="J536" s="166">
        <v>86866</v>
      </c>
      <c r="K536" s="3" t="s">
        <v>683</v>
      </c>
      <c r="L536" s="11" t="s">
        <v>684</v>
      </c>
      <c r="M536" s="13">
        <v>44460</v>
      </c>
      <c r="N536" s="86">
        <v>1653.14</v>
      </c>
      <c r="O536" s="28" t="s">
        <v>20</v>
      </c>
      <c r="Q536" s="141"/>
      <c r="R536" s="191" t="s">
        <v>4797</v>
      </c>
    </row>
    <row r="537" spans="1:18" s="1" customFormat="1" ht="15.75" customHeight="1" x14ac:dyDescent="0.3">
      <c r="A537" s="5" t="s">
        <v>1766</v>
      </c>
      <c r="B537" s="9" t="s">
        <v>1767</v>
      </c>
      <c r="C537" s="11" t="s">
        <v>4489</v>
      </c>
      <c r="D537" t="s">
        <v>4495</v>
      </c>
      <c r="E537" s="3"/>
      <c r="F537" s="15"/>
      <c r="G537" s="15"/>
      <c r="H537" s="3" t="s">
        <v>1768</v>
      </c>
      <c r="I537"/>
      <c r="J537" s="166">
        <v>72007</v>
      </c>
      <c r="K537" s="3" t="s">
        <v>1769</v>
      </c>
      <c r="L537" s="11" t="s">
        <v>1770</v>
      </c>
      <c r="M537" s="13">
        <v>44461</v>
      </c>
      <c r="N537" s="86">
        <v>2718</v>
      </c>
      <c r="O537" s="28"/>
      <c r="Q537" s="141"/>
      <c r="R537" s="191">
        <v>2718</v>
      </c>
    </row>
    <row r="538" spans="1:18" s="1" customFormat="1" ht="15.75" hidden="1" customHeight="1" x14ac:dyDescent="0.3">
      <c r="A538" s="5" t="s">
        <v>1771</v>
      </c>
      <c r="B538" s="9" t="s">
        <v>1772</v>
      </c>
      <c r="C538" s="11" t="s">
        <v>4489</v>
      </c>
      <c r="D538" t="s">
        <v>4495</v>
      </c>
      <c r="E538"/>
      <c r="F538"/>
      <c r="G538" t="s">
        <v>4642</v>
      </c>
      <c r="H538" s="3" t="s">
        <v>1074</v>
      </c>
      <c r="I538"/>
      <c r="J538" s="174"/>
      <c r="K538" s="15"/>
      <c r="L538" s="15"/>
      <c r="M538" s="13">
        <v>44470</v>
      </c>
      <c r="N538" s="86"/>
      <c r="O538" s="28" t="s">
        <v>20</v>
      </c>
      <c r="P538" s="1" t="s">
        <v>66</v>
      </c>
      <c r="Q538" s="141"/>
      <c r="R538" s="191"/>
    </row>
    <row r="539" spans="1:18" s="1" customFormat="1" ht="15.75" customHeight="1" x14ac:dyDescent="0.3">
      <c r="A539" s="5" t="s">
        <v>1773</v>
      </c>
      <c r="B539" s="9" t="s">
        <v>1774</v>
      </c>
      <c r="C539" s="11" t="s">
        <v>4489</v>
      </c>
      <c r="D539" t="s">
        <v>4494</v>
      </c>
      <c r="E539" s="160"/>
      <c r="F539"/>
      <c r="G539"/>
      <c r="H539" s="3" t="s">
        <v>1775</v>
      </c>
      <c r="I539" t="s">
        <v>4548</v>
      </c>
      <c r="J539" s="166">
        <v>1595</v>
      </c>
      <c r="K539" s="3" t="s">
        <v>1776</v>
      </c>
      <c r="L539" s="11" t="s">
        <v>848</v>
      </c>
      <c r="M539" s="13">
        <v>44496</v>
      </c>
      <c r="N539" s="86">
        <v>70000</v>
      </c>
      <c r="O539" s="28"/>
      <c r="Q539" s="141"/>
      <c r="R539" s="191">
        <v>70000</v>
      </c>
    </row>
    <row r="540" spans="1:18" s="1" customFormat="1" ht="15.75" customHeight="1" x14ac:dyDescent="0.3">
      <c r="A540" s="5" t="s">
        <v>1777</v>
      </c>
      <c r="B540" s="9" t="s">
        <v>1778</v>
      </c>
      <c r="C540" s="11" t="s">
        <v>4519</v>
      </c>
      <c r="D540" t="s">
        <v>4495</v>
      </c>
      <c r="E540" s="3"/>
      <c r="F540" s="15"/>
      <c r="G540" s="15"/>
      <c r="H540" s="3" t="s">
        <v>1779</v>
      </c>
      <c r="I540"/>
      <c r="J540" s="166">
        <v>2867</v>
      </c>
      <c r="K540" s="3" t="s">
        <v>1692</v>
      </c>
      <c r="L540" s="11" t="s">
        <v>1693</v>
      </c>
      <c r="M540" s="13">
        <v>44497</v>
      </c>
      <c r="N540" s="86">
        <v>2290</v>
      </c>
      <c r="O540" s="28"/>
      <c r="Q540" s="141"/>
      <c r="R540" s="191">
        <v>2290</v>
      </c>
    </row>
    <row r="541" spans="1:18" s="1" customFormat="1" ht="15.75" hidden="1" customHeight="1" x14ac:dyDescent="0.3">
      <c r="A541" s="5" t="s">
        <v>1780</v>
      </c>
      <c r="B541" s="9" t="s">
        <v>1781</v>
      </c>
      <c r="C541" s="11" t="s">
        <v>4489</v>
      </c>
      <c r="D541" t="s">
        <v>4493</v>
      </c>
      <c r="E541" s="3"/>
      <c r="F541" s="15"/>
      <c r="G541" s="15"/>
      <c r="H541" s="3" t="s">
        <v>1782</v>
      </c>
      <c r="I541"/>
      <c r="J541" s="174"/>
      <c r="K541" s="15"/>
      <c r="L541" s="15"/>
      <c r="M541" s="13">
        <v>44501</v>
      </c>
      <c r="N541" s="86"/>
      <c r="O541" s="28"/>
      <c r="Q541" s="141"/>
      <c r="R541" s="191"/>
    </row>
    <row r="542" spans="1:18" s="1" customFormat="1" ht="15.75" customHeight="1" x14ac:dyDescent="0.3">
      <c r="A542" s="5" t="s">
        <v>1783</v>
      </c>
      <c r="B542" s="9" t="s">
        <v>1784</v>
      </c>
      <c r="C542" s="11" t="s">
        <v>4490</v>
      </c>
      <c r="D542" t="s">
        <v>4492</v>
      </c>
      <c r="E542"/>
      <c r="F542">
        <v>97291</v>
      </c>
      <c r="G542" t="s">
        <v>4629</v>
      </c>
      <c r="H542" s="3" t="s">
        <v>1785</v>
      </c>
      <c r="I542"/>
      <c r="J542" s="166">
        <v>17551</v>
      </c>
      <c r="K542" s="3" t="s">
        <v>1645</v>
      </c>
      <c r="L542" s="11" t="s">
        <v>957</v>
      </c>
      <c r="M542" s="13">
        <v>44504</v>
      </c>
      <c r="N542" s="86">
        <v>29000</v>
      </c>
      <c r="O542" s="28" t="s">
        <v>20</v>
      </c>
      <c r="P542" s="1" t="s">
        <v>91</v>
      </c>
      <c r="Q542" s="141"/>
      <c r="R542" s="191">
        <v>29000</v>
      </c>
    </row>
    <row r="543" spans="1:18" s="1" customFormat="1" ht="15.75" hidden="1" customHeight="1" x14ac:dyDescent="0.3">
      <c r="A543" s="5" t="s">
        <v>1786</v>
      </c>
      <c r="B543" s="9" t="s">
        <v>1787</v>
      </c>
      <c r="C543" s="11" t="s">
        <v>4489</v>
      </c>
      <c r="D543" t="s">
        <v>4495</v>
      </c>
      <c r="E543" s="3"/>
      <c r="F543" s="15"/>
      <c r="G543" s="15"/>
      <c r="H543" s="3" t="s">
        <v>1788</v>
      </c>
      <c r="I543"/>
      <c r="J543" s="174"/>
      <c r="K543" s="15"/>
      <c r="L543" s="15"/>
      <c r="M543" s="13">
        <v>44505</v>
      </c>
      <c r="N543" s="86"/>
      <c r="O543" s="28"/>
      <c r="Q543" s="141"/>
      <c r="R543" s="191"/>
    </row>
    <row r="544" spans="1:18" s="1" customFormat="1" ht="15.75" customHeight="1" x14ac:dyDescent="0.3">
      <c r="A544" s="5" t="s">
        <v>1789</v>
      </c>
      <c r="B544" s="9" t="s">
        <v>1790</v>
      </c>
      <c r="C544" s="11" t="s">
        <v>4489</v>
      </c>
      <c r="D544" t="s">
        <v>4493</v>
      </c>
      <c r="E544"/>
      <c r="F544"/>
      <c r="G544" t="s">
        <v>4629</v>
      </c>
      <c r="H544" s="3" t="s">
        <v>1791</v>
      </c>
      <c r="I544"/>
      <c r="J544" s="166">
        <v>88901</v>
      </c>
      <c r="K544" s="3" t="s">
        <v>683</v>
      </c>
      <c r="L544" s="11" t="s">
        <v>684</v>
      </c>
      <c r="M544" s="13">
        <v>44508</v>
      </c>
      <c r="N544" s="86">
        <v>1880.39</v>
      </c>
      <c r="O544" s="28"/>
      <c r="Q544" s="141"/>
      <c r="R544" s="191" t="s">
        <v>4798</v>
      </c>
    </row>
    <row r="545" spans="1:18" s="1" customFormat="1" ht="15.75" customHeight="1" x14ac:dyDescent="0.3">
      <c r="A545" s="5" t="s">
        <v>1792</v>
      </c>
      <c r="B545" s="9" t="s">
        <v>1793</v>
      </c>
      <c r="C545" s="11" t="s">
        <v>4519</v>
      </c>
      <c r="D545" t="s">
        <v>4495</v>
      </c>
      <c r="E545" s="3"/>
      <c r="F545" s="15"/>
      <c r="G545" s="15"/>
      <c r="H545" s="3" t="s">
        <v>1794</v>
      </c>
      <c r="I545"/>
      <c r="J545" s="166">
        <v>503674</v>
      </c>
      <c r="K545" s="3" t="s">
        <v>701</v>
      </c>
      <c r="L545" s="11" t="s">
        <v>730</v>
      </c>
      <c r="M545" s="13">
        <v>44509</v>
      </c>
      <c r="N545" s="86">
        <v>7189.04</v>
      </c>
      <c r="O545" s="28" t="s">
        <v>20</v>
      </c>
      <c r="Q545" s="141"/>
      <c r="R545" s="191" t="s">
        <v>4799</v>
      </c>
    </row>
    <row r="546" spans="1:18" s="1" customFormat="1" ht="15.75" customHeight="1" x14ac:dyDescent="0.3">
      <c r="A546" s="5" t="s">
        <v>1795</v>
      </c>
      <c r="B546" s="9" t="s">
        <v>1796</v>
      </c>
      <c r="C546" s="11" t="s">
        <v>4519</v>
      </c>
      <c r="D546" t="s">
        <v>4495</v>
      </c>
      <c r="E546" s="3"/>
      <c r="F546" s="15"/>
      <c r="G546" s="15"/>
      <c r="H546" s="3" t="s">
        <v>1797</v>
      </c>
      <c r="I546"/>
      <c r="J546" s="166">
        <v>503674</v>
      </c>
      <c r="K546" s="3" t="s">
        <v>701</v>
      </c>
      <c r="L546" s="11" t="s">
        <v>730</v>
      </c>
      <c r="M546" s="13">
        <v>44509</v>
      </c>
      <c r="N546" s="86">
        <v>1339105</v>
      </c>
      <c r="O546" s="28" t="s">
        <v>20</v>
      </c>
      <c r="Q546" s="141"/>
      <c r="R546" s="191">
        <v>1339105</v>
      </c>
    </row>
    <row r="547" spans="1:18" s="1" customFormat="1" ht="15.75" hidden="1" customHeight="1" x14ac:dyDescent="0.3">
      <c r="A547" s="5" t="s">
        <v>1798</v>
      </c>
      <c r="B547" s="9" t="s">
        <v>1799</v>
      </c>
      <c r="C547" s="11" t="s">
        <v>4489</v>
      </c>
      <c r="D547" t="s">
        <v>4493</v>
      </c>
      <c r="E547"/>
      <c r="F547" t="s">
        <v>4690</v>
      </c>
      <c r="G547" t="s">
        <v>4675</v>
      </c>
      <c r="H547" s="3" t="s">
        <v>1800</v>
      </c>
      <c r="I547"/>
      <c r="J547" s="174"/>
      <c r="K547" s="15"/>
      <c r="L547" s="15"/>
      <c r="M547" s="13">
        <v>44510</v>
      </c>
      <c r="N547" s="86"/>
      <c r="O547" s="28" t="s">
        <v>20</v>
      </c>
      <c r="P547" s="1" t="s">
        <v>78</v>
      </c>
      <c r="Q547" s="141"/>
      <c r="R547" s="191"/>
    </row>
    <row r="548" spans="1:18" s="1" customFormat="1" ht="15.75" customHeight="1" x14ac:dyDescent="0.3">
      <c r="A548" s="5" t="s">
        <v>1801</v>
      </c>
      <c r="B548" s="9" t="s">
        <v>1802</v>
      </c>
      <c r="C548" s="11" t="s">
        <v>4519</v>
      </c>
      <c r="D548" t="s">
        <v>4495</v>
      </c>
      <c r="E548" s="3"/>
      <c r="F548" s="15"/>
      <c r="G548" s="15"/>
      <c r="H548" s="3" t="s">
        <v>1803</v>
      </c>
      <c r="I548"/>
      <c r="J548" s="166">
        <v>86</v>
      </c>
      <c r="K548" s="3" t="s">
        <v>1804</v>
      </c>
      <c r="L548" s="11" t="s">
        <v>1805</v>
      </c>
      <c r="M548" s="13">
        <v>44510</v>
      </c>
      <c r="N548" s="86">
        <v>1890</v>
      </c>
      <c r="O548" s="28" t="s">
        <v>20</v>
      </c>
      <c r="P548" s="1" t="s">
        <v>91</v>
      </c>
      <c r="Q548" s="141"/>
      <c r="R548" s="191">
        <v>1890</v>
      </c>
    </row>
    <row r="549" spans="1:18" s="1" customFormat="1" ht="15.75" customHeight="1" x14ac:dyDescent="0.3">
      <c r="A549" s="5" t="s">
        <v>1806</v>
      </c>
      <c r="B549" s="9" t="s">
        <v>1807</v>
      </c>
      <c r="C549" s="11" t="s">
        <v>4519</v>
      </c>
      <c r="D549" t="s">
        <v>4495</v>
      </c>
      <c r="E549" s="3"/>
      <c r="F549" s="15"/>
      <c r="G549" s="15"/>
      <c r="H549" s="3" t="s">
        <v>1808</v>
      </c>
      <c r="I549"/>
      <c r="J549" s="166">
        <v>86</v>
      </c>
      <c r="K549" s="3" t="s">
        <v>1804</v>
      </c>
      <c r="L549" s="11" t="s">
        <v>1805</v>
      </c>
      <c r="M549" s="13">
        <v>44510</v>
      </c>
      <c r="N549" s="86">
        <v>5500</v>
      </c>
      <c r="O549" s="28" t="s">
        <v>20</v>
      </c>
      <c r="Q549" s="141"/>
      <c r="R549" s="191">
        <v>5500</v>
      </c>
    </row>
    <row r="550" spans="1:18" s="1" customFormat="1" ht="15.75" customHeight="1" x14ac:dyDescent="0.3">
      <c r="A550" s="5" t="s">
        <v>1809</v>
      </c>
      <c r="B550" s="9" t="s">
        <v>1810</v>
      </c>
      <c r="C550" s="11" t="s">
        <v>4519</v>
      </c>
      <c r="D550" t="s">
        <v>4495</v>
      </c>
      <c r="E550" s="3"/>
      <c r="F550" s="15"/>
      <c r="G550" s="15"/>
      <c r="H550" s="3" t="s">
        <v>1811</v>
      </c>
      <c r="I550"/>
      <c r="J550" s="166">
        <v>196846</v>
      </c>
      <c r="K550" s="3" t="s">
        <v>1089</v>
      </c>
      <c r="L550" s="11" t="s">
        <v>1090</v>
      </c>
      <c r="M550" s="13">
        <v>44511</v>
      </c>
      <c r="N550" s="86">
        <v>10650</v>
      </c>
      <c r="O550" s="28" t="s">
        <v>20</v>
      </c>
      <c r="P550" s="1" t="s">
        <v>91</v>
      </c>
      <c r="Q550" s="141"/>
      <c r="R550" s="191">
        <v>10650</v>
      </c>
    </row>
    <row r="551" spans="1:18" s="1" customFormat="1" ht="15.75" customHeight="1" x14ac:dyDescent="0.3">
      <c r="A551" s="5" t="s">
        <v>1812</v>
      </c>
      <c r="B551" s="9" t="s">
        <v>1813</v>
      </c>
      <c r="C551" s="11" t="s">
        <v>4519</v>
      </c>
      <c r="D551" t="s">
        <v>4495</v>
      </c>
      <c r="E551" s="3"/>
      <c r="F551" s="15"/>
      <c r="G551" s="15"/>
      <c r="H551" s="3" t="s">
        <v>1814</v>
      </c>
      <c r="I551"/>
      <c r="J551" s="166">
        <v>196846</v>
      </c>
      <c r="K551" s="3" t="s">
        <v>1089</v>
      </c>
      <c r="L551" s="11" t="s">
        <v>1090</v>
      </c>
      <c r="M551" s="13">
        <v>44511</v>
      </c>
      <c r="N551" s="86">
        <v>1468.1</v>
      </c>
      <c r="O551" s="28" t="s">
        <v>20</v>
      </c>
      <c r="P551" s="1" t="s">
        <v>91</v>
      </c>
      <c r="Q551" s="141"/>
      <c r="R551" s="191" t="s">
        <v>4800</v>
      </c>
    </row>
    <row r="552" spans="1:18" s="1" customFormat="1" ht="15.75" customHeight="1" x14ac:dyDescent="0.3">
      <c r="A552" s="5" t="s">
        <v>1815</v>
      </c>
      <c r="B552" s="9" t="s">
        <v>1816</v>
      </c>
      <c r="C552" s="11" t="s">
        <v>4519</v>
      </c>
      <c r="D552" t="s">
        <v>4495</v>
      </c>
      <c r="E552" s="3"/>
      <c r="F552" s="15"/>
      <c r="G552" s="15"/>
      <c r="H552" s="3" t="s">
        <v>1817</v>
      </c>
      <c r="I552"/>
      <c r="J552" s="166">
        <v>196846</v>
      </c>
      <c r="K552" s="3" t="s">
        <v>1089</v>
      </c>
      <c r="L552" s="11" t="s">
        <v>1090</v>
      </c>
      <c r="M552" s="13">
        <v>44511</v>
      </c>
      <c r="N552" s="86">
        <v>2430</v>
      </c>
      <c r="O552" s="28" t="s">
        <v>20</v>
      </c>
      <c r="P552" s="1" t="s">
        <v>91</v>
      </c>
      <c r="Q552" s="141"/>
      <c r="R552" s="191">
        <v>2430</v>
      </c>
    </row>
    <row r="553" spans="1:18" s="1" customFormat="1" ht="15.75" customHeight="1" x14ac:dyDescent="0.3">
      <c r="A553" s="5" t="s">
        <v>1818</v>
      </c>
      <c r="B553" s="9" t="s">
        <v>1819</v>
      </c>
      <c r="C553" s="11" t="s">
        <v>4519</v>
      </c>
      <c r="D553" t="s">
        <v>4495</v>
      </c>
      <c r="E553" s="3"/>
      <c r="F553" s="15"/>
      <c r="G553" s="15"/>
      <c r="H553" s="3" t="s">
        <v>1820</v>
      </c>
      <c r="I553"/>
      <c r="J553" s="166">
        <v>196846</v>
      </c>
      <c r="K553" s="3" t="s">
        <v>1089</v>
      </c>
      <c r="L553" s="11" t="s">
        <v>1090</v>
      </c>
      <c r="M553" s="13">
        <v>44511</v>
      </c>
      <c r="N553" s="86">
        <v>4475.12</v>
      </c>
      <c r="O553" s="28" t="s">
        <v>20</v>
      </c>
      <c r="P553" s="1" t="s">
        <v>91</v>
      </c>
      <c r="Q553" s="141"/>
      <c r="R553" s="191" t="s">
        <v>4801</v>
      </c>
    </row>
    <row r="554" spans="1:18" s="1" customFormat="1" ht="15.75" customHeight="1" x14ac:dyDescent="0.3">
      <c r="A554" s="5" t="s">
        <v>1821</v>
      </c>
      <c r="B554" s="9" t="s">
        <v>1822</v>
      </c>
      <c r="C554" s="11" t="s">
        <v>4519</v>
      </c>
      <c r="D554" t="s">
        <v>4492</v>
      </c>
      <c r="E554" s="3"/>
      <c r="F554" s="15"/>
      <c r="G554" s="15"/>
      <c r="H554" s="3" t="s">
        <v>1823</v>
      </c>
      <c r="I554"/>
      <c r="J554" s="166">
        <v>9587</v>
      </c>
      <c r="K554" s="3" t="s">
        <v>1089</v>
      </c>
      <c r="L554" s="11" t="s">
        <v>1090</v>
      </c>
      <c r="M554" s="13">
        <v>44511</v>
      </c>
      <c r="N554" s="86">
        <v>3834.87</v>
      </c>
      <c r="O554" s="28"/>
      <c r="P554" s="1" t="s">
        <v>91</v>
      </c>
      <c r="Q554" s="141"/>
      <c r="R554" s="191" t="s">
        <v>4802</v>
      </c>
    </row>
    <row r="555" spans="1:18" s="1" customFormat="1" ht="15.75" customHeight="1" x14ac:dyDescent="0.3">
      <c r="A555" s="5" t="s">
        <v>1824</v>
      </c>
      <c r="B555" s="9" t="s">
        <v>1825</v>
      </c>
      <c r="C555" s="11" t="s">
        <v>4487</v>
      </c>
      <c r="D555" t="s">
        <v>4495</v>
      </c>
      <c r="E555" t="s">
        <v>1826</v>
      </c>
      <c r="F555" t="s">
        <v>1827</v>
      </c>
      <c r="G555" t="s">
        <v>4629</v>
      </c>
      <c r="H555" s="3" t="s">
        <v>1828</v>
      </c>
      <c r="I555"/>
      <c r="J555" s="166">
        <v>20</v>
      </c>
      <c r="K555" s="3" t="s">
        <v>1829</v>
      </c>
      <c r="L555" s="11" t="s">
        <v>1830</v>
      </c>
      <c r="M555" s="13">
        <v>44516</v>
      </c>
      <c r="N555" s="86">
        <v>352272.73</v>
      </c>
      <c r="O555" s="28" t="s">
        <v>20</v>
      </c>
      <c r="Q555" s="141"/>
      <c r="R555" s="191" t="s">
        <v>4803</v>
      </c>
    </row>
    <row r="556" spans="1:18" s="1" customFormat="1" ht="15.75" hidden="1" customHeight="1" x14ac:dyDescent="0.3">
      <c r="A556" s="5" t="s">
        <v>1831</v>
      </c>
      <c r="B556" s="9" t="s">
        <v>1832</v>
      </c>
      <c r="C556" s="11" t="s">
        <v>4489</v>
      </c>
      <c r="D556" t="s">
        <v>4492</v>
      </c>
      <c r="E556" s="3"/>
      <c r="F556" s="15"/>
      <c r="G556" s="15"/>
      <c r="H556" s="3" t="s">
        <v>1833</v>
      </c>
      <c r="I556"/>
      <c r="J556" s="175"/>
      <c r="K556" s="15"/>
      <c r="L556" s="15"/>
      <c r="M556" s="13">
        <v>44522</v>
      </c>
      <c r="N556" s="86"/>
      <c r="O556" s="28" t="s">
        <v>20</v>
      </c>
      <c r="P556" s="1" t="s">
        <v>91</v>
      </c>
      <c r="Q556" s="141"/>
      <c r="R556" s="191"/>
    </row>
    <row r="557" spans="1:18" s="1" customFormat="1" ht="15.75" customHeight="1" x14ac:dyDescent="0.3">
      <c r="A557" s="5" t="s">
        <v>1834</v>
      </c>
      <c r="B557" s="9" t="s">
        <v>1835</v>
      </c>
      <c r="C557" s="11" t="s">
        <v>4489</v>
      </c>
      <c r="D557" t="s">
        <v>4495</v>
      </c>
      <c r="E557" s="3"/>
      <c r="F557" s="15"/>
      <c r="G557" s="15"/>
      <c r="H557" s="3" t="s">
        <v>1836</v>
      </c>
      <c r="I557"/>
      <c r="J557" s="166">
        <v>767993</v>
      </c>
      <c r="K557" s="3" t="s">
        <v>1837</v>
      </c>
      <c r="L557" s="11" t="s">
        <v>1838</v>
      </c>
      <c r="M557" s="13">
        <v>44525</v>
      </c>
      <c r="N557" s="86">
        <v>421854.7</v>
      </c>
      <c r="O557" s="28" t="s">
        <v>20</v>
      </c>
      <c r="Q557" s="141"/>
      <c r="R557" s="191" t="s">
        <v>4804</v>
      </c>
    </row>
    <row r="558" spans="1:18" s="1" customFormat="1" ht="15.75" customHeight="1" x14ac:dyDescent="0.3">
      <c r="A558" s="5" t="s">
        <v>1839</v>
      </c>
      <c r="B558" s="9" t="s">
        <v>1840</v>
      </c>
      <c r="C558" s="11" t="s">
        <v>4489</v>
      </c>
      <c r="D558" t="s">
        <v>4492</v>
      </c>
      <c r="E558"/>
      <c r="F558"/>
      <c r="G558" t="s">
        <v>4644</v>
      </c>
      <c r="H558" s="3" t="s">
        <v>1836</v>
      </c>
      <c r="I558"/>
      <c r="J558" s="166">
        <v>767993</v>
      </c>
      <c r="K558" s="3" t="s">
        <v>1837</v>
      </c>
      <c r="L558" s="11" t="s">
        <v>1838</v>
      </c>
      <c r="M558" s="13">
        <v>44525</v>
      </c>
      <c r="N558" s="86">
        <v>421854.7</v>
      </c>
      <c r="O558" s="28"/>
      <c r="Q558" s="141"/>
      <c r="R558" s="191" t="s">
        <v>4804</v>
      </c>
    </row>
    <row r="559" spans="1:18" s="1" customFormat="1" ht="15.75" customHeight="1" x14ac:dyDescent="0.3">
      <c r="A559" s="5" t="s">
        <v>1841</v>
      </c>
      <c r="B559" s="9" t="s">
        <v>1842</v>
      </c>
      <c r="C559" s="11" t="s">
        <v>4489</v>
      </c>
      <c r="D559" t="s">
        <v>4495</v>
      </c>
      <c r="E559"/>
      <c r="F559"/>
      <c r="G559"/>
      <c r="H559" s="3" t="s">
        <v>1843</v>
      </c>
      <c r="I559" t="s">
        <v>4549</v>
      </c>
      <c r="J559" s="175"/>
      <c r="K559" s="15"/>
      <c r="L559" s="15"/>
      <c r="M559" s="13">
        <v>44525</v>
      </c>
      <c r="N559" s="86">
        <v>3569.96</v>
      </c>
      <c r="O559" s="28"/>
      <c r="Q559" s="141"/>
      <c r="R559" s="191" t="s">
        <v>4805</v>
      </c>
    </row>
    <row r="560" spans="1:18" s="1" customFormat="1" ht="15.75" customHeight="1" x14ac:dyDescent="0.3">
      <c r="A560" s="5" t="s">
        <v>1844</v>
      </c>
      <c r="B560" s="9" t="s">
        <v>1845</v>
      </c>
      <c r="C560" s="11" t="s">
        <v>4519</v>
      </c>
      <c r="D560" t="s">
        <v>4495</v>
      </c>
      <c r="E560" s="3"/>
      <c r="F560" s="15"/>
      <c r="G560" s="15"/>
      <c r="H560" s="3" t="s">
        <v>474</v>
      </c>
      <c r="I560"/>
      <c r="J560" s="166">
        <v>505453</v>
      </c>
      <c r="K560" s="3" t="s">
        <v>701</v>
      </c>
      <c r="L560" s="11" t="s">
        <v>730</v>
      </c>
      <c r="M560" s="13">
        <v>44525</v>
      </c>
      <c r="N560" s="86">
        <v>1848.59</v>
      </c>
      <c r="O560" s="28"/>
      <c r="Q560" s="141"/>
      <c r="R560" s="191" t="s">
        <v>4806</v>
      </c>
    </row>
    <row r="561" spans="1:18" s="22" customFormat="1" ht="15.75" customHeight="1" x14ac:dyDescent="0.3">
      <c r="A561" s="53" t="s">
        <v>1846</v>
      </c>
      <c r="B561" s="53" t="s">
        <v>1846</v>
      </c>
      <c r="C561" s="54" t="s">
        <v>4518</v>
      </c>
      <c r="D561" t="s">
        <v>4500</v>
      </c>
      <c r="E561" s="55"/>
      <c r="F561" s="83"/>
      <c r="G561" s="83"/>
      <c r="H561" s="55" t="s">
        <v>1847</v>
      </c>
      <c r="I561"/>
      <c r="J561" s="169">
        <v>5427</v>
      </c>
      <c r="K561" s="54" t="s">
        <v>546</v>
      </c>
      <c r="L561" s="55" t="s">
        <v>547</v>
      </c>
      <c r="M561" s="61">
        <v>46003</v>
      </c>
      <c r="N561" s="95">
        <v>20001.5</v>
      </c>
      <c r="O561" s="82"/>
      <c r="P561" s="58"/>
      <c r="Q561" s="141"/>
      <c r="R561" s="197" t="s">
        <v>4807</v>
      </c>
    </row>
    <row r="562" spans="1:18" s="1" customFormat="1" ht="15.75" customHeight="1" x14ac:dyDescent="0.3">
      <c r="A562" s="5" t="s">
        <v>1848</v>
      </c>
      <c r="B562" s="9" t="s">
        <v>1849</v>
      </c>
      <c r="C562" s="11" t="s">
        <v>4489</v>
      </c>
      <c r="D562" t="s">
        <v>4501</v>
      </c>
      <c r="E562"/>
      <c r="F562"/>
      <c r="G562"/>
      <c r="H562" s="3" t="s">
        <v>1850</v>
      </c>
      <c r="I562"/>
      <c r="J562" s="166">
        <v>96178</v>
      </c>
      <c r="K562" s="3" t="s">
        <v>683</v>
      </c>
      <c r="L562" s="11" t="s">
        <v>684</v>
      </c>
      <c r="M562" s="13">
        <v>44531</v>
      </c>
      <c r="N562" s="86">
        <v>1575.29</v>
      </c>
      <c r="O562" s="28"/>
      <c r="Q562" s="141"/>
      <c r="R562" s="191" t="s">
        <v>4808</v>
      </c>
    </row>
    <row r="563" spans="1:18" s="1" customFormat="1" ht="15.75" customHeight="1" x14ac:dyDescent="0.3">
      <c r="A563" s="5" t="s">
        <v>1851</v>
      </c>
      <c r="B563" s="9" t="s">
        <v>1852</v>
      </c>
      <c r="C563" s="11" t="s">
        <v>4489</v>
      </c>
      <c r="D563" t="s">
        <v>4501</v>
      </c>
      <c r="E563" s="3"/>
      <c r="F563" s="15"/>
      <c r="G563" s="15"/>
      <c r="H563" s="3" t="s">
        <v>1853</v>
      </c>
      <c r="I563"/>
      <c r="J563" s="166">
        <v>762620</v>
      </c>
      <c r="K563" s="3" t="s">
        <v>1854</v>
      </c>
      <c r="L563" s="11" t="s">
        <v>892</v>
      </c>
      <c r="M563" s="13">
        <v>44532</v>
      </c>
      <c r="N563" s="86">
        <v>18300</v>
      </c>
      <c r="O563" s="28" t="s">
        <v>20</v>
      </c>
      <c r="P563" s="1" t="s">
        <v>66</v>
      </c>
      <c r="Q563" s="141"/>
      <c r="R563" s="191">
        <v>18300</v>
      </c>
    </row>
    <row r="564" spans="1:18" s="1" customFormat="1" ht="15.75" customHeight="1" x14ac:dyDescent="0.3">
      <c r="A564" s="5" t="s">
        <v>1855</v>
      </c>
      <c r="B564" s="9" t="s">
        <v>1856</v>
      </c>
      <c r="C564" s="11" t="s">
        <v>4490</v>
      </c>
      <c r="D564" t="s">
        <v>4495</v>
      </c>
      <c r="E564"/>
      <c r="F564" t="s">
        <v>1857</v>
      </c>
      <c r="G564" t="s">
        <v>4557</v>
      </c>
      <c r="H564" s="3" t="s">
        <v>248</v>
      </c>
      <c r="I564"/>
      <c r="J564" s="166">
        <v>47017</v>
      </c>
      <c r="K564" s="3" t="s">
        <v>1858</v>
      </c>
      <c r="L564" s="11" t="s">
        <v>654</v>
      </c>
      <c r="M564" s="29">
        <v>44530</v>
      </c>
      <c r="N564" s="86">
        <v>550000</v>
      </c>
      <c r="O564" s="28" t="s">
        <v>20</v>
      </c>
      <c r="P564" s="1" t="s">
        <v>44</v>
      </c>
      <c r="Q564" s="141"/>
      <c r="R564" s="191">
        <v>550000</v>
      </c>
    </row>
    <row r="565" spans="1:18" s="1" customFormat="1" ht="15.75" customHeight="1" x14ac:dyDescent="0.3">
      <c r="A565" s="5" t="s">
        <v>1859</v>
      </c>
      <c r="B565" s="9" t="s">
        <v>1860</v>
      </c>
      <c r="C565" s="11" t="s">
        <v>4489</v>
      </c>
      <c r="D565" t="s">
        <v>4492</v>
      </c>
      <c r="E565" s="3"/>
      <c r="F565" s="15"/>
      <c r="G565" s="15"/>
      <c r="H565" s="3" t="s">
        <v>1861</v>
      </c>
      <c r="I565"/>
      <c r="J565" s="166">
        <v>766098</v>
      </c>
      <c r="K565" s="3" t="s">
        <v>1854</v>
      </c>
      <c r="L565" s="11" t="s">
        <v>892</v>
      </c>
      <c r="M565" s="13">
        <v>44533</v>
      </c>
      <c r="N565" s="86">
        <v>2370</v>
      </c>
      <c r="O565" s="28" t="s">
        <v>20</v>
      </c>
      <c r="P565" s="1" t="s">
        <v>91</v>
      </c>
      <c r="Q565" s="141"/>
      <c r="R565" s="191">
        <v>2370</v>
      </c>
    </row>
    <row r="566" spans="1:18" s="1" customFormat="1" ht="15.75" customHeight="1" x14ac:dyDescent="0.3">
      <c r="A566" s="5" t="s">
        <v>1862</v>
      </c>
      <c r="B566" s="9" t="s">
        <v>1863</v>
      </c>
      <c r="C566" s="11" t="s">
        <v>4490</v>
      </c>
      <c r="D566" t="s">
        <v>4495</v>
      </c>
      <c r="E566"/>
      <c r="F566" t="s">
        <v>1864</v>
      </c>
      <c r="G566" t="s">
        <v>4557</v>
      </c>
      <c r="H566" s="3" t="s">
        <v>248</v>
      </c>
      <c r="I566"/>
      <c r="J566" s="166">
        <v>47018</v>
      </c>
      <c r="K566" s="3" t="s">
        <v>1858</v>
      </c>
      <c r="L566" s="11" t="s">
        <v>654</v>
      </c>
      <c r="M566" s="29">
        <v>44530</v>
      </c>
      <c r="N566" s="86">
        <v>550000</v>
      </c>
      <c r="O566" s="28" t="s">
        <v>20</v>
      </c>
      <c r="P566" s="1" t="s">
        <v>44</v>
      </c>
      <c r="Q566" s="141"/>
      <c r="R566" s="191">
        <v>550000</v>
      </c>
    </row>
    <row r="567" spans="1:18" s="1" customFormat="1" ht="15.75" customHeight="1" x14ac:dyDescent="0.3">
      <c r="A567" s="5" t="s">
        <v>1865</v>
      </c>
      <c r="B567" s="9" t="s">
        <v>1866</v>
      </c>
      <c r="C567" s="11" t="s">
        <v>4519</v>
      </c>
      <c r="D567" t="s">
        <v>4495</v>
      </c>
      <c r="E567" s="3"/>
      <c r="F567" s="15"/>
      <c r="G567" s="15"/>
      <c r="H567" s="3" t="s">
        <v>1867</v>
      </c>
      <c r="I567"/>
      <c r="J567" s="166">
        <v>1207</v>
      </c>
      <c r="K567" s="3" t="s">
        <v>1868</v>
      </c>
      <c r="L567" s="11" t="s">
        <v>1869</v>
      </c>
      <c r="M567" s="13">
        <v>44537</v>
      </c>
      <c r="N567" s="86">
        <v>6283.99</v>
      </c>
      <c r="O567" s="28" t="s">
        <v>20</v>
      </c>
      <c r="P567" s="1" t="s">
        <v>66</v>
      </c>
      <c r="Q567" s="141"/>
      <c r="R567" s="191" t="s">
        <v>4809</v>
      </c>
    </row>
    <row r="568" spans="1:18" s="1" customFormat="1" ht="15.75" customHeight="1" x14ac:dyDescent="0.3">
      <c r="A568" s="5" t="s">
        <v>1870</v>
      </c>
      <c r="B568" s="9" t="s">
        <v>1871</v>
      </c>
      <c r="C568" s="11" t="s">
        <v>4490</v>
      </c>
      <c r="D568" t="s">
        <v>4494</v>
      </c>
      <c r="E568"/>
      <c r="F568" t="s">
        <v>1872</v>
      </c>
      <c r="G568"/>
      <c r="H568" s="3" t="s">
        <v>1873</v>
      </c>
      <c r="I568"/>
      <c r="J568" s="166">
        <v>17948</v>
      </c>
      <c r="K568" s="3" t="s">
        <v>1645</v>
      </c>
      <c r="L568" s="11" t="s">
        <v>957</v>
      </c>
      <c r="M568" s="13">
        <v>44538</v>
      </c>
      <c r="N568" s="86">
        <v>9800</v>
      </c>
      <c r="O568" s="28" t="s">
        <v>20</v>
      </c>
      <c r="Q568" s="141"/>
      <c r="R568" s="191">
        <v>9800</v>
      </c>
    </row>
    <row r="569" spans="1:18" s="1" customFormat="1" ht="15.75" customHeight="1" x14ac:dyDescent="0.3">
      <c r="A569" s="5" t="s">
        <v>1874</v>
      </c>
      <c r="B569" s="9" t="s">
        <v>1875</v>
      </c>
      <c r="C569" s="11" t="s">
        <v>4519</v>
      </c>
      <c r="D569" t="s">
        <v>4492</v>
      </c>
      <c r="E569" s="3"/>
      <c r="F569" s="15"/>
      <c r="G569" s="15"/>
      <c r="H569" s="3" t="s">
        <v>1876</v>
      </c>
      <c r="I569"/>
      <c r="J569" s="166">
        <v>101</v>
      </c>
      <c r="K569" s="3" t="s">
        <v>1804</v>
      </c>
      <c r="L569" s="11" t="s">
        <v>1805</v>
      </c>
      <c r="M569" s="13">
        <v>44544</v>
      </c>
      <c r="N569" s="86">
        <v>4395</v>
      </c>
      <c r="O569" s="28" t="s">
        <v>20</v>
      </c>
      <c r="P569" s="1" t="s">
        <v>91</v>
      </c>
      <c r="Q569" s="141"/>
      <c r="R569" s="191">
        <v>4395</v>
      </c>
    </row>
    <row r="570" spans="1:18" s="1" customFormat="1" ht="15.75" customHeight="1" x14ac:dyDescent="0.3">
      <c r="A570" s="5" t="s">
        <v>1877</v>
      </c>
      <c r="B570" s="9" t="s">
        <v>1878</v>
      </c>
      <c r="C570" s="11" t="s">
        <v>4520</v>
      </c>
      <c r="D570" t="s">
        <v>4496</v>
      </c>
      <c r="E570" s="3"/>
      <c r="F570" s="10"/>
      <c r="G570" s="10"/>
      <c r="H570" s="3" t="s">
        <v>1879</v>
      </c>
      <c r="I570"/>
      <c r="J570" s="166">
        <v>1639</v>
      </c>
      <c r="K570" s="3" t="s">
        <v>1868</v>
      </c>
      <c r="L570" s="11" t="s">
        <v>1869</v>
      </c>
      <c r="M570" s="13">
        <v>44546</v>
      </c>
      <c r="N570" s="86">
        <v>7129.68</v>
      </c>
      <c r="O570" s="28"/>
      <c r="Q570" s="141" t="s">
        <v>4710</v>
      </c>
      <c r="R570" s="191" t="s">
        <v>4810</v>
      </c>
    </row>
    <row r="571" spans="1:18" s="1" customFormat="1" ht="15.75" customHeight="1" x14ac:dyDescent="0.3">
      <c r="A571" s="5" t="s">
        <v>1880</v>
      </c>
      <c r="B571" s="9" t="s">
        <v>1881</v>
      </c>
      <c r="C571" s="3" t="s">
        <v>4520</v>
      </c>
      <c r="D571" t="s">
        <v>4495</v>
      </c>
      <c r="E571" s="3"/>
      <c r="F571" s="10"/>
      <c r="G571" s="10"/>
      <c r="H571" s="3" t="s">
        <v>1882</v>
      </c>
      <c r="I571"/>
      <c r="J571" s="166">
        <v>886</v>
      </c>
      <c r="K571" s="3" t="s">
        <v>1883</v>
      </c>
      <c r="L571" s="11" t="s">
        <v>1884</v>
      </c>
      <c r="M571" s="13">
        <v>44550</v>
      </c>
      <c r="N571" s="86">
        <v>1600</v>
      </c>
      <c r="O571" s="28"/>
      <c r="Q571" s="141"/>
      <c r="R571" s="191">
        <v>1600</v>
      </c>
    </row>
    <row r="572" spans="1:18" s="1" customFormat="1" ht="15.75" customHeight="1" x14ac:dyDescent="0.3">
      <c r="A572" s="5" t="s">
        <v>1885</v>
      </c>
      <c r="B572" s="9" t="s">
        <v>1886</v>
      </c>
      <c r="C572" s="11" t="s">
        <v>4520</v>
      </c>
      <c r="D572" t="s">
        <v>4492</v>
      </c>
      <c r="E572" s="3"/>
      <c r="F572" s="10"/>
      <c r="G572" s="10"/>
      <c r="H572" s="3" t="s">
        <v>1882</v>
      </c>
      <c r="I572"/>
      <c r="J572" s="166">
        <v>886</v>
      </c>
      <c r="K572" s="3" t="s">
        <v>1883</v>
      </c>
      <c r="L572" s="11" t="s">
        <v>1884</v>
      </c>
      <c r="M572" s="13">
        <v>44550</v>
      </c>
      <c r="N572" s="86">
        <v>1600</v>
      </c>
      <c r="O572" s="28" t="s">
        <v>20</v>
      </c>
      <c r="P572" s="1" t="s">
        <v>91</v>
      </c>
      <c r="Q572" s="141"/>
      <c r="R572" s="191">
        <v>1600</v>
      </c>
    </row>
    <row r="573" spans="1:18" s="1" customFormat="1" ht="15.75" customHeight="1" x14ac:dyDescent="0.3">
      <c r="A573" s="5" t="s">
        <v>1887</v>
      </c>
      <c r="B573" s="9" t="s">
        <v>1888</v>
      </c>
      <c r="C573" s="11" t="s">
        <v>4520</v>
      </c>
      <c r="D573" t="s">
        <v>4494</v>
      </c>
      <c r="E573" s="3"/>
      <c r="F573" s="10"/>
      <c r="G573" s="10"/>
      <c r="H573" s="3" t="s">
        <v>1882</v>
      </c>
      <c r="I573"/>
      <c r="J573" s="166">
        <v>886</v>
      </c>
      <c r="K573" s="3" t="s">
        <v>1883</v>
      </c>
      <c r="L573" s="11" t="s">
        <v>1884</v>
      </c>
      <c r="M573" s="13">
        <v>44550</v>
      </c>
      <c r="N573" s="86">
        <v>1600</v>
      </c>
      <c r="O573" s="28" t="s">
        <v>20</v>
      </c>
      <c r="P573" s="1" t="s">
        <v>44</v>
      </c>
      <c r="Q573" s="141"/>
      <c r="R573" s="191">
        <v>1600</v>
      </c>
    </row>
    <row r="574" spans="1:18" s="1" customFormat="1" ht="15.75" customHeight="1" x14ac:dyDescent="0.3">
      <c r="A574" s="53" t="s">
        <v>1889</v>
      </c>
      <c r="B574" s="53" t="s">
        <v>1889</v>
      </c>
      <c r="C574" s="54" t="s">
        <v>4518</v>
      </c>
      <c r="D574" t="s">
        <v>4492</v>
      </c>
      <c r="E574" s="55"/>
      <c r="F574" s="83"/>
      <c r="G574" s="83"/>
      <c r="H574" s="54" t="s">
        <v>1890</v>
      </c>
      <c r="I574"/>
      <c r="J574" s="169">
        <v>56261</v>
      </c>
      <c r="K574" s="44" t="s">
        <v>4479</v>
      </c>
      <c r="L574" s="44" t="s">
        <v>4480</v>
      </c>
      <c r="M574" s="119">
        <v>46042</v>
      </c>
      <c r="N574" s="120">
        <v>14419.9</v>
      </c>
      <c r="O574" s="82"/>
      <c r="P574" s="58"/>
      <c r="Q574" s="141"/>
      <c r="R574" s="198" t="s">
        <v>4811</v>
      </c>
    </row>
    <row r="575" spans="1:18" s="1" customFormat="1" ht="15.75" customHeight="1" x14ac:dyDescent="0.3">
      <c r="A575" s="5" t="s">
        <v>1891</v>
      </c>
      <c r="B575" s="9" t="s">
        <v>1892</v>
      </c>
      <c r="C575" s="11" t="s">
        <v>4520</v>
      </c>
      <c r="D575" t="s">
        <v>4496</v>
      </c>
      <c r="E575" s="3"/>
      <c r="F575" s="10"/>
      <c r="G575" s="10"/>
      <c r="H575" s="3" t="s">
        <v>1882</v>
      </c>
      <c r="I575"/>
      <c r="J575" s="166">
        <v>886</v>
      </c>
      <c r="K575" s="3" t="s">
        <v>1883</v>
      </c>
      <c r="L575" s="11" t="s">
        <v>1884</v>
      </c>
      <c r="M575" s="13">
        <v>44550</v>
      </c>
      <c r="N575" s="86">
        <v>1600</v>
      </c>
      <c r="O575" s="28" t="s">
        <v>20</v>
      </c>
      <c r="Q575" s="141"/>
      <c r="R575" s="191">
        <v>1600</v>
      </c>
    </row>
    <row r="576" spans="1:18" s="1" customFormat="1" ht="15.75" customHeight="1" x14ac:dyDescent="0.3">
      <c r="A576" s="5" t="s">
        <v>1893</v>
      </c>
      <c r="B576" s="9" t="s">
        <v>1894</v>
      </c>
      <c r="C576" s="11" t="s">
        <v>4489</v>
      </c>
      <c r="D576" t="s">
        <v>4495</v>
      </c>
      <c r="E576"/>
      <c r="F576"/>
      <c r="G576"/>
      <c r="H576" s="3" t="s">
        <v>1895</v>
      </c>
      <c r="I576"/>
      <c r="J576" s="166">
        <v>13345</v>
      </c>
      <c r="K576" s="3" t="s">
        <v>1896</v>
      </c>
      <c r="L576" s="11" t="s">
        <v>1897</v>
      </c>
      <c r="M576" s="13">
        <v>44557</v>
      </c>
      <c r="N576" s="86">
        <v>4338.3900000000003</v>
      </c>
      <c r="O576" s="28"/>
      <c r="Q576" s="141"/>
      <c r="R576" s="191" t="s">
        <v>4812</v>
      </c>
    </row>
    <row r="577" spans="1:18" s="1" customFormat="1" ht="15.75" customHeight="1" x14ac:dyDescent="0.3">
      <c r="A577" s="5" t="s">
        <v>1898</v>
      </c>
      <c r="B577" s="9" t="s">
        <v>1899</v>
      </c>
      <c r="C577" s="11" t="s">
        <v>4522</v>
      </c>
      <c r="D577" t="s">
        <v>4501</v>
      </c>
      <c r="E577" s="3"/>
      <c r="F577" s="15"/>
      <c r="G577" s="15"/>
      <c r="H577" s="3" t="s">
        <v>1900</v>
      </c>
      <c r="I577" s="160"/>
      <c r="J577" s="166">
        <v>138604</v>
      </c>
      <c r="K577" s="3" t="s">
        <v>1901</v>
      </c>
      <c r="L577" s="11" t="s">
        <v>1902</v>
      </c>
      <c r="M577" s="13">
        <v>44560</v>
      </c>
      <c r="N577" s="86">
        <v>150000</v>
      </c>
      <c r="O577" s="28"/>
      <c r="Q577" s="141"/>
      <c r="R577" s="191">
        <v>150000</v>
      </c>
    </row>
    <row r="578" spans="1:18" s="1" customFormat="1" ht="15.75" customHeight="1" x14ac:dyDescent="0.3">
      <c r="A578" s="5" t="s">
        <v>1903</v>
      </c>
      <c r="B578" s="9" t="s">
        <v>1904</v>
      </c>
      <c r="C578" s="11" t="s">
        <v>4522</v>
      </c>
      <c r="D578" t="s">
        <v>4501</v>
      </c>
      <c r="E578"/>
      <c r="F578" t="s">
        <v>4621</v>
      </c>
      <c r="G578"/>
      <c r="H578" s="3" t="s">
        <v>1905</v>
      </c>
      <c r="I578" s="160"/>
      <c r="J578" s="166">
        <v>137565</v>
      </c>
      <c r="K578" s="3" t="s">
        <v>1901</v>
      </c>
      <c r="L578" s="11" t="s">
        <v>1902</v>
      </c>
      <c r="M578" s="13">
        <v>44560</v>
      </c>
      <c r="N578" s="86">
        <v>233000</v>
      </c>
      <c r="O578" s="28"/>
      <c r="Q578" s="141"/>
      <c r="R578" s="191">
        <v>233000</v>
      </c>
    </row>
    <row r="579" spans="1:18" s="1" customFormat="1" ht="15.75" customHeight="1" x14ac:dyDescent="0.3">
      <c r="A579" s="5" t="s">
        <v>1906</v>
      </c>
      <c r="B579" s="9" t="s">
        <v>1907</v>
      </c>
      <c r="C579" s="11" t="s">
        <v>4518</v>
      </c>
      <c r="D579" t="s">
        <v>4495</v>
      </c>
      <c r="E579"/>
      <c r="F579">
        <v>30358</v>
      </c>
      <c r="G579" t="s">
        <v>4616</v>
      </c>
      <c r="H579" s="3" t="s">
        <v>1908</v>
      </c>
      <c r="I579"/>
      <c r="J579" s="166">
        <v>34535</v>
      </c>
      <c r="K579" s="3" t="s">
        <v>1188</v>
      </c>
      <c r="L579" s="11" t="s">
        <v>1189</v>
      </c>
      <c r="M579" s="13">
        <v>44560</v>
      </c>
      <c r="N579" s="86">
        <v>20282.57</v>
      </c>
      <c r="O579" s="28" t="s">
        <v>20</v>
      </c>
      <c r="Q579" s="141"/>
      <c r="R579" s="191" t="s">
        <v>4813</v>
      </c>
    </row>
    <row r="580" spans="1:18" s="1" customFormat="1" ht="15.75" customHeight="1" x14ac:dyDescent="0.3">
      <c r="A580" s="5" t="s">
        <v>1909</v>
      </c>
      <c r="B580" s="9" t="s">
        <v>1910</v>
      </c>
      <c r="C580" s="11" t="s">
        <v>4489</v>
      </c>
      <c r="D580" t="s">
        <v>4495</v>
      </c>
      <c r="E580" s="3"/>
      <c r="F580" s="15"/>
      <c r="G580" s="15"/>
      <c r="H580" s="3" t="s">
        <v>1911</v>
      </c>
      <c r="I580" t="s">
        <v>4550</v>
      </c>
      <c r="J580" s="166">
        <v>81943</v>
      </c>
      <c r="K580" s="3" t="s">
        <v>1769</v>
      </c>
      <c r="L580" s="11" t="s">
        <v>1770</v>
      </c>
      <c r="M580" s="13">
        <v>44560</v>
      </c>
      <c r="N580" s="86">
        <v>5908.5</v>
      </c>
      <c r="O580" s="28"/>
      <c r="Q580" s="141"/>
      <c r="R580" s="191" t="s">
        <v>4814</v>
      </c>
    </row>
    <row r="581" spans="1:18" s="1" customFormat="1" ht="15.75" customHeight="1" x14ac:dyDescent="0.3">
      <c r="A581" s="5" t="s">
        <v>1912</v>
      </c>
      <c r="B581" s="9" t="s">
        <v>1913</v>
      </c>
      <c r="C581" s="11" t="s">
        <v>4489</v>
      </c>
      <c r="D581" t="s">
        <v>4492</v>
      </c>
      <c r="E581"/>
      <c r="F581">
        <v>5514005</v>
      </c>
      <c r="G581"/>
      <c r="H581" s="3" t="s">
        <v>1914</v>
      </c>
      <c r="I581"/>
      <c r="J581" s="166">
        <v>726603</v>
      </c>
      <c r="K581" s="3" t="s">
        <v>1854</v>
      </c>
      <c r="L581" s="11" t="s">
        <v>892</v>
      </c>
      <c r="M581" s="13">
        <v>44560</v>
      </c>
      <c r="N581" s="86">
        <v>2247.46</v>
      </c>
      <c r="O581" s="28" t="s">
        <v>20</v>
      </c>
      <c r="Q581" s="141"/>
      <c r="R581" s="191" t="s">
        <v>4815</v>
      </c>
    </row>
    <row r="582" spans="1:18" s="1" customFormat="1" ht="15.75" customHeight="1" x14ac:dyDescent="0.3">
      <c r="A582" s="5" t="s">
        <v>1915</v>
      </c>
      <c r="B582" s="9" t="s">
        <v>1916</v>
      </c>
      <c r="C582" s="11" t="s">
        <v>4489</v>
      </c>
      <c r="D582" t="s">
        <v>4492</v>
      </c>
      <c r="E582"/>
      <c r="F582">
        <v>5514005</v>
      </c>
      <c r="G582" t="s">
        <v>4675</v>
      </c>
      <c r="H582" s="3" t="s">
        <v>1917</v>
      </c>
      <c r="I582"/>
      <c r="J582" s="165"/>
      <c r="K582" s="11"/>
      <c r="L582" s="15"/>
      <c r="M582" s="13">
        <v>44560</v>
      </c>
      <c r="N582" s="86">
        <v>1436311.6</v>
      </c>
      <c r="O582" s="28"/>
      <c r="Q582" s="141"/>
      <c r="R582" s="191" t="s">
        <v>4816</v>
      </c>
    </row>
    <row r="583" spans="1:18" s="1" customFormat="1" ht="15.75" customHeight="1" x14ac:dyDescent="0.3">
      <c r="A583" s="5" t="s">
        <v>1918</v>
      </c>
      <c r="B583" s="9" t="s">
        <v>1919</v>
      </c>
      <c r="C583" s="11" t="s">
        <v>4489</v>
      </c>
      <c r="D583" t="s">
        <v>4492</v>
      </c>
      <c r="E583"/>
      <c r="F583">
        <v>5513004</v>
      </c>
      <c r="G583" t="s">
        <v>4675</v>
      </c>
      <c r="H583" s="3" t="s">
        <v>1920</v>
      </c>
      <c r="I583"/>
      <c r="J583" s="165"/>
      <c r="K583" s="11"/>
      <c r="L583" s="15"/>
      <c r="M583" s="13">
        <v>44560</v>
      </c>
      <c r="N583" s="86">
        <v>1436311.6</v>
      </c>
      <c r="O583" s="28"/>
      <c r="Q583" s="141"/>
      <c r="R583" s="191" t="s">
        <v>4816</v>
      </c>
    </row>
    <row r="584" spans="1:18" s="1" customFormat="1" ht="15.75" customHeight="1" x14ac:dyDescent="0.3">
      <c r="A584" s="5" t="s">
        <v>1921</v>
      </c>
      <c r="B584" s="9" t="s">
        <v>1922</v>
      </c>
      <c r="C584" s="11" t="s">
        <v>4489</v>
      </c>
      <c r="D584" t="s">
        <v>4492</v>
      </c>
      <c r="E584"/>
      <c r="F584">
        <v>5512003</v>
      </c>
      <c r="G584" t="s">
        <v>4675</v>
      </c>
      <c r="H584" s="3" t="s">
        <v>1923</v>
      </c>
      <c r="I584"/>
      <c r="J584" s="165"/>
      <c r="K584" s="11"/>
      <c r="L584" s="15"/>
      <c r="M584" s="13">
        <v>44560</v>
      </c>
      <c r="N584" s="86">
        <v>1436311.6</v>
      </c>
      <c r="O584" s="28"/>
      <c r="Q584" s="141"/>
      <c r="R584" s="191" t="s">
        <v>4816</v>
      </c>
    </row>
    <row r="585" spans="1:18" s="1" customFormat="1" ht="15.75" customHeight="1" x14ac:dyDescent="0.3">
      <c r="A585" s="5" t="s">
        <v>1924</v>
      </c>
      <c r="B585" s="9" t="s">
        <v>1925</v>
      </c>
      <c r="C585" s="11" t="s">
        <v>4489</v>
      </c>
      <c r="D585" t="s">
        <v>4492</v>
      </c>
      <c r="E585"/>
      <c r="F585">
        <v>5511002</v>
      </c>
      <c r="G585" t="s">
        <v>4675</v>
      </c>
      <c r="H585" s="3" t="s">
        <v>1926</v>
      </c>
      <c r="I585"/>
      <c r="J585" s="165"/>
      <c r="K585" s="11"/>
      <c r="L585" s="15"/>
      <c r="M585" s="13">
        <v>44560</v>
      </c>
      <c r="N585" s="86">
        <v>1436311.6</v>
      </c>
      <c r="O585" s="28"/>
      <c r="Q585" s="141"/>
      <c r="R585" s="191" t="s">
        <v>4816</v>
      </c>
    </row>
    <row r="586" spans="1:18" s="1" customFormat="1" ht="15.75" customHeight="1" x14ac:dyDescent="0.3">
      <c r="A586" s="5" t="s">
        <v>1927</v>
      </c>
      <c r="B586" s="9" t="s">
        <v>1928</v>
      </c>
      <c r="C586" s="11" t="s">
        <v>4489</v>
      </c>
      <c r="D586" t="s">
        <v>4492</v>
      </c>
      <c r="E586"/>
      <c r="F586">
        <v>5510001</v>
      </c>
      <c r="G586" t="s">
        <v>4675</v>
      </c>
      <c r="H586" s="3" t="s">
        <v>1929</v>
      </c>
      <c r="I586"/>
      <c r="J586" s="165"/>
      <c r="K586" s="11"/>
      <c r="L586" s="15"/>
      <c r="M586" s="13">
        <v>44560</v>
      </c>
      <c r="N586" s="86">
        <v>1436311.6</v>
      </c>
      <c r="O586" s="28"/>
      <c r="Q586" s="141"/>
      <c r="R586" s="191" t="s">
        <v>4816</v>
      </c>
    </row>
    <row r="587" spans="1:18" s="1" customFormat="1" ht="15.75" customHeight="1" x14ac:dyDescent="0.3">
      <c r="A587" s="5" t="s">
        <v>1930</v>
      </c>
      <c r="B587" s="9" t="s">
        <v>1931</v>
      </c>
      <c r="C587" s="11" t="s">
        <v>4489</v>
      </c>
      <c r="D587" t="s">
        <v>4492</v>
      </c>
      <c r="E587"/>
      <c r="F587">
        <v>5519010</v>
      </c>
      <c r="G587" t="s">
        <v>4675</v>
      </c>
      <c r="H587" s="3" t="s">
        <v>1932</v>
      </c>
      <c r="I587"/>
      <c r="J587" s="165"/>
      <c r="K587" s="11"/>
      <c r="L587" s="15"/>
      <c r="M587" s="13">
        <v>44560</v>
      </c>
      <c r="N587" s="86">
        <v>1436311.6</v>
      </c>
      <c r="O587" s="28"/>
      <c r="Q587" s="141"/>
      <c r="R587" s="191" t="s">
        <v>4816</v>
      </c>
    </row>
    <row r="588" spans="1:18" s="1" customFormat="1" ht="15.75" customHeight="1" x14ac:dyDescent="0.3">
      <c r="A588" s="5" t="s">
        <v>1933</v>
      </c>
      <c r="B588" s="9" t="s">
        <v>1934</v>
      </c>
      <c r="C588" s="11" t="s">
        <v>4489</v>
      </c>
      <c r="D588" t="s">
        <v>4492</v>
      </c>
      <c r="E588"/>
      <c r="F588">
        <v>5518009</v>
      </c>
      <c r="G588" t="s">
        <v>4675</v>
      </c>
      <c r="H588" s="3" t="s">
        <v>1932</v>
      </c>
      <c r="I588"/>
      <c r="J588" s="165"/>
      <c r="K588" s="11"/>
      <c r="L588" s="11"/>
      <c r="M588" s="13">
        <v>44560</v>
      </c>
      <c r="N588" s="86">
        <v>1436311.6</v>
      </c>
      <c r="O588" s="28"/>
      <c r="Q588" s="141"/>
      <c r="R588" s="191" t="s">
        <v>4816</v>
      </c>
    </row>
    <row r="589" spans="1:18" s="1" customFormat="1" ht="15.75" customHeight="1" x14ac:dyDescent="0.3">
      <c r="A589" s="5" t="s">
        <v>1935</v>
      </c>
      <c r="B589" s="9" t="s">
        <v>1936</v>
      </c>
      <c r="C589" s="11" t="s">
        <v>4489</v>
      </c>
      <c r="D589" t="s">
        <v>4492</v>
      </c>
      <c r="E589"/>
      <c r="F589">
        <v>5517008</v>
      </c>
      <c r="G589" t="s">
        <v>4675</v>
      </c>
      <c r="H589" s="3" t="s">
        <v>1937</v>
      </c>
      <c r="I589"/>
      <c r="J589" s="165"/>
      <c r="K589" s="11"/>
      <c r="L589" s="11"/>
      <c r="M589" s="13">
        <v>44560</v>
      </c>
      <c r="N589" s="86">
        <v>1436311.6</v>
      </c>
      <c r="O589" s="28"/>
      <c r="Q589" s="141"/>
      <c r="R589" s="191" t="s">
        <v>4816</v>
      </c>
    </row>
    <row r="590" spans="1:18" s="1" customFormat="1" ht="15.75" customHeight="1" x14ac:dyDescent="0.3">
      <c r="A590" s="5" t="s">
        <v>1938</v>
      </c>
      <c r="B590" s="9" t="s">
        <v>1939</v>
      </c>
      <c r="C590" s="11" t="s">
        <v>4489</v>
      </c>
      <c r="D590" t="s">
        <v>4492</v>
      </c>
      <c r="E590"/>
      <c r="F590">
        <v>5516007</v>
      </c>
      <c r="G590" t="s">
        <v>4675</v>
      </c>
      <c r="H590" s="3" t="s">
        <v>1937</v>
      </c>
      <c r="I590"/>
      <c r="J590" s="165"/>
      <c r="K590" s="11"/>
      <c r="L590" s="11"/>
      <c r="M590" s="13">
        <v>44560</v>
      </c>
      <c r="N590" s="86">
        <v>1436311.6</v>
      </c>
      <c r="O590" s="28"/>
      <c r="Q590" s="141"/>
      <c r="R590" s="191" t="s">
        <v>4816</v>
      </c>
    </row>
    <row r="591" spans="1:18" s="1" customFormat="1" ht="15.75" customHeight="1" x14ac:dyDescent="0.3">
      <c r="A591" s="5" t="s">
        <v>1940</v>
      </c>
      <c r="B591" s="9" t="s">
        <v>1941</v>
      </c>
      <c r="C591" s="11" t="s">
        <v>4489</v>
      </c>
      <c r="D591" t="s">
        <v>4492</v>
      </c>
      <c r="E591"/>
      <c r="F591">
        <v>5515006</v>
      </c>
      <c r="G591" t="s">
        <v>4675</v>
      </c>
      <c r="H591" s="3" t="s">
        <v>1942</v>
      </c>
      <c r="I591"/>
      <c r="J591" s="165"/>
      <c r="K591" s="11"/>
      <c r="L591" s="11"/>
      <c r="M591" s="13">
        <v>44560</v>
      </c>
      <c r="N591" s="86">
        <v>1436311.6</v>
      </c>
      <c r="O591" s="28"/>
      <c r="Q591" s="141"/>
      <c r="R591" s="191" t="s">
        <v>4816</v>
      </c>
    </row>
    <row r="592" spans="1:18" s="1" customFormat="1" ht="15.75" customHeight="1" x14ac:dyDescent="0.3">
      <c r="A592" s="5" t="s">
        <v>1943</v>
      </c>
      <c r="B592" s="9" t="s">
        <v>1944</v>
      </c>
      <c r="C592" s="11" t="s">
        <v>4490</v>
      </c>
      <c r="D592" t="s">
        <v>4495</v>
      </c>
      <c r="E592" s="160"/>
      <c r="F592" t="s">
        <v>1945</v>
      </c>
      <c r="G592" t="s">
        <v>4616</v>
      </c>
      <c r="H592" s="3" t="s">
        <v>1946</v>
      </c>
      <c r="I592"/>
      <c r="J592" s="166">
        <v>3710</v>
      </c>
      <c r="K592" s="3" t="s">
        <v>1525</v>
      </c>
      <c r="L592" s="11" t="s">
        <v>1526</v>
      </c>
      <c r="M592" s="13">
        <v>44560</v>
      </c>
      <c r="N592" s="86">
        <v>90000</v>
      </c>
      <c r="O592" s="28" t="s">
        <v>20</v>
      </c>
      <c r="P592" s="1" t="s">
        <v>44</v>
      </c>
      <c r="Q592" s="141"/>
      <c r="R592" s="191">
        <v>90000</v>
      </c>
    </row>
    <row r="593" spans="1:18" s="1" customFormat="1" ht="15.75" customHeight="1" x14ac:dyDescent="0.3">
      <c r="A593" s="5" t="s">
        <v>1947</v>
      </c>
      <c r="B593" s="9" t="s">
        <v>1948</v>
      </c>
      <c r="C593" s="11" t="s">
        <v>4487</v>
      </c>
      <c r="D593" t="s">
        <v>4495</v>
      </c>
      <c r="E593" t="s">
        <v>1949</v>
      </c>
      <c r="F593" t="s">
        <v>1950</v>
      </c>
      <c r="G593" t="s">
        <v>4631</v>
      </c>
      <c r="H593" s="3" t="s">
        <v>1951</v>
      </c>
      <c r="I593" t="s">
        <v>4551</v>
      </c>
      <c r="J593" s="166">
        <v>75464</v>
      </c>
      <c r="K593" s="3" t="s">
        <v>1952</v>
      </c>
      <c r="L593" s="11" t="s">
        <v>1953</v>
      </c>
      <c r="M593" s="13">
        <v>44560</v>
      </c>
      <c r="N593" s="86">
        <v>68048.78</v>
      </c>
      <c r="O593" s="28" t="s">
        <v>20</v>
      </c>
      <c r="P593" s="1" t="s">
        <v>66</v>
      </c>
      <c r="Q593" s="141"/>
      <c r="R593" s="191" t="s">
        <v>4817</v>
      </c>
    </row>
    <row r="594" spans="1:18" s="1" customFormat="1" ht="15.75" customHeight="1" x14ac:dyDescent="0.3">
      <c r="A594" s="5" t="s">
        <v>1954</v>
      </c>
      <c r="B594" s="9" t="s">
        <v>1955</v>
      </c>
      <c r="C594" s="11" t="s">
        <v>4487</v>
      </c>
      <c r="D594" t="s">
        <v>4495</v>
      </c>
      <c r="E594" t="s">
        <v>1956</v>
      </c>
      <c r="F594" t="s">
        <v>1957</v>
      </c>
      <c r="G594" t="s">
        <v>4654</v>
      </c>
      <c r="H594" s="3" t="s">
        <v>1958</v>
      </c>
      <c r="I594"/>
      <c r="J594" s="166">
        <v>75464</v>
      </c>
      <c r="K594" s="3" t="s">
        <v>1959</v>
      </c>
      <c r="L594" s="11" t="s">
        <v>1953</v>
      </c>
      <c r="M594" s="13">
        <v>44560</v>
      </c>
      <c r="N594" s="86">
        <v>210951.22</v>
      </c>
      <c r="O594" s="28" t="s">
        <v>20</v>
      </c>
      <c r="Q594" s="141"/>
      <c r="R594" s="191" t="s">
        <v>4818</v>
      </c>
    </row>
    <row r="595" spans="1:18" s="1" customFormat="1" ht="15.75" customHeight="1" x14ac:dyDescent="0.3">
      <c r="A595" s="5" t="s">
        <v>1960</v>
      </c>
      <c r="B595" s="9" t="s">
        <v>1961</v>
      </c>
      <c r="C595" s="11" t="s">
        <v>4487</v>
      </c>
      <c r="D595" t="s">
        <v>4495</v>
      </c>
      <c r="E595" t="s">
        <v>1962</v>
      </c>
      <c r="F595" t="s">
        <v>1963</v>
      </c>
      <c r="G595" t="s">
        <v>4654</v>
      </c>
      <c r="H595" s="3" t="s">
        <v>1958</v>
      </c>
      <c r="I595" s="160"/>
      <c r="J595" s="166">
        <v>75462</v>
      </c>
      <c r="K595" s="3" t="s">
        <v>1952</v>
      </c>
      <c r="L595" s="11" t="s">
        <v>1953</v>
      </c>
      <c r="M595" s="29">
        <v>44546</v>
      </c>
      <c r="N595" s="86">
        <v>186000</v>
      </c>
      <c r="O595" s="28" t="s">
        <v>20</v>
      </c>
      <c r="P595" s="1" t="s">
        <v>66</v>
      </c>
      <c r="Q595" s="141"/>
      <c r="R595" s="191">
        <v>186000</v>
      </c>
    </row>
    <row r="596" spans="1:18" s="1" customFormat="1" ht="15.75" customHeight="1" x14ac:dyDescent="0.3">
      <c r="A596" s="5" t="s">
        <v>1964</v>
      </c>
      <c r="B596" s="9" t="s">
        <v>1965</v>
      </c>
      <c r="C596" s="11" t="s">
        <v>4519</v>
      </c>
      <c r="D596" t="s">
        <v>4493</v>
      </c>
      <c r="E596" s="3"/>
      <c r="F596" s="15"/>
      <c r="G596" s="15"/>
      <c r="H596" s="3" t="s">
        <v>474</v>
      </c>
      <c r="I596"/>
      <c r="J596" s="166">
        <v>511995</v>
      </c>
      <c r="K596" s="3" t="s">
        <v>701</v>
      </c>
      <c r="L596" s="11" t="s">
        <v>730</v>
      </c>
      <c r="M596" s="29">
        <v>44552</v>
      </c>
      <c r="N596" s="86">
        <v>3395.7</v>
      </c>
      <c r="O596" s="28"/>
      <c r="Q596" s="141"/>
      <c r="R596" s="191" t="s">
        <v>4819</v>
      </c>
    </row>
    <row r="597" spans="1:18" s="1" customFormat="1" ht="15.75" customHeight="1" x14ac:dyDescent="0.3">
      <c r="A597" s="5" t="s">
        <v>1966</v>
      </c>
      <c r="B597" s="9" t="s">
        <v>1967</v>
      </c>
      <c r="C597" s="11" t="s">
        <v>4519</v>
      </c>
      <c r="D597" t="s">
        <v>4495</v>
      </c>
      <c r="E597" s="3"/>
      <c r="F597" s="15"/>
      <c r="G597" s="15"/>
      <c r="H597" s="3" t="s">
        <v>1968</v>
      </c>
      <c r="I597"/>
      <c r="J597" s="166">
        <v>1</v>
      </c>
      <c r="K597" s="3" t="s">
        <v>1969</v>
      </c>
      <c r="L597" s="11" t="s">
        <v>1970</v>
      </c>
      <c r="M597" s="29">
        <v>44544</v>
      </c>
      <c r="N597" s="86">
        <v>1839.9</v>
      </c>
      <c r="O597" s="28"/>
      <c r="Q597" s="141"/>
      <c r="R597" s="191" t="s">
        <v>4820</v>
      </c>
    </row>
    <row r="598" spans="1:18" s="1" customFormat="1" ht="15.75" customHeight="1" x14ac:dyDescent="0.3">
      <c r="A598" s="5" t="s">
        <v>1971</v>
      </c>
      <c r="B598" s="10" t="s">
        <v>1972</v>
      </c>
      <c r="C598" s="11" t="s">
        <v>4519</v>
      </c>
      <c r="D598" t="s">
        <v>4495</v>
      </c>
      <c r="E598" s="11"/>
      <c r="F598" s="15"/>
      <c r="G598" s="15"/>
      <c r="H598" s="11" t="s">
        <v>1968</v>
      </c>
      <c r="I598"/>
      <c r="J598" s="170">
        <v>1</v>
      </c>
      <c r="K598" s="11" t="s">
        <v>1969</v>
      </c>
      <c r="L598" s="11" t="s">
        <v>1970</v>
      </c>
      <c r="M598" s="13">
        <v>44544</v>
      </c>
      <c r="N598" s="90">
        <v>1839.9</v>
      </c>
      <c r="O598" s="28"/>
      <c r="P598" s="1" t="s">
        <v>91</v>
      </c>
      <c r="Q598" s="141"/>
      <c r="R598" s="193" t="s">
        <v>4820</v>
      </c>
    </row>
    <row r="599" spans="1:18" s="1" customFormat="1" ht="15.75" customHeight="1" x14ac:dyDescent="0.3">
      <c r="A599" s="5" t="s">
        <v>1973</v>
      </c>
      <c r="B599" s="10" t="s">
        <v>1974</v>
      </c>
      <c r="C599" s="11" t="s">
        <v>4519</v>
      </c>
      <c r="D599" t="s">
        <v>4495</v>
      </c>
      <c r="E599" s="11"/>
      <c r="F599" s="15"/>
      <c r="G599" s="15"/>
      <c r="H599" s="11" t="s">
        <v>1975</v>
      </c>
      <c r="I599"/>
      <c r="J599" s="170">
        <v>1</v>
      </c>
      <c r="K599" s="11" t="s">
        <v>1969</v>
      </c>
      <c r="L599" s="11" t="s">
        <v>1970</v>
      </c>
      <c r="M599" s="13">
        <v>44544</v>
      </c>
      <c r="N599" s="90">
        <v>1629.9</v>
      </c>
      <c r="O599" s="28"/>
      <c r="P599" s="1" t="s">
        <v>91</v>
      </c>
      <c r="Q599" s="141"/>
      <c r="R599" s="193" t="s">
        <v>4821</v>
      </c>
    </row>
    <row r="600" spans="1:18" s="1" customFormat="1" ht="15.75" customHeight="1" x14ac:dyDescent="0.3">
      <c r="A600" s="5" t="s">
        <v>1976</v>
      </c>
      <c r="B600" s="10" t="s">
        <v>1977</v>
      </c>
      <c r="C600" s="11" t="s">
        <v>4519</v>
      </c>
      <c r="D600" t="s">
        <v>4495</v>
      </c>
      <c r="E600" s="11"/>
      <c r="F600" s="15"/>
      <c r="G600" s="15"/>
      <c r="H600" s="11" t="s">
        <v>1975</v>
      </c>
      <c r="I600"/>
      <c r="J600" s="170">
        <v>1</v>
      </c>
      <c r="K600" s="11" t="s">
        <v>1969</v>
      </c>
      <c r="L600" s="11" t="s">
        <v>1970</v>
      </c>
      <c r="M600" s="13">
        <v>44544</v>
      </c>
      <c r="N600" s="90">
        <v>1629.9</v>
      </c>
      <c r="O600" s="28"/>
      <c r="P600" s="1" t="s">
        <v>91</v>
      </c>
      <c r="Q600" s="141"/>
      <c r="R600" s="193" t="s">
        <v>4821</v>
      </c>
    </row>
    <row r="601" spans="1:18" s="1" customFormat="1" ht="15.75" customHeight="1" x14ac:dyDescent="0.3">
      <c r="A601" s="5" t="s">
        <v>1978</v>
      </c>
      <c r="B601" s="9" t="s">
        <v>1979</v>
      </c>
      <c r="C601" s="11" t="s">
        <v>4519</v>
      </c>
      <c r="D601" t="s">
        <v>4495</v>
      </c>
      <c r="E601" s="3"/>
      <c r="F601" s="15"/>
      <c r="G601" s="15"/>
      <c r="H601" s="3" t="s">
        <v>1975</v>
      </c>
      <c r="I601"/>
      <c r="J601" s="166">
        <v>1</v>
      </c>
      <c r="K601" s="3" t="s">
        <v>1969</v>
      </c>
      <c r="L601" s="11" t="s">
        <v>1970</v>
      </c>
      <c r="M601" s="29">
        <v>44544</v>
      </c>
      <c r="N601" s="86">
        <v>1629.9</v>
      </c>
      <c r="O601" s="28" t="s">
        <v>20</v>
      </c>
      <c r="Q601" s="141"/>
      <c r="R601" s="191" t="s">
        <v>4821</v>
      </c>
    </row>
    <row r="602" spans="1:18" s="1" customFormat="1" ht="15.75" customHeight="1" x14ac:dyDescent="0.3">
      <c r="A602" s="5" t="s">
        <v>1980</v>
      </c>
      <c r="B602" s="9" t="s">
        <v>1981</v>
      </c>
      <c r="C602" s="11" t="s">
        <v>4490</v>
      </c>
      <c r="D602" t="s">
        <v>4495</v>
      </c>
      <c r="E602"/>
      <c r="F602" t="s">
        <v>1982</v>
      </c>
      <c r="G602" t="s">
        <v>4629</v>
      </c>
      <c r="H602" s="3" t="s">
        <v>1983</v>
      </c>
      <c r="I602"/>
      <c r="J602" s="166">
        <v>9840</v>
      </c>
      <c r="K602" s="3" t="s">
        <v>176</v>
      </c>
      <c r="L602" s="11" t="s">
        <v>1015</v>
      </c>
      <c r="M602" s="29">
        <v>44529</v>
      </c>
      <c r="N602" s="86">
        <v>1400000</v>
      </c>
      <c r="O602" s="28" t="s">
        <v>20</v>
      </c>
      <c r="P602" s="1" t="s">
        <v>66</v>
      </c>
      <c r="Q602" s="141"/>
      <c r="R602" s="191">
        <v>1400000</v>
      </c>
    </row>
    <row r="603" spans="1:18" s="1" customFormat="1" ht="15.75" customHeight="1" x14ac:dyDescent="0.3">
      <c r="A603" s="5" t="s">
        <v>1984</v>
      </c>
      <c r="B603" s="9" t="s">
        <v>1985</v>
      </c>
      <c r="C603" s="11" t="s">
        <v>4490</v>
      </c>
      <c r="D603" t="s">
        <v>4492</v>
      </c>
      <c r="E603"/>
      <c r="F603" t="s">
        <v>1986</v>
      </c>
      <c r="G603" t="s">
        <v>4629</v>
      </c>
      <c r="H603" s="3" t="s">
        <v>1639</v>
      </c>
      <c r="I603"/>
      <c r="J603" s="166">
        <v>9839</v>
      </c>
      <c r="K603" s="3" t="s">
        <v>176</v>
      </c>
      <c r="L603" s="11" t="s">
        <v>1028</v>
      </c>
      <c r="M603" s="29">
        <v>44530</v>
      </c>
      <c r="N603" s="86">
        <v>750000</v>
      </c>
      <c r="O603" s="28" t="s">
        <v>20</v>
      </c>
      <c r="P603" s="1" t="s">
        <v>44</v>
      </c>
      <c r="Q603" s="141"/>
      <c r="R603" s="191">
        <v>750000</v>
      </c>
    </row>
    <row r="604" spans="1:18" s="1" customFormat="1" ht="15.75" customHeight="1" x14ac:dyDescent="0.3">
      <c r="A604" s="5" t="s">
        <v>1987</v>
      </c>
      <c r="B604" s="9" t="s">
        <v>1988</v>
      </c>
      <c r="C604" s="11" t="s">
        <v>4487</v>
      </c>
      <c r="D604" t="s">
        <v>4493</v>
      </c>
      <c r="E604" t="s">
        <v>1989</v>
      </c>
      <c r="F604" t="s">
        <v>1990</v>
      </c>
      <c r="G604" t="s">
        <v>4623</v>
      </c>
      <c r="H604" s="3" t="s">
        <v>1991</v>
      </c>
      <c r="I604"/>
      <c r="J604" s="166">
        <v>1761517</v>
      </c>
      <c r="K604" s="11" t="s">
        <v>18</v>
      </c>
      <c r="L604" s="11" t="s">
        <v>1992</v>
      </c>
      <c r="M604" s="13">
        <v>44533</v>
      </c>
      <c r="N604" s="86">
        <v>245000</v>
      </c>
      <c r="O604" s="28" t="s">
        <v>20</v>
      </c>
      <c r="P604" s="1" t="s">
        <v>78</v>
      </c>
      <c r="Q604" s="141"/>
      <c r="R604" s="191">
        <v>245000</v>
      </c>
    </row>
    <row r="605" spans="1:18" s="1" customFormat="1" ht="15.75" customHeight="1" x14ac:dyDescent="0.3">
      <c r="A605" s="5" t="s">
        <v>1993</v>
      </c>
      <c r="B605" s="9" t="s">
        <v>1994</v>
      </c>
      <c r="C605" s="11" t="s">
        <v>4487</v>
      </c>
      <c r="D605" t="s">
        <v>4495</v>
      </c>
      <c r="E605" t="s">
        <v>1995</v>
      </c>
      <c r="F605" t="s">
        <v>1996</v>
      </c>
      <c r="G605" t="s">
        <v>4623</v>
      </c>
      <c r="H605" s="3" t="s">
        <v>1997</v>
      </c>
      <c r="I605"/>
      <c r="J605" s="166">
        <v>1765284</v>
      </c>
      <c r="K605" s="11" t="s">
        <v>18</v>
      </c>
      <c r="L605" s="11" t="s">
        <v>1998</v>
      </c>
      <c r="M605" s="13">
        <v>44539</v>
      </c>
      <c r="N605" s="86">
        <v>375000</v>
      </c>
      <c r="O605" s="28" t="s">
        <v>20</v>
      </c>
      <c r="P605" s="1" t="s">
        <v>78</v>
      </c>
      <c r="Q605" s="141"/>
      <c r="R605" s="191">
        <v>375000</v>
      </c>
    </row>
    <row r="606" spans="1:18" s="1" customFormat="1" ht="15.75" customHeight="1" x14ac:dyDescent="0.3">
      <c r="A606" s="5" t="s">
        <v>1999</v>
      </c>
      <c r="B606" s="9" t="s">
        <v>2000</v>
      </c>
      <c r="C606" s="11" t="s">
        <v>4487</v>
      </c>
      <c r="D606" t="s">
        <v>4496</v>
      </c>
      <c r="E606" t="s">
        <v>2001</v>
      </c>
      <c r="F606" t="s">
        <v>2002</v>
      </c>
      <c r="G606" t="s">
        <v>4623</v>
      </c>
      <c r="H606" s="3" t="s">
        <v>2003</v>
      </c>
      <c r="I606"/>
      <c r="J606" s="166">
        <v>5463052</v>
      </c>
      <c r="K606" s="3" t="s">
        <v>2004</v>
      </c>
      <c r="L606" s="11" t="s">
        <v>2005</v>
      </c>
      <c r="M606" s="13">
        <v>44560</v>
      </c>
      <c r="N606" s="86">
        <v>84730.49</v>
      </c>
      <c r="O606" s="28"/>
      <c r="Q606" s="141"/>
      <c r="R606" s="191" t="s">
        <v>4822</v>
      </c>
    </row>
    <row r="607" spans="1:18" s="1" customFormat="1" ht="15.75" customHeight="1" x14ac:dyDescent="0.3">
      <c r="A607" s="5" t="s">
        <v>2006</v>
      </c>
      <c r="B607" s="9" t="s">
        <v>2007</v>
      </c>
      <c r="C607" s="11" t="s">
        <v>4489</v>
      </c>
      <c r="D607" t="s">
        <v>4495</v>
      </c>
      <c r="E607"/>
      <c r="F607">
        <v>13683</v>
      </c>
      <c r="G607" t="s">
        <v>4618</v>
      </c>
      <c r="H607" s="3" t="s">
        <v>2008</v>
      </c>
      <c r="I607"/>
      <c r="J607" s="174"/>
      <c r="K607" s="15"/>
      <c r="L607" s="15"/>
      <c r="M607" s="13">
        <v>44571</v>
      </c>
      <c r="N607" s="86">
        <v>1288888.8899999999</v>
      </c>
      <c r="O607" s="28"/>
      <c r="Q607" s="141"/>
      <c r="R607" s="191" t="s">
        <v>4823</v>
      </c>
    </row>
    <row r="608" spans="1:18" s="1" customFormat="1" ht="15.75" customHeight="1" x14ac:dyDescent="0.3">
      <c r="A608" s="5" t="s">
        <v>2009</v>
      </c>
      <c r="B608" s="9" t="s">
        <v>2010</v>
      </c>
      <c r="C608" s="11" t="s">
        <v>4489</v>
      </c>
      <c r="D608" t="s">
        <v>4495</v>
      </c>
      <c r="E608"/>
      <c r="F608">
        <v>13684</v>
      </c>
      <c r="G608" t="s">
        <v>4618</v>
      </c>
      <c r="H608" s="3" t="s">
        <v>2011</v>
      </c>
      <c r="I608"/>
      <c r="J608" s="174"/>
      <c r="K608" s="15"/>
      <c r="L608" s="15"/>
      <c r="M608" s="13">
        <v>44571</v>
      </c>
      <c r="N608" s="86">
        <v>1288888.8899999999</v>
      </c>
      <c r="O608" s="28"/>
      <c r="Q608" s="141"/>
      <c r="R608" s="191" t="s">
        <v>4823</v>
      </c>
    </row>
    <row r="609" spans="1:18" s="1" customFormat="1" ht="15.75" customHeight="1" x14ac:dyDescent="0.3">
      <c r="A609" s="5" t="s">
        <v>2012</v>
      </c>
      <c r="B609" s="9" t="s">
        <v>2013</v>
      </c>
      <c r="C609" s="11" t="s">
        <v>4489</v>
      </c>
      <c r="D609" t="s">
        <v>4495</v>
      </c>
      <c r="E609"/>
      <c r="F609">
        <v>13685</v>
      </c>
      <c r="G609" t="s">
        <v>4618</v>
      </c>
      <c r="H609" s="3" t="s">
        <v>2014</v>
      </c>
      <c r="I609"/>
      <c r="J609" s="174"/>
      <c r="K609" s="15"/>
      <c r="L609" s="15"/>
      <c r="M609" s="13">
        <v>44571</v>
      </c>
      <c r="N609" s="86">
        <v>1288888.8899999999</v>
      </c>
      <c r="O609" s="28"/>
      <c r="Q609" s="141"/>
      <c r="R609" s="191" t="s">
        <v>4823</v>
      </c>
    </row>
    <row r="610" spans="1:18" s="1" customFormat="1" ht="15.75" customHeight="1" x14ac:dyDescent="0.3">
      <c r="A610" s="5" t="s">
        <v>2015</v>
      </c>
      <c r="B610" s="9" t="s">
        <v>2016</v>
      </c>
      <c r="C610" s="11" t="s">
        <v>4489</v>
      </c>
      <c r="D610" t="s">
        <v>4495</v>
      </c>
      <c r="E610"/>
      <c r="F610">
        <v>13686</v>
      </c>
      <c r="G610" t="s">
        <v>4618</v>
      </c>
      <c r="H610" s="3" t="s">
        <v>2017</v>
      </c>
      <c r="I610"/>
      <c r="J610" s="174"/>
      <c r="K610" s="15"/>
      <c r="L610" s="15"/>
      <c r="M610" s="13">
        <v>44571</v>
      </c>
      <c r="N610" s="86">
        <v>1288888.8899999999</v>
      </c>
      <c r="O610" s="28"/>
      <c r="Q610" s="141"/>
      <c r="R610" s="191" t="s">
        <v>4823</v>
      </c>
    </row>
    <row r="611" spans="1:18" s="1" customFormat="1" ht="15.75" customHeight="1" x14ac:dyDescent="0.3">
      <c r="A611" s="5" t="s">
        <v>2018</v>
      </c>
      <c r="B611" s="9" t="s">
        <v>2019</v>
      </c>
      <c r="C611" s="11" t="s">
        <v>4489</v>
      </c>
      <c r="D611" t="s">
        <v>4495</v>
      </c>
      <c r="E611"/>
      <c r="F611">
        <v>13687</v>
      </c>
      <c r="G611" t="s">
        <v>4618</v>
      </c>
      <c r="H611" s="3" t="s">
        <v>2020</v>
      </c>
      <c r="I611"/>
      <c r="J611" s="174"/>
      <c r="K611" s="15"/>
      <c r="L611" s="15"/>
      <c r="M611" s="13">
        <v>44571</v>
      </c>
      <c r="N611" s="86">
        <v>1288888.8899999999</v>
      </c>
      <c r="O611" s="28"/>
      <c r="Q611" s="141"/>
      <c r="R611" s="191" t="s">
        <v>4823</v>
      </c>
    </row>
    <row r="612" spans="1:18" s="1" customFormat="1" ht="15.75" customHeight="1" x14ac:dyDescent="0.3">
      <c r="A612" s="5" t="s">
        <v>2021</v>
      </c>
      <c r="B612" s="9" t="s">
        <v>2022</v>
      </c>
      <c r="C612" s="11" t="s">
        <v>4489</v>
      </c>
      <c r="D612" t="s">
        <v>4495</v>
      </c>
      <c r="E612"/>
      <c r="F612">
        <v>13688</v>
      </c>
      <c r="G612" t="s">
        <v>4618</v>
      </c>
      <c r="H612" s="3" t="s">
        <v>2023</v>
      </c>
      <c r="I612"/>
      <c r="J612" s="174"/>
      <c r="K612" s="15"/>
      <c r="L612" s="15"/>
      <c r="M612" s="13">
        <v>44571</v>
      </c>
      <c r="N612" s="86">
        <v>1288888.8899999999</v>
      </c>
      <c r="O612" s="28"/>
      <c r="Q612" s="141"/>
      <c r="R612" s="191" t="s">
        <v>4823</v>
      </c>
    </row>
    <row r="613" spans="1:18" s="1" customFormat="1" ht="15.75" customHeight="1" x14ac:dyDescent="0.3">
      <c r="A613" s="5" t="s">
        <v>2024</v>
      </c>
      <c r="B613" s="9" t="s">
        <v>2025</v>
      </c>
      <c r="C613" s="11" t="s">
        <v>4489</v>
      </c>
      <c r="D613" t="s">
        <v>4495</v>
      </c>
      <c r="E613"/>
      <c r="F613">
        <v>13689</v>
      </c>
      <c r="G613" t="s">
        <v>4618</v>
      </c>
      <c r="H613" s="3" t="s">
        <v>2026</v>
      </c>
      <c r="I613"/>
      <c r="J613" s="174"/>
      <c r="K613" s="15"/>
      <c r="L613" s="15"/>
      <c r="M613" s="13">
        <v>44571</v>
      </c>
      <c r="N613" s="86">
        <v>1288888.8899999999</v>
      </c>
      <c r="O613" s="28"/>
      <c r="Q613" s="141"/>
      <c r="R613" s="191" t="s">
        <v>4823</v>
      </c>
    </row>
    <row r="614" spans="1:18" s="1" customFormat="1" ht="15.75" customHeight="1" x14ac:dyDescent="0.3">
      <c r="A614" s="5" t="s">
        <v>2027</v>
      </c>
      <c r="B614" s="9" t="s">
        <v>2028</v>
      </c>
      <c r="C614" s="11" t="s">
        <v>4489</v>
      </c>
      <c r="D614" t="s">
        <v>4495</v>
      </c>
      <c r="E614"/>
      <c r="F614">
        <v>13690</v>
      </c>
      <c r="G614" t="s">
        <v>4618</v>
      </c>
      <c r="H614" s="3" t="s">
        <v>2029</v>
      </c>
      <c r="I614"/>
      <c r="J614" s="174"/>
      <c r="K614" s="15"/>
      <c r="L614" s="15"/>
      <c r="M614" s="13">
        <v>44571</v>
      </c>
      <c r="N614" s="86">
        <v>1288888.8899999999</v>
      </c>
      <c r="O614" s="28"/>
      <c r="Q614" s="141"/>
      <c r="R614" s="191" t="s">
        <v>4823</v>
      </c>
    </row>
    <row r="615" spans="1:18" s="22" customFormat="1" ht="15.75" customHeight="1" x14ac:dyDescent="0.3">
      <c r="A615" s="155" t="s">
        <v>2030</v>
      </c>
      <c r="B615" s="53" t="s">
        <v>2030</v>
      </c>
      <c r="C615" s="54" t="s">
        <v>4520</v>
      </c>
      <c r="D615" t="s">
        <v>4495</v>
      </c>
      <c r="E615" s="55"/>
      <c r="F615" s="56"/>
      <c r="G615" s="56"/>
      <c r="H615" s="55" t="s">
        <v>4481</v>
      </c>
      <c r="I615" t="s">
        <v>4552</v>
      </c>
      <c r="J615" s="169">
        <v>3345</v>
      </c>
      <c r="K615" s="56" t="s">
        <v>735</v>
      </c>
      <c r="L615" s="44" t="s">
        <v>105</v>
      </c>
      <c r="M615" s="119">
        <v>46030</v>
      </c>
      <c r="N615" s="120">
        <v>990</v>
      </c>
      <c r="O615" s="82"/>
      <c r="P615" s="58"/>
      <c r="Q615" s="141"/>
      <c r="R615" s="198">
        <v>990</v>
      </c>
    </row>
    <row r="616" spans="1:18" s="1" customFormat="1" ht="15.75" customHeight="1" x14ac:dyDescent="0.3">
      <c r="A616" s="5" t="s">
        <v>2031</v>
      </c>
      <c r="B616" s="9" t="s">
        <v>2032</v>
      </c>
      <c r="C616" s="3" t="s">
        <v>4520</v>
      </c>
      <c r="D616" t="s">
        <v>4495</v>
      </c>
      <c r="E616" s="3"/>
      <c r="F616" s="10"/>
      <c r="G616" s="10"/>
      <c r="H616" s="3" t="s">
        <v>2033</v>
      </c>
      <c r="I616"/>
      <c r="J616" s="166">
        <v>6375</v>
      </c>
      <c r="K616" s="3" t="s">
        <v>2034</v>
      </c>
      <c r="L616" s="11" t="s">
        <v>197</v>
      </c>
      <c r="M616" s="13">
        <v>44574</v>
      </c>
      <c r="N616" s="86">
        <v>17121.93</v>
      </c>
      <c r="O616" s="28"/>
      <c r="Q616" s="141"/>
      <c r="R616" s="191" t="s">
        <v>4824</v>
      </c>
    </row>
    <row r="617" spans="1:18" s="1" customFormat="1" ht="15.75" customHeight="1" x14ac:dyDescent="0.3">
      <c r="A617" s="5" t="s">
        <v>2035</v>
      </c>
      <c r="B617" s="9" t="s">
        <v>2036</v>
      </c>
      <c r="C617" s="11" t="s">
        <v>4520</v>
      </c>
      <c r="D617" t="s">
        <v>4495</v>
      </c>
      <c r="E617" s="3"/>
      <c r="F617" s="10"/>
      <c r="G617" s="10"/>
      <c r="H617" s="3" t="s">
        <v>2037</v>
      </c>
      <c r="I617"/>
      <c r="J617" s="166">
        <v>6375</v>
      </c>
      <c r="K617" s="3" t="s">
        <v>2034</v>
      </c>
      <c r="L617" s="11" t="s">
        <v>197</v>
      </c>
      <c r="M617" s="13">
        <v>44574</v>
      </c>
      <c r="N617" s="86">
        <v>8225.2000000000007</v>
      </c>
      <c r="O617" s="28"/>
      <c r="Q617" s="141"/>
      <c r="R617" s="191" t="s">
        <v>4825</v>
      </c>
    </row>
    <row r="618" spans="1:18" s="1" customFormat="1" ht="15.75" customHeight="1" x14ac:dyDescent="0.3">
      <c r="A618" s="5" t="s">
        <v>2038</v>
      </c>
      <c r="B618" s="9" t="s">
        <v>2039</v>
      </c>
      <c r="C618" s="11" t="s">
        <v>4489</v>
      </c>
      <c r="D618" t="s">
        <v>4493</v>
      </c>
      <c r="E618" s="3"/>
      <c r="F618" s="15"/>
      <c r="G618" s="15"/>
      <c r="H618" s="3" t="s">
        <v>2040</v>
      </c>
      <c r="I618"/>
      <c r="J618" s="166">
        <v>2575</v>
      </c>
      <c r="K618" s="3" t="s">
        <v>2041</v>
      </c>
      <c r="L618" s="11" t="s">
        <v>2042</v>
      </c>
      <c r="M618" s="13">
        <v>44586</v>
      </c>
      <c r="N618" s="86">
        <v>20121.95</v>
      </c>
      <c r="O618" s="28" t="s">
        <v>20</v>
      </c>
      <c r="P618" s="1" t="s">
        <v>78</v>
      </c>
      <c r="Q618" s="141"/>
      <c r="R618" s="191" t="s">
        <v>4826</v>
      </c>
    </row>
    <row r="619" spans="1:18" s="1" customFormat="1" ht="15.75" customHeight="1" x14ac:dyDescent="0.3">
      <c r="A619" s="5" t="s">
        <v>2043</v>
      </c>
      <c r="B619" s="9" t="s">
        <v>2044</v>
      </c>
      <c r="C619" s="11" t="s">
        <v>4489</v>
      </c>
      <c r="D619" t="s">
        <v>4493</v>
      </c>
      <c r="E619" s="3"/>
      <c r="F619" s="15"/>
      <c r="G619" s="15"/>
      <c r="H619" s="3" t="s">
        <v>1580</v>
      </c>
      <c r="I619"/>
      <c r="J619" s="166">
        <v>232603</v>
      </c>
      <c r="K619" s="3" t="s">
        <v>2045</v>
      </c>
      <c r="L619" s="11" t="s">
        <v>2046</v>
      </c>
      <c r="M619" s="13">
        <v>44587</v>
      </c>
      <c r="N619" s="86">
        <v>4850.4399999999996</v>
      </c>
      <c r="O619" s="28"/>
      <c r="Q619" s="141"/>
      <c r="R619" s="191" t="s">
        <v>4827</v>
      </c>
    </row>
    <row r="620" spans="1:18" s="1" customFormat="1" ht="15.75" customHeight="1" x14ac:dyDescent="0.3">
      <c r="A620" s="5" t="s">
        <v>2047</v>
      </c>
      <c r="B620" s="9" t="s">
        <v>2048</v>
      </c>
      <c r="C620" s="11" t="s">
        <v>4489</v>
      </c>
      <c r="D620" t="s">
        <v>4492</v>
      </c>
      <c r="E620"/>
      <c r="F620"/>
      <c r="G620"/>
      <c r="H620" s="3" t="s">
        <v>2049</v>
      </c>
      <c r="I620"/>
      <c r="J620" s="166">
        <v>11695</v>
      </c>
      <c r="K620" s="3" t="s">
        <v>2050</v>
      </c>
      <c r="L620" s="11" t="s">
        <v>2051</v>
      </c>
      <c r="M620" s="13">
        <v>44593</v>
      </c>
      <c r="N620" s="86">
        <v>58975.61</v>
      </c>
      <c r="O620" s="28" t="s">
        <v>20</v>
      </c>
      <c r="P620" s="1" t="s">
        <v>91</v>
      </c>
      <c r="Q620" s="141"/>
      <c r="R620" s="191" t="s">
        <v>4828</v>
      </c>
    </row>
    <row r="621" spans="1:18" s="1" customFormat="1" ht="15.75" customHeight="1" x14ac:dyDescent="0.3">
      <c r="A621" s="5" t="s">
        <v>2052</v>
      </c>
      <c r="B621" s="9" t="s">
        <v>2053</v>
      </c>
      <c r="C621" s="11" t="s">
        <v>4519</v>
      </c>
      <c r="D621" t="s">
        <v>4493</v>
      </c>
      <c r="E621" s="3"/>
      <c r="F621" s="15"/>
      <c r="G621" s="15"/>
      <c r="H621" s="3" t="s">
        <v>2054</v>
      </c>
      <c r="I621"/>
      <c r="J621" s="166">
        <v>7543</v>
      </c>
      <c r="K621" s="3" t="s">
        <v>2055</v>
      </c>
      <c r="L621" s="11" t="s">
        <v>2056</v>
      </c>
      <c r="M621" s="13">
        <v>44593</v>
      </c>
      <c r="N621" s="86">
        <v>6331.71</v>
      </c>
      <c r="O621" s="28" t="s">
        <v>20</v>
      </c>
      <c r="P621" s="1" t="s">
        <v>78</v>
      </c>
      <c r="Q621" s="141"/>
      <c r="R621" s="191" t="s">
        <v>4829</v>
      </c>
    </row>
    <row r="622" spans="1:18" s="1" customFormat="1" ht="15.75" customHeight="1" x14ac:dyDescent="0.3">
      <c r="A622" s="5" t="s">
        <v>2057</v>
      </c>
      <c r="B622" s="9" t="s">
        <v>2058</v>
      </c>
      <c r="C622" s="11" t="s">
        <v>4519</v>
      </c>
      <c r="D622" t="s">
        <v>4494</v>
      </c>
      <c r="E622" s="3"/>
      <c r="F622" s="15"/>
      <c r="G622" s="15"/>
      <c r="H622" s="3" t="s">
        <v>2054</v>
      </c>
      <c r="I622"/>
      <c r="J622" s="166">
        <v>7541</v>
      </c>
      <c r="K622" s="3" t="s">
        <v>2055</v>
      </c>
      <c r="L622" s="11" t="s">
        <v>2056</v>
      </c>
      <c r="M622" s="13">
        <v>44593</v>
      </c>
      <c r="N622" s="86">
        <v>6331.71</v>
      </c>
      <c r="O622" s="28" t="s">
        <v>20</v>
      </c>
      <c r="P622" s="1" t="s">
        <v>44</v>
      </c>
      <c r="Q622" s="141"/>
      <c r="R622" s="191" t="s">
        <v>4829</v>
      </c>
    </row>
    <row r="623" spans="1:18" s="1" customFormat="1" ht="15.75" customHeight="1" x14ac:dyDescent="0.3">
      <c r="A623" s="5" t="s">
        <v>2059</v>
      </c>
      <c r="B623" s="9" t="s">
        <v>2060</v>
      </c>
      <c r="C623" s="11" t="s">
        <v>4519</v>
      </c>
      <c r="D623" t="s">
        <v>4495</v>
      </c>
      <c r="E623" s="3"/>
      <c r="F623" s="15"/>
      <c r="G623" s="15"/>
      <c r="H623" s="3" t="s">
        <v>2054</v>
      </c>
      <c r="I623"/>
      <c r="J623" s="166">
        <v>7542</v>
      </c>
      <c r="K623" s="3" t="s">
        <v>2055</v>
      </c>
      <c r="L623" s="11" t="s">
        <v>2056</v>
      </c>
      <c r="M623" s="13">
        <v>44593</v>
      </c>
      <c r="N623" s="86">
        <v>6331.71</v>
      </c>
      <c r="O623" s="28" t="s">
        <v>20</v>
      </c>
      <c r="P623" s="1" t="s">
        <v>66</v>
      </c>
      <c r="Q623" s="141"/>
      <c r="R623" s="191" t="s">
        <v>4829</v>
      </c>
    </row>
    <row r="624" spans="1:18" s="1" customFormat="1" ht="15.75" customHeight="1" x14ac:dyDescent="0.3">
      <c r="A624" s="5" t="s">
        <v>2061</v>
      </c>
      <c r="B624" s="9" t="s">
        <v>2062</v>
      </c>
      <c r="C624" s="11" t="s">
        <v>4487</v>
      </c>
      <c r="D624" t="s">
        <v>4496</v>
      </c>
      <c r="E624" t="s">
        <v>2063</v>
      </c>
      <c r="F624" t="s">
        <v>2064</v>
      </c>
      <c r="G624" t="s">
        <v>4623</v>
      </c>
      <c r="H624" s="3" t="s">
        <v>2065</v>
      </c>
      <c r="I624"/>
      <c r="J624" s="166">
        <v>1780249</v>
      </c>
      <c r="K624" s="3" t="s">
        <v>1262</v>
      </c>
      <c r="L624" s="11" t="s">
        <v>1998</v>
      </c>
      <c r="M624" s="13">
        <v>44595</v>
      </c>
      <c r="N624" s="86">
        <v>340243.9</v>
      </c>
      <c r="O624" s="28"/>
      <c r="Q624" s="141"/>
      <c r="R624" s="191" t="s">
        <v>4830</v>
      </c>
    </row>
    <row r="625" spans="1:18" s="1" customFormat="1" ht="15.75" customHeight="1" x14ac:dyDescent="0.3">
      <c r="A625" s="5" t="s">
        <v>2066</v>
      </c>
      <c r="B625" s="9" t="s">
        <v>2067</v>
      </c>
      <c r="C625" s="11" t="s">
        <v>4489</v>
      </c>
      <c r="D625" t="s">
        <v>4495</v>
      </c>
      <c r="E625"/>
      <c r="F625"/>
      <c r="G625" t="s">
        <v>4642</v>
      </c>
      <c r="H625" s="3" t="s">
        <v>1843</v>
      </c>
      <c r="I625"/>
      <c r="J625" s="166">
        <v>96760</v>
      </c>
      <c r="K625" s="3" t="s">
        <v>683</v>
      </c>
      <c r="L625" s="11" t="s">
        <v>684</v>
      </c>
      <c r="M625" s="13">
        <v>44597</v>
      </c>
      <c r="N625" s="86">
        <v>3496.6</v>
      </c>
      <c r="O625" s="28" t="s">
        <v>20</v>
      </c>
      <c r="P625" s="1" t="s">
        <v>66</v>
      </c>
      <c r="Q625" s="141"/>
      <c r="R625" s="191" t="s">
        <v>4831</v>
      </c>
    </row>
    <row r="626" spans="1:18" s="1" customFormat="1" ht="15.75" customHeight="1" x14ac:dyDescent="0.3">
      <c r="A626" s="5" t="s">
        <v>2068</v>
      </c>
      <c r="B626" s="9" t="s">
        <v>2069</v>
      </c>
      <c r="C626" s="11" t="s">
        <v>4489</v>
      </c>
      <c r="D626" t="s">
        <v>4492</v>
      </c>
      <c r="E626" s="3"/>
      <c r="F626" s="15"/>
      <c r="G626" s="15"/>
      <c r="H626" s="3" t="s">
        <v>2070</v>
      </c>
      <c r="I626"/>
      <c r="J626" s="166">
        <v>96847</v>
      </c>
      <c r="K626" s="3" t="s">
        <v>683</v>
      </c>
      <c r="L626" s="11" t="s">
        <v>684</v>
      </c>
      <c r="M626" s="13">
        <v>44598</v>
      </c>
      <c r="N626" s="86">
        <v>3196.31</v>
      </c>
      <c r="O626" s="28"/>
      <c r="Q626" s="141"/>
      <c r="R626" s="191" t="s">
        <v>4832</v>
      </c>
    </row>
    <row r="627" spans="1:18" s="1" customFormat="1" ht="15.75" customHeight="1" x14ac:dyDescent="0.3">
      <c r="A627" s="5" t="s">
        <v>2071</v>
      </c>
      <c r="B627" s="9" t="s">
        <v>2072</v>
      </c>
      <c r="C627" s="11" t="s">
        <v>4520</v>
      </c>
      <c r="D627" t="s">
        <v>4494</v>
      </c>
      <c r="E627" s="3"/>
      <c r="F627" s="10"/>
      <c r="G627" s="10"/>
      <c r="H627" s="3" t="s">
        <v>2073</v>
      </c>
      <c r="I627"/>
      <c r="J627" s="166">
        <v>524556</v>
      </c>
      <c r="K627" s="3" t="s">
        <v>2074</v>
      </c>
      <c r="L627" s="11" t="s">
        <v>2075</v>
      </c>
      <c r="M627" s="13">
        <v>44599</v>
      </c>
      <c r="N627" s="86">
        <v>1926.91</v>
      </c>
      <c r="O627" s="28"/>
      <c r="Q627" s="141"/>
      <c r="R627" s="191" t="s">
        <v>4833</v>
      </c>
    </row>
    <row r="628" spans="1:18" s="1" customFormat="1" ht="15.75" customHeight="1" x14ac:dyDescent="0.3">
      <c r="A628" s="5" t="s">
        <v>2076</v>
      </c>
      <c r="B628" s="9" t="s">
        <v>2077</v>
      </c>
      <c r="C628" s="11" t="s">
        <v>4518</v>
      </c>
      <c r="D628" t="s">
        <v>4494</v>
      </c>
      <c r="E628" s="3"/>
      <c r="F628" s="15"/>
      <c r="G628" s="15"/>
      <c r="H628" s="3" t="s">
        <v>2078</v>
      </c>
      <c r="I628"/>
      <c r="J628" s="166">
        <v>73831</v>
      </c>
      <c r="K628" s="3" t="s">
        <v>1854</v>
      </c>
      <c r="L628" s="11" t="s">
        <v>892</v>
      </c>
      <c r="M628" s="13">
        <v>44599</v>
      </c>
      <c r="N628" s="86">
        <v>8605.26</v>
      </c>
      <c r="O628" s="28" t="s">
        <v>20</v>
      </c>
      <c r="P628" s="1" t="s">
        <v>44</v>
      </c>
      <c r="Q628" s="141"/>
      <c r="R628" s="191" t="s">
        <v>4834</v>
      </c>
    </row>
    <row r="629" spans="1:18" s="1" customFormat="1" ht="15.75" customHeight="1" x14ac:dyDescent="0.3">
      <c r="A629" s="5" t="s">
        <v>2079</v>
      </c>
      <c r="B629" s="9" t="s">
        <v>2080</v>
      </c>
      <c r="C629" s="11" t="s">
        <v>4489</v>
      </c>
      <c r="D629" t="s">
        <v>4495</v>
      </c>
      <c r="E629" s="3"/>
      <c r="F629" s="15"/>
      <c r="G629" s="15"/>
      <c r="H629" s="3" t="s">
        <v>2081</v>
      </c>
      <c r="I629"/>
      <c r="J629" s="166">
        <v>91923</v>
      </c>
      <c r="K629" s="3" t="s">
        <v>683</v>
      </c>
      <c r="L629" s="11" t="s">
        <v>684</v>
      </c>
      <c r="M629" s="13">
        <v>44600</v>
      </c>
      <c r="N629" s="86">
        <v>3822.94</v>
      </c>
      <c r="O629" s="28" t="s">
        <v>20</v>
      </c>
      <c r="P629" s="1" t="s">
        <v>91</v>
      </c>
      <c r="Q629" s="141"/>
      <c r="R629" s="191" t="s">
        <v>4835</v>
      </c>
    </row>
    <row r="630" spans="1:18" s="1" customFormat="1" ht="15.75" customHeight="1" x14ac:dyDescent="0.3">
      <c r="A630" s="5" t="s">
        <v>2082</v>
      </c>
      <c r="B630" s="9" t="s">
        <v>2083</v>
      </c>
      <c r="C630" s="11" t="s">
        <v>4489</v>
      </c>
      <c r="D630" t="s">
        <v>4495</v>
      </c>
      <c r="E630" s="3"/>
      <c r="F630" s="15"/>
      <c r="G630" s="15"/>
      <c r="H630" s="3" t="s">
        <v>2084</v>
      </c>
      <c r="I630"/>
      <c r="J630" s="166">
        <v>916</v>
      </c>
      <c r="K630" s="3" t="s">
        <v>2085</v>
      </c>
      <c r="L630" s="11" t="s">
        <v>2086</v>
      </c>
      <c r="M630" s="13">
        <v>44606</v>
      </c>
      <c r="N630" s="86">
        <v>49000</v>
      </c>
      <c r="O630" s="28"/>
      <c r="Q630" s="141"/>
      <c r="R630" s="191">
        <v>49000</v>
      </c>
    </row>
    <row r="631" spans="1:18" s="1" customFormat="1" ht="15.75" customHeight="1" x14ac:dyDescent="0.3">
      <c r="A631" s="5" t="s">
        <v>2087</v>
      </c>
      <c r="B631" s="9" t="s">
        <v>2088</v>
      </c>
      <c r="C631" s="11" t="s">
        <v>4489</v>
      </c>
      <c r="D631" t="s">
        <v>4494</v>
      </c>
      <c r="E631" s="3"/>
      <c r="F631" s="15"/>
      <c r="G631" s="15"/>
      <c r="H631" s="3" t="s">
        <v>1580</v>
      </c>
      <c r="I631"/>
      <c r="J631" s="166">
        <v>234621</v>
      </c>
      <c r="K631" s="3" t="s">
        <v>2045</v>
      </c>
      <c r="L631" s="11" t="s">
        <v>2046</v>
      </c>
      <c r="M631" s="13">
        <v>44610</v>
      </c>
      <c r="N631" s="86">
        <v>4869.22</v>
      </c>
      <c r="O631" s="28"/>
      <c r="Q631" s="141"/>
      <c r="R631" s="191" t="s">
        <v>4836</v>
      </c>
    </row>
    <row r="632" spans="1:18" s="1" customFormat="1" ht="15.75" customHeight="1" x14ac:dyDescent="0.3">
      <c r="A632" s="128" t="s">
        <v>2089</v>
      </c>
      <c r="B632" s="9" t="s">
        <v>2090</v>
      </c>
      <c r="C632" s="11" t="s">
        <v>4487</v>
      </c>
      <c r="D632" t="s">
        <v>4492</v>
      </c>
      <c r="E632"/>
      <c r="F632" t="s">
        <v>2091</v>
      </c>
      <c r="G632" t="s">
        <v>4618</v>
      </c>
      <c r="H632" s="3" t="s">
        <v>1177</v>
      </c>
      <c r="I632"/>
      <c r="J632" s="166">
        <v>174101</v>
      </c>
      <c r="K632" s="3" t="s">
        <v>2092</v>
      </c>
      <c r="L632" s="11" t="s">
        <v>2093</v>
      </c>
      <c r="M632" s="13">
        <v>44613</v>
      </c>
      <c r="N632" s="86">
        <v>13500</v>
      </c>
      <c r="O632" s="28" t="s">
        <v>20</v>
      </c>
      <c r="P632" s="1" t="s">
        <v>91</v>
      </c>
      <c r="Q632" s="141"/>
      <c r="R632" s="191">
        <v>13500</v>
      </c>
    </row>
    <row r="633" spans="1:18" s="1" customFormat="1" ht="15.75" customHeight="1" x14ac:dyDescent="0.3">
      <c r="A633" s="5" t="s">
        <v>2094</v>
      </c>
      <c r="B633" s="9" t="s">
        <v>2095</v>
      </c>
      <c r="C633" s="11" t="s">
        <v>4489</v>
      </c>
      <c r="D633" t="s">
        <v>4493</v>
      </c>
      <c r="E633" s="3"/>
      <c r="F633" s="15"/>
      <c r="G633" s="15"/>
      <c r="H633" s="3" t="s">
        <v>2096</v>
      </c>
      <c r="I633"/>
      <c r="J633" s="166">
        <v>234129</v>
      </c>
      <c r="K633" s="3" t="s">
        <v>2045</v>
      </c>
      <c r="L633" s="11" t="s">
        <v>2046</v>
      </c>
      <c r="M633" s="13">
        <v>44616</v>
      </c>
      <c r="N633" s="86">
        <v>2614.5500000000002</v>
      </c>
      <c r="O633" s="28"/>
      <c r="P633" s="30"/>
      <c r="Q633" s="141"/>
      <c r="R633" s="191" t="s">
        <v>4837</v>
      </c>
    </row>
    <row r="634" spans="1:18" s="1" customFormat="1" ht="15.75" customHeight="1" x14ac:dyDescent="0.3">
      <c r="A634" s="5" t="s">
        <v>2097</v>
      </c>
      <c r="B634" s="9" t="s">
        <v>2098</v>
      </c>
      <c r="C634" s="11" t="s">
        <v>4519</v>
      </c>
      <c r="D634" t="s">
        <v>4492</v>
      </c>
      <c r="E634"/>
      <c r="F634"/>
      <c r="G634" t="s">
        <v>4618</v>
      </c>
      <c r="H634" s="3" t="s">
        <v>2099</v>
      </c>
      <c r="I634"/>
      <c r="J634" s="166">
        <v>111</v>
      </c>
      <c r="K634" s="3" t="s">
        <v>1804</v>
      </c>
      <c r="L634" s="11" t="s">
        <v>1805</v>
      </c>
      <c r="M634" s="13">
        <v>44616</v>
      </c>
      <c r="N634" s="86">
        <v>4488</v>
      </c>
      <c r="O634" s="28" t="s">
        <v>20</v>
      </c>
      <c r="P634" s="1" t="s">
        <v>91</v>
      </c>
      <c r="Q634" s="141"/>
      <c r="R634" s="191">
        <v>4488</v>
      </c>
    </row>
    <row r="635" spans="1:18" s="1" customFormat="1" ht="15.75" customHeight="1" x14ac:dyDescent="0.3">
      <c r="A635" s="5" t="s">
        <v>2100</v>
      </c>
      <c r="B635" s="9" t="s">
        <v>2101</v>
      </c>
      <c r="C635" s="11" t="s">
        <v>4489</v>
      </c>
      <c r="D635" t="s">
        <v>4493</v>
      </c>
      <c r="E635" s="3"/>
      <c r="F635" s="15"/>
      <c r="G635" s="15"/>
      <c r="H635" s="3" t="s">
        <v>2102</v>
      </c>
      <c r="I635"/>
      <c r="J635" s="166">
        <v>915</v>
      </c>
      <c r="K635" s="3" t="s">
        <v>2085</v>
      </c>
      <c r="L635" s="11" t="s">
        <v>2086</v>
      </c>
      <c r="M635" s="13">
        <v>44621</v>
      </c>
      <c r="N635" s="86">
        <v>27850</v>
      </c>
      <c r="O635" s="28"/>
      <c r="Q635" s="141"/>
      <c r="R635" s="191">
        <v>27850</v>
      </c>
    </row>
    <row r="636" spans="1:18" s="1" customFormat="1" ht="15.75" customHeight="1" x14ac:dyDescent="0.3">
      <c r="A636" s="5" t="s">
        <v>2103</v>
      </c>
      <c r="B636" s="9" t="s">
        <v>2104</v>
      </c>
      <c r="C636" s="11" t="s">
        <v>4490</v>
      </c>
      <c r="D636" t="s">
        <v>4492</v>
      </c>
      <c r="E636"/>
      <c r="F636">
        <v>1943746</v>
      </c>
      <c r="G636" t="s">
        <v>4645</v>
      </c>
      <c r="H636" s="3" t="s">
        <v>2105</v>
      </c>
      <c r="I636"/>
      <c r="J636" s="166">
        <v>65197</v>
      </c>
      <c r="K636" s="3" t="s">
        <v>2106</v>
      </c>
      <c r="L636" s="11" t="s">
        <v>2107</v>
      </c>
      <c r="M636" s="13">
        <v>44621</v>
      </c>
      <c r="N636" s="86">
        <v>99333.08</v>
      </c>
      <c r="O636" s="28" t="s">
        <v>20</v>
      </c>
      <c r="P636" s="1" t="s">
        <v>44</v>
      </c>
      <c r="Q636" s="141"/>
      <c r="R636" s="191" t="s">
        <v>4838</v>
      </c>
    </row>
    <row r="637" spans="1:18" s="1" customFormat="1" ht="15.75" customHeight="1" x14ac:dyDescent="0.3">
      <c r="A637" s="5" t="s">
        <v>2108</v>
      </c>
      <c r="B637" s="9" t="s">
        <v>2109</v>
      </c>
      <c r="C637" s="11" t="s">
        <v>4489</v>
      </c>
      <c r="D637" t="s">
        <v>4495</v>
      </c>
      <c r="E637"/>
      <c r="F637"/>
      <c r="G637" t="s">
        <v>4645</v>
      </c>
      <c r="H637" s="3" t="s">
        <v>2110</v>
      </c>
      <c r="I637"/>
      <c r="J637" s="166">
        <v>3524</v>
      </c>
      <c r="K637" s="3" t="s">
        <v>2111</v>
      </c>
      <c r="L637" s="11" t="s">
        <v>2112</v>
      </c>
      <c r="M637" s="13">
        <v>44625</v>
      </c>
      <c r="N637" s="86">
        <v>27439.02</v>
      </c>
      <c r="O637" s="28" t="s">
        <v>20</v>
      </c>
      <c r="P637" s="24" t="s">
        <v>66</v>
      </c>
      <c r="Q637" s="141"/>
      <c r="R637" s="191" t="s">
        <v>4839</v>
      </c>
    </row>
    <row r="638" spans="1:18" s="1" customFormat="1" ht="15.75" customHeight="1" x14ac:dyDescent="0.3">
      <c r="A638" s="5" t="s">
        <v>2113</v>
      </c>
      <c r="B638" s="9" t="s">
        <v>2114</v>
      </c>
      <c r="C638" s="11" t="s">
        <v>4490</v>
      </c>
      <c r="D638" t="s">
        <v>4495</v>
      </c>
      <c r="E638"/>
      <c r="F638"/>
      <c r="G638" t="s">
        <v>4616</v>
      </c>
      <c r="H638" s="3" t="s">
        <v>2115</v>
      </c>
      <c r="I638"/>
      <c r="J638" s="166">
        <v>10603</v>
      </c>
      <c r="K638" s="3" t="s">
        <v>2116</v>
      </c>
      <c r="L638" s="11" t="s">
        <v>2117</v>
      </c>
      <c r="M638" s="13">
        <v>44625</v>
      </c>
      <c r="N638" s="86">
        <v>66032.84</v>
      </c>
      <c r="O638" s="28" t="s">
        <v>20</v>
      </c>
      <c r="P638" s="1" t="s">
        <v>91</v>
      </c>
      <c r="Q638" s="141"/>
      <c r="R638" s="191" t="s">
        <v>4840</v>
      </c>
    </row>
    <row r="639" spans="1:18" s="1" customFormat="1" ht="15.75" customHeight="1" x14ac:dyDescent="0.3">
      <c r="A639" s="5" t="s">
        <v>2118</v>
      </c>
      <c r="B639" s="9" t="s">
        <v>2119</v>
      </c>
      <c r="C639" s="11" t="s">
        <v>4487</v>
      </c>
      <c r="D639" t="s">
        <v>4495</v>
      </c>
      <c r="E639"/>
      <c r="F639" t="s">
        <v>2120</v>
      </c>
      <c r="G639" t="s">
        <v>4618</v>
      </c>
      <c r="H639" s="3" t="s">
        <v>1177</v>
      </c>
      <c r="I639"/>
      <c r="J639" s="166">
        <v>105253</v>
      </c>
      <c r="K639" s="3" t="s">
        <v>664</v>
      </c>
      <c r="L639" s="11" t="s">
        <v>1244</v>
      </c>
      <c r="M639" s="13">
        <v>44627</v>
      </c>
      <c r="N639" s="86">
        <v>14200</v>
      </c>
      <c r="O639" s="28" t="s">
        <v>20</v>
      </c>
      <c r="Q639" s="141"/>
      <c r="R639" s="191">
        <v>14200</v>
      </c>
    </row>
    <row r="640" spans="1:18" s="1" customFormat="1" ht="15.75" customHeight="1" x14ac:dyDescent="0.3">
      <c r="A640" s="5" t="s">
        <v>2121</v>
      </c>
      <c r="B640" s="9" t="s">
        <v>2122</v>
      </c>
      <c r="C640" s="11" t="s">
        <v>4489</v>
      </c>
      <c r="D640" t="s">
        <v>4492</v>
      </c>
      <c r="E640" s="3"/>
      <c r="F640" s="15"/>
      <c r="G640" s="15"/>
      <c r="H640" s="3" t="s">
        <v>2123</v>
      </c>
      <c r="I640"/>
      <c r="J640" s="166">
        <v>174</v>
      </c>
      <c r="K640" s="3" t="s">
        <v>2124</v>
      </c>
      <c r="L640" s="11" t="s">
        <v>2125</v>
      </c>
      <c r="M640" s="13">
        <v>44628</v>
      </c>
      <c r="N640" s="86">
        <v>6955.2</v>
      </c>
      <c r="O640" s="28" t="s">
        <v>20</v>
      </c>
      <c r="P640" s="1" t="s">
        <v>66</v>
      </c>
      <c r="Q640" s="141"/>
      <c r="R640" s="191" t="s">
        <v>4841</v>
      </c>
    </row>
    <row r="641" spans="1:18" s="1" customFormat="1" ht="15.75" customHeight="1" x14ac:dyDescent="0.3">
      <c r="A641" s="5" t="s">
        <v>2126</v>
      </c>
      <c r="B641" s="9" t="s">
        <v>2127</v>
      </c>
      <c r="C641" s="11" t="s">
        <v>4489</v>
      </c>
      <c r="D641" t="s">
        <v>4494</v>
      </c>
      <c r="E641"/>
      <c r="F641" t="s">
        <v>4691</v>
      </c>
      <c r="G641"/>
      <c r="H641" s="3" t="s">
        <v>1788</v>
      </c>
      <c r="I641"/>
      <c r="J641" s="166">
        <v>2562</v>
      </c>
      <c r="K641" s="3" t="s">
        <v>2128</v>
      </c>
      <c r="L641" s="11" t="s">
        <v>2129</v>
      </c>
      <c r="M641" s="13">
        <v>44634</v>
      </c>
      <c r="N641" s="86">
        <v>177073.17</v>
      </c>
      <c r="O641" s="28"/>
      <c r="Q641" s="141"/>
      <c r="R641" s="191" t="s">
        <v>4842</v>
      </c>
    </row>
    <row r="642" spans="1:18" s="1" customFormat="1" ht="15.75" customHeight="1" x14ac:dyDescent="0.3">
      <c r="A642" s="5" t="s">
        <v>2130</v>
      </c>
      <c r="B642" s="9" t="s">
        <v>2131</v>
      </c>
      <c r="C642" s="11" t="s">
        <v>4489</v>
      </c>
      <c r="D642" t="s">
        <v>4492</v>
      </c>
      <c r="E642" s="3"/>
      <c r="F642" s="15"/>
      <c r="G642" s="15"/>
      <c r="H642" s="3" t="s">
        <v>2132</v>
      </c>
      <c r="I642"/>
      <c r="J642" s="166">
        <v>520954</v>
      </c>
      <c r="K642" s="3" t="s">
        <v>701</v>
      </c>
      <c r="L642" s="11" t="s">
        <v>730</v>
      </c>
      <c r="M642" s="13">
        <v>44637</v>
      </c>
      <c r="N642" s="86">
        <v>1658.28</v>
      </c>
      <c r="O642" s="28"/>
      <c r="Q642" s="141"/>
      <c r="R642" s="191" t="s">
        <v>4843</v>
      </c>
    </row>
    <row r="643" spans="1:18" s="1" customFormat="1" ht="15.75" customHeight="1" x14ac:dyDescent="0.3">
      <c r="A643" s="5" t="s">
        <v>2133</v>
      </c>
      <c r="B643" s="9" t="s">
        <v>2134</v>
      </c>
      <c r="C643" s="11" t="s">
        <v>4519</v>
      </c>
      <c r="D643" t="s">
        <v>4495</v>
      </c>
      <c r="E643" s="3"/>
      <c r="F643" s="15"/>
      <c r="G643" s="15"/>
      <c r="H643" s="3" t="s">
        <v>2135</v>
      </c>
      <c r="I643"/>
      <c r="J643" s="166">
        <v>520880</v>
      </c>
      <c r="K643" s="3" t="s">
        <v>701</v>
      </c>
      <c r="L643" s="11" t="s">
        <v>730</v>
      </c>
      <c r="M643" s="13">
        <v>44637</v>
      </c>
      <c r="N643" s="86">
        <v>3393.95</v>
      </c>
      <c r="O643" s="28"/>
      <c r="Q643" s="141"/>
      <c r="R643" s="191" t="s">
        <v>4844</v>
      </c>
    </row>
    <row r="644" spans="1:18" s="1" customFormat="1" ht="15.75" customHeight="1" x14ac:dyDescent="0.3">
      <c r="A644" s="5" t="s">
        <v>2136</v>
      </c>
      <c r="B644" s="9" t="s">
        <v>2137</v>
      </c>
      <c r="C644" s="11" t="s">
        <v>4519</v>
      </c>
      <c r="D644" t="s">
        <v>4492</v>
      </c>
      <c r="E644" s="3"/>
      <c r="F644" s="15"/>
      <c r="G644" s="15"/>
      <c r="H644" s="3" t="s">
        <v>2138</v>
      </c>
      <c r="I644"/>
      <c r="J644" s="166">
        <v>520954</v>
      </c>
      <c r="K644" s="3" t="s">
        <v>701</v>
      </c>
      <c r="L644" s="11" t="s">
        <v>730</v>
      </c>
      <c r="M644" s="13">
        <v>44637</v>
      </c>
      <c r="N644" s="86">
        <v>4184.29</v>
      </c>
      <c r="O644" s="28" t="s">
        <v>20</v>
      </c>
      <c r="P644" s="1" t="s">
        <v>719</v>
      </c>
      <c r="Q644" s="141"/>
      <c r="R644" s="191" t="s">
        <v>4845</v>
      </c>
    </row>
    <row r="645" spans="1:18" s="1" customFormat="1" ht="15.75" customHeight="1" x14ac:dyDescent="0.3">
      <c r="A645" s="5" t="s">
        <v>2139</v>
      </c>
      <c r="B645" s="9" t="s">
        <v>2140</v>
      </c>
      <c r="C645" s="11" t="s">
        <v>4490</v>
      </c>
      <c r="D645" t="s">
        <v>4493</v>
      </c>
      <c r="E645"/>
      <c r="F645" t="s">
        <v>2141</v>
      </c>
      <c r="G645" t="s">
        <v>4629</v>
      </c>
      <c r="H645" s="3" t="s">
        <v>2142</v>
      </c>
      <c r="I645"/>
      <c r="J645" s="166">
        <v>267717</v>
      </c>
      <c r="K645" s="3" t="s">
        <v>2143</v>
      </c>
      <c r="L645" s="11" t="s">
        <v>2144</v>
      </c>
      <c r="M645" s="13">
        <v>44637</v>
      </c>
      <c r="N645" s="86">
        <v>640010.59</v>
      </c>
      <c r="O645" s="28" t="s">
        <v>20</v>
      </c>
      <c r="P645" s="1" t="s">
        <v>66</v>
      </c>
      <c r="Q645" s="141"/>
      <c r="R645" s="191" t="s">
        <v>4846</v>
      </c>
    </row>
    <row r="646" spans="1:18" s="1" customFormat="1" ht="15.75" customHeight="1" x14ac:dyDescent="0.3">
      <c r="A646" s="5" t="s">
        <v>2145</v>
      </c>
      <c r="B646" s="9" t="s">
        <v>2146</v>
      </c>
      <c r="C646" s="11" t="s">
        <v>4518</v>
      </c>
      <c r="D646" t="s">
        <v>4494</v>
      </c>
      <c r="E646"/>
      <c r="F646"/>
      <c r="G646"/>
      <c r="H646" s="3" t="s">
        <v>2147</v>
      </c>
      <c r="I646"/>
      <c r="J646" s="166">
        <v>754612</v>
      </c>
      <c r="K646" s="3" t="s">
        <v>1854</v>
      </c>
      <c r="L646" s="11" t="s">
        <v>892</v>
      </c>
      <c r="M646" s="13">
        <v>44639</v>
      </c>
      <c r="N646" s="86">
        <v>1624.35</v>
      </c>
      <c r="O646" s="28"/>
      <c r="Q646" s="141"/>
      <c r="R646" s="191" t="s">
        <v>4847</v>
      </c>
    </row>
    <row r="647" spans="1:18" s="1" customFormat="1" ht="15.75" customHeight="1" x14ac:dyDescent="0.3">
      <c r="A647" s="5" t="s">
        <v>2148</v>
      </c>
      <c r="B647" s="9" t="s">
        <v>2149</v>
      </c>
      <c r="C647" s="11" t="s">
        <v>4519</v>
      </c>
      <c r="D647" t="s">
        <v>4495</v>
      </c>
      <c r="E647" s="3"/>
      <c r="F647" s="15"/>
      <c r="G647" s="15"/>
      <c r="H647" s="3" t="s">
        <v>2150</v>
      </c>
      <c r="I647"/>
      <c r="J647" s="166">
        <v>522029</v>
      </c>
      <c r="K647" s="3" t="s">
        <v>701</v>
      </c>
      <c r="L647" s="11" t="s">
        <v>730</v>
      </c>
      <c r="M647" s="13">
        <v>44651</v>
      </c>
      <c r="N647" s="86">
        <v>3393.95</v>
      </c>
      <c r="O647" s="28"/>
      <c r="Q647" s="141"/>
      <c r="R647" s="191" t="s">
        <v>4844</v>
      </c>
    </row>
    <row r="648" spans="1:18" s="1" customFormat="1" ht="15.75" customHeight="1" x14ac:dyDescent="0.3">
      <c r="A648" s="5" t="s">
        <v>2151</v>
      </c>
      <c r="B648" s="9" t="s">
        <v>2152</v>
      </c>
      <c r="C648" s="11" t="s">
        <v>4489</v>
      </c>
      <c r="D648" t="s">
        <v>4495</v>
      </c>
      <c r="E648"/>
      <c r="F648">
        <v>13182099</v>
      </c>
      <c r="G648"/>
      <c r="H648" s="3" t="s">
        <v>116</v>
      </c>
      <c r="I648"/>
      <c r="J648" s="166">
        <v>790801</v>
      </c>
      <c r="K648" s="3" t="s">
        <v>2153</v>
      </c>
      <c r="L648" s="11" t="s">
        <v>1838</v>
      </c>
      <c r="M648" s="13">
        <v>44677</v>
      </c>
      <c r="N648" s="86">
        <v>92363.67</v>
      </c>
      <c r="O648" s="28" t="s">
        <v>20</v>
      </c>
      <c r="Q648" s="141"/>
      <c r="R648" s="191" t="s">
        <v>4848</v>
      </c>
    </row>
    <row r="649" spans="1:18" s="1" customFormat="1" ht="15.75" customHeight="1" x14ac:dyDescent="0.3">
      <c r="A649" s="5" t="s">
        <v>2154</v>
      </c>
      <c r="B649" s="9" t="s">
        <v>2155</v>
      </c>
      <c r="C649" s="11" t="s">
        <v>4519</v>
      </c>
      <c r="D649" t="s">
        <v>4492</v>
      </c>
      <c r="E649" s="3"/>
      <c r="F649" s="15"/>
      <c r="G649" s="15"/>
      <c r="H649" s="3" t="s">
        <v>2156</v>
      </c>
      <c r="I649"/>
      <c r="J649" s="166">
        <v>3</v>
      </c>
      <c r="K649" s="3" t="s">
        <v>2157</v>
      </c>
      <c r="L649" s="11" t="s">
        <v>2158</v>
      </c>
      <c r="M649" s="13">
        <v>44692</v>
      </c>
      <c r="N649" s="86">
        <v>2199</v>
      </c>
      <c r="O649" s="28"/>
      <c r="Q649" s="141"/>
      <c r="R649" s="191">
        <v>2199</v>
      </c>
    </row>
    <row r="650" spans="1:18" s="1" customFormat="1" ht="15.75" customHeight="1" x14ac:dyDescent="0.3">
      <c r="A650" s="5" t="s">
        <v>2159</v>
      </c>
      <c r="B650" s="9" t="s">
        <v>2160</v>
      </c>
      <c r="C650" s="11" t="s">
        <v>4490</v>
      </c>
      <c r="D650" t="s">
        <v>4495</v>
      </c>
      <c r="E650"/>
      <c r="F650" t="s">
        <v>2161</v>
      </c>
      <c r="G650" t="s">
        <v>4642</v>
      </c>
      <c r="H650" s="3" t="s">
        <v>1742</v>
      </c>
      <c r="I650"/>
      <c r="J650" s="166">
        <v>164663</v>
      </c>
      <c r="K650" s="3" t="s">
        <v>1737</v>
      </c>
      <c r="L650" s="11" t="s">
        <v>1738</v>
      </c>
      <c r="M650" s="13">
        <v>44699</v>
      </c>
      <c r="N650" s="86">
        <v>680000</v>
      </c>
      <c r="O650" s="28" t="s">
        <v>20</v>
      </c>
      <c r="P650" s="1" t="s">
        <v>44</v>
      </c>
      <c r="Q650" s="141"/>
      <c r="R650" s="191">
        <v>680000</v>
      </c>
    </row>
    <row r="651" spans="1:18" s="1" customFormat="1" ht="15.75" customHeight="1" x14ac:dyDescent="0.3">
      <c r="A651" s="5" t="s">
        <v>2162</v>
      </c>
      <c r="B651" s="9" t="s">
        <v>2163</v>
      </c>
      <c r="C651" s="11" t="s">
        <v>4489</v>
      </c>
      <c r="D651" t="s">
        <v>4495</v>
      </c>
      <c r="E651" s="3"/>
      <c r="F651" s="15"/>
      <c r="G651" s="15"/>
      <c r="H651" s="3" t="s">
        <v>2164</v>
      </c>
      <c r="I651"/>
      <c r="J651" s="166">
        <v>29207</v>
      </c>
      <c r="K651" s="3" t="s">
        <v>2165</v>
      </c>
      <c r="L651" s="11" t="s">
        <v>2166</v>
      </c>
      <c r="M651" s="13">
        <v>44700</v>
      </c>
      <c r="N651" s="86">
        <v>3861.97</v>
      </c>
      <c r="O651" s="28" t="s">
        <v>20</v>
      </c>
      <c r="P651" s="1" t="s">
        <v>66</v>
      </c>
      <c r="Q651" s="141"/>
      <c r="R651" s="191" t="s">
        <v>4849</v>
      </c>
    </row>
    <row r="652" spans="1:18" s="1" customFormat="1" ht="15.75" customHeight="1" x14ac:dyDescent="0.3">
      <c r="A652" s="5" t="s">
        <v>2167</v>
      </c>
      <c r="B652" s="9" t="s">
        <v>2168</v>
      </c>
      <c r="C652" s="11" t="s">
        <v>4489</v>
      </c>
      <c r="D652" t="s">
        <v>4492</v>
      </c>
      <c r="E652"/>
      <c r="F652"/>
      <c r="G652"/>
      <c r="H652" s="3" t="s">
        <v>2169</v>
      </c>
      <c r="I652" t="s">
        <v>4553</v>
      </c>
      <c r="J652" s="166">
        <v>101167</v>
      </c>
      <c r="K652" s="3" t="s">
        <v>1137</v>
      </c>
      <c r="L652" s="11" t="s">
        <v>1138</v>
      </c>
      <c r="M652" s="13">
        <v>44701</v>
      </c>
      <c r="N652" s="86">
        <v>20000</v>
      </c>
      <c r="O652" s="28" t="s">
        <v>20</v>
      </c>
      <c r="P652" s="1" t="s">
        <v>91</v>
      </c>
      <c r="Q652" s="141"/>
      <c r="R652" s="191">
        <v>20000</v>
      </c>
    </row>
    <row r="653" spans="1:18" s="1" customFormat="1" ht="15.75" customHeight="1" x14ac:dyDescent="0.3">
      <c r="A653" s="5" t="s">
        <v>2170</v>
      </c>
      <c r="B653" s="9" t="s">
        <v>2171</v>
      </c>
      <c r="C653" s="11" t="s">
        <v>4519</v>
      </c>
      <c r="D653" t="s">
        <v>4494</v>
      </c>
      <c r="E653" s="3"/>
      <c r="F653" s="15"/>
      <c r="G653" s="15"/>
      <c r="H653" s="3" t="s">
        <v>2156</v>
      </c>
      <c r="I653"/>
      <c r="J653" s="166">
        <v>528094</v>
      </c>
      <c r="K653" s="3" t="s">
        <v>701</v>
      </c>
      <c r="L653" s="11" t="s">
        <v>730</v>
      </c>
      <c r="M653" s="13">
        <v>44701</v>
      </c>
      <c r="N653" s="86">
        <v>1925.99</v>
      </c>
      <c r="O653" s="28"/>
      <c r="Q653" s="141"/>
      <c r="R653" s="191" t="s">
        <v>4850</v>
      </c>
    </row>
    <row r="654" spans="1:18" s="1" customFormat="1" ht="15.75" customHeight="1" x14ac:dyDescent="0.3">
      <c r="A654" s="5" t="s">
        <v>2172</v>
      </c>
      <c r="B654" s="9" t="s">
        <v>2173</v>
      </c>
      <c r="C654" s="11" t="s">
        <v>4519</v>
      </c>
      <c r="D654" t="s">
        <v>4494</v>
      </c>
      <c r="E654" s="3"/>
      <c r="F654" s="15"/>
      <c r="G654" s="15"/>
      <c r="H654" s="3" t="s">
        <v>2156</v>
      </c>
      <c r="I654"/>
      <c r="J654" s="166">
        <v>528094</v>
      </c>
      <c r="K654" s="3" t="s">
        <v>701</v>
      </c>
      <c r="L654" s="11" t="s">
        <v>730</v>
      </c>
      <c r="M654" s="13">
        <v>44701</v>
      </c>
      <c r="N654" s="86">
        <v>1925.99</v>
      </c>
      <c r="O654" s="28"/>
      <c r="Q654" s="141"/>
      <c r="R654" s="191" t="s">
        <v>4850</v>
      </c>
    </row>
    <row r="655" spans="1:18" s="1" customFormat="1" ht="15.75" customHeight="1" x14ac:dyDescent="0.3">
      <c r="A655" s="5" t="s">
        <v>2174</v>
      </c>
      <c r="B655" s="9" t="s">
        <v>2175</v>
      </c>
      <c r="C655" s="11" t="s">
        <v>4519</v>
      </c>
      <c r="D655" t="s">
        <v>4494</v>
      </c>
      <c r="E655" s="3"/>
      <c r="F655" s="15"/>
      <c r="G655" s="15"/>
      <c r="H655" s="3" t="s">
        <v>2156</v>
      </c>
      <c r="I655"/>
      <c r="J655" s="166">
        <v>528094</v>
      </c>
      <c r="K655" s="3" t="s">
        <v>701</v>
      </c>
      <c r="L655" s="11" t="s">
        <v>730</v>
      </c>
      <c r="M655" s="13">
        <v>44701</v>
      </c>
      <c r="N655" s="86">
        <v>1925.98</v>
      </c>
      <c r="O655" s="28"/>
      <c r="Q655" s="141"/>
      <c r="R655" s="191" t="s">
        <v>4851</v>
      </c>
    </row>
    <row r="656" spans="1:18" s="1" customFormat="1" ht="15.75" customHeight="1" x14ac:dyDescent="0.3">
      <c r="A656" s="5" t="s">
        <v>2176</v>
      </c>
      <c r="B656" s="9" t="s">
        <v>2177</v>
      </c>
      <c r="C656" s="11" t="s">
        <v>4519</v>
      </c>
      <c r="D656" t="s">
        <v>4495</v>
      </c>
      <c r="E656" s="3"/>
      <c r="F656" s="15"/>
      <c r="G656" s="15"/>
      <c r="H656" s="3" t="s">
        <v>2156</v>
      </c>
      <c r="I656"/>
      <c r="J656" s="166">
        <v>528094</v>
      </c>
      <c r="K656" s="3" t="s">
        <v>701</v>
      </c>
      <c r="L656" s="11" t="s">
        <v>730</v>
      </c>
      <c r="M656" s="13">
        <v>44707</v>
      </c>
      <c r="N656" s="86">
        <v>2033.56</v>
      </c>
      <c r="O656" s="28"/>
      <c r="Q656" s="141"/>
      <c r="R656" s="191" t="s">
        <v>4852</v>
      </c>
    </row>
    <row r="657" spans="1:18" s="1" customFormat="1" ht="15.75" customHeight="1" x14ac:dyDescent="0.3">
      <c r="A657" s="5" t="s">
        <v>2178</v>
      </c>
      <c r="B657" s="9" t="s">
        <v>2179</v>
      </c>
      <c r="C657" s="11" t="s">
        <v>4518</v>
      </c>
      <c r="D657" t="s">
        <v>4494</v>
      </c>
      <c r="E657"/>
      <c r="F657"/>
      <c r="G657"/>
      <c r="H657" s="3" t="s">
        <v>2180</v>
      </c>
      <c r="I657"/>
      <c r="J657" s="165">
        <v>19913</v>
      </c>
      <c r="K657" s="11" t="s">
        <v>1896</v>
      </c>
      <c r="L657" s="15" t="s">
        <v>1897</v>
      </c>
      <c r="M657" s="13">
        <v>44714</v>
      </c>
      <c r="N657" s="86">
        <v>1696.76</v>
      </c>
      <c r="O657" s="28" t="s">
        <v>20</v>
      </c>
      <c r="P657" s="1" t="s">
        <v>44</v>
      </c>
      <c r="Q657" s="141"/>
      <c r="R657" s="191" t="s">
        <v>4853</v>
      </c>
    </row>
    <row r="658" spans="1:18" s="1" customFormat="1" ht="15.75" customHeight="1" x14ac:dyDescent="0.3">
      <c r="A658" s="5" t="s">
        <v>2181</v>
      </c>
      <c r="B658" s="9" t="s">
        <v>2182</v>
      </c>
      <c r="C658" s="11" t="s">
        <v>4489</v>
      </c>
      <c r="D658" t="s">
        <v>4495</v>
      </c>
      <c r="E658" s="3"/>
      <c r="F658" s="15"/>
      <c r="G658" s="15"/>
      <c r="H658" s="3" t="s">
        <v>2183</v>
      </c>
      <c r="I658"/>
      <c r="J658" s="166">
        <v>689</v>
      </c>
      <c r="K658" s="3" t="s">
        <v>2184</v>
      </c>
      <c r="L658" s="11" t="s">
        <v>547</v>
      </c>
      <c r="M658" s="13">
        <v>44721</v>
      </c>
      <c r="N658" s="86">
        <v>2398</v>
      </c>
      <c r="O658" s="28" t="s">
        <v>20</v>
      </c>
      <c r="Q658" s="141"/>
      <c r="R658" s="191">
        <v>2398</v>
      </c>
    </row>
    <row r="659" spans="1:18" s="1" customFormat="1" ht="15.75" customHeight="1" x14ac:dyDescent="0.3">
      <c r="A659" s="5" t="s">
        <v>2185</v>
      </c>
      <c r="B659" s="9" t="s">
        <v>2186</v>
      </c>
      <c r="C659" s="11" t="s">
        <v>4519</v>
      </c>
      <c r="D659" t="s">
        <v>4493</v>
      </c>
      <c r="E659" s="3"/>
      <c r="F659" s="15"/>
      <c r="G659" s="15"/>
      <c r="H659" s="3" t="s">
        <v>2187</v>
      </c>
      <c r="I659"/>
      <c r="J659" s="166">
        <v>210276</v>
      </c>
      <c r="K659" s="3" t="s">
        <v>1089</v>
      </c>
      <c r="L659" s="11" t="s">
        <v>1090</v>
      </c>
      <c r="M659" s="13">
        <v>44721</v>
      </c>
      <c r="N659" s="86">
        <v>3400.05</v>
      </c>
      <c r="O659" s="28"/>
      <c r="Q659" s="141"/>
      <c r="R659" s="191" t="s">
        <v>4854</v>
      </c>
    </row>
    <row r="660" spans="1:18" s="1" customFormat="1" ht="15.75" customHeight="1" x14ac:dyDescent="0.3">
      <c r="A660" s="5" t="s">
        <v>2188</v>
      </c>
      <c r="B660" s="9" t="s">
        <v>2189</v>
      </c>
      <c r="C660" s="11" t="s">
        <v>4519</v>
      </c>
      <c r="D660" t="s">
        <v>4494</v>
      </c>
      <c r="E660" s="3"/>
      <c r="F660" s="15"/>
      <c r="G660" s="15"/>
      <c r="H660" s="3" t="s">
        <v>2190</v>
      </c>
      <c r="I660"/>
      <c r="J660" s="166">
        <v>210663</v>
      </c>
      <c r="K660" s="3" t="s">
        <v>1089</v>
      </c>
      <c r="L660" s="11" t="s">
        <v>1090</v>
      </c>
      <c r="M660" s="13">
        <v>44722</v>
      </c>
      <c r="N660" s="86">
        <v>10172.65</v>
      </c>
      <c r="O660" s="28" t="s">
        <v>20</v>
      </c>
      <c r="P660" s="1" t="s">
        <v>44</v>
      </c>
      <c r="Q660" s="141"/>
      <c r="R660" s="191" t="s">
        <v>4855</v>
      </c>
    </row>
    <row r="661" spans="1:18" s="1" customFormat="1" ht="15.75" customHeight="1" x14ac:dyDescent="0.3">
      <c r="A661" s="5" t="s">
        <v>2191</v>
      </c>
      <c r="B661" s="9" t="s">
        <v>2192</v>
      </c>
      <c r="C661" s="11" t="s">
        <v>4519</v>
      </c>
      <c r="D661" t="s">
        <v>4495</v>
      </c>
      <c r="E661" s="3"/>
      <c r="F661" s="15"/>
      <c r="G661" s="15"/>
      <c r="H661" s="3" t="s">
        <v>2193</v>
      </c>
      <c r="I661"/>
      <c r="J661" s="166">
        <v>528097</v>
      </c>
      <c r="K661" s="3" t="s">
        <v>701</v>
      </c>
      <c r="L661" s="11" t="s">
        <v>730</v>
      </c>
      <c r="M661" s="13">
        <v>44727</v>
      </c>
      <c r="N661" s="86">
        <v>4506.78</v>
      </c>
      <c r="O661" s="28" t="s">
        <v>20</v>
      </c>
      <c r="P661" s="1" t="s">
        <v>78</v>
      </c>
      <c r="Q661" s="141"/>
      <c r="R661" s="191" t="s">
        <v>4856</v>
      </c>
    </row>
    <row r="662" spans="1:18" s="1" customFormat="1" ht="15.75" customHeight="1" x14ac:dyDescent="0.3">
      <c r="A662" s="5" t="s">
        <v>2194</v>
      </c>
      <c r="B662" s="9" t="s">
        <v>2195</v>
      </c>
      <c r="C662" s="11" t="s">
        <v>4490</v>
      </c>
      <c r="D662" t="s">
        <v>4494</v>
      </c>
      <c r="E662"/>
      <c r="F662" t="s">
        <v>2196</v>
      </c>
      <c r="G662" t="s">
        <v>4629</v>
      </c>
      <c r="H662" s="3" t="s">
        <v>2197</v>
      </c>
      <c r="I662"/>
      <c r="J662" s="166">
        <v>136148</v>
      </c>
      <c r="K662" s="3" t="s">
        <v>176</v>
      </c>
      <c r="L662" s="11" t="s">
        <v>1015</v>
      </c>
      <c r="M662" s="13">
        <v>44735</v>
      </c>
      <c r="N662" s="86">
        <v>290000</v>
      </c>
      <c r="O662" s="28" t="s">
        <v>20</v>
      </c>
      <c r="P662" s="1" t="s">
        <v>78</v>
      </c>
      <c r="Q662" s="141"/>
      <c r="R662" s="191">
        <v>290000</v>
      </c>
    </row>
    <row r="663" spans="1:18" s="1" customFormat="1" ht="15.75" customHeight="1" x14ac:dyDescent="0.3">
      <c r="A663" s="5" t="s">
        <v>2198</v>
      </c>
      <c r="B663" s="9" t="s">
        <v>2199</v>
      </c>
      <c r="C663" s="11" t="s">
        <v>4490</v>
      </c>
      <c r="D663" t="s">
        <v>4494</v>
      </c>
      <c r="E663"/>
      <c r="F663" t="s">
        <v>2200</v>
      </c>
      <c r="G663" t="s">
        <v>4629</v>
      </c>
      <c r="H663" s="3" t="s">
        <v>2197</v>
      </c>
      <c r="I663"/>
      <c r="J663" s="166">
        <v>136144</v>
      </c>
      <c r="K663" s="3" t="s">
        <v>176</v>
      </c>
      <c r="L663" s="11" t="s">
        <v>1015</v>
      </c>
      <c r="M663" s="13">
        <v>44735</v>
      </c>
      <c r="N663" s="86">
        <v>290000</v>
      </c>
      <c r="O663" s="28" t="s">
        <v>20</v>
      </c>
      <c r="P663" s="1" t="s">
        <v>78</v>
      </c>
      <c r="Q663" s="141"/>
      <c r="R663" s="191">
        <v>290000</v>
      </c>
    </row>
    <row r="664" spans="1:18" s="1" customFormat="1" ht="15.75" customHeight="1" x14ac:dyDescent="0.3">
      <c r="A664" s="5" t="s">
        <v>2201</v>
      </c>
      <c r="B664" s="9" t="s">
        <v>2202</v>
      </c>
      <c r="C664" s="11" t="s">
        <v>4490</v>
      </c>
      <c r="D664" t="s">
        <v>4494</v>
      </c>
      <c r="E664"/>
      <c r="F664" t="s">
        <v>2203</v>
      </c>
      <c r="G664" t="s">
        <v>4629</v>
      </c>
      <c r="H664" s="3" t="s">
        <v>2197</v>
      </c>
      <c r="I664"/>
      <c r="J664" s="166">
        <v>136147</v>
      </c>
      <c r="K664" s="3" t="s">
        <v>176</v>
      </c>
      <c r="L664" s="11" t="s">
        <v>1015</v>
      </c>
      <c r="M664" s="13">
        <v>44735</v>
      </c>
      <c r="N664" s="86">
        <v>290000</v>
      </c>
      <c r="O664" s="28" t="s">
        <v>20</v>
      </c>
      <c r="P664" s="1" t="s">
        <v>78</v>
      </c>
      <c r="Q664" s="141"/>
      <c r="R664" s="191">
        <v>290000</v>
      </c>
    </row>
    <row r="665" spans="1:18" s="1" customFormat="1" ht="15.75" customHeight="1" x14ac:dyDescent="0.3">
      <c r="A665" s="5" t="s">
        <v>2204</v>
      </c>
      <c r="B665" s="9" t="s">
        <v>2205</v>
      </c>
      <c r="C665" s="11" t="s">
        <v>4490</v>
      </c>
      <c r="D665" t="s">
        <v>4494</v>
      </c>
      <c r="E665"/>
      <c r="F665" t="s">
        <v>2206</v>
      </c>
      <c r="G665" t="s">
        <v>4629</v>
      </c>
      <c r="H665" s="3" t="s">
        <v>2197</v>
      </c>
      <c r="I665"/>
      <c r="J665" s="166">
        <v>136145</v>
      </c>
      <c r="K665" s="3" t="s">
        <v>176</v>
      </c>
      <c r="L665" s="11" t="s">
        <v>1015</v>
      </c>
      <c r="M665" s="13">
        <v>44735</v>
      </c>
      <c r="N665" s="86">
        <v>290000</v>
      </c>
      <c r="O665" s="28" t="s">
        <v>20</v>
      </c>
      <c r="P665" s="1" t="s">
        <v>78</v>
      </c>
      <c r="Q665" s="141"/>
      <c r="R665" s="191">
        <v>290000</v>
      </c>
    </row>
    <row r="666" spans="1:18" s="1" customFormat="1" ht="15.75" customHeight="1" x14ac:dyDescent="0.3">
      <c r="A666" s="5" t="s">
        <v>2207</v>
      </c>
      <c r="B666" s="9" t="s">
        <v>2208</v>
      </c>
      <c r="C666" s="11" t="s">
        <v>4490</v>
      </c>
      <c r="D666" t="s">
        <v>4492</v>
      </c>
      <c r="E666"/>
      <c r="F666" t="s">
        <v>2209</v>
      </c>
      <c r="G666" t="s">
        <v>4629</v>
      </c>
      <c r="H666" s="3" t="s">
        <v>2197</v>
      </c>
      <c r="I666"/>
      <c r="J666" s="166">
        <v>136171</v>
      </c>
      <c r="K666" s="3" t="s">
        <v>176</v>
      </c>
      <c r="L666" s="11" t="s">
        <v>1015</v>
      </c>
      <c r="M666" s="13">
        <v>44735</v>
      </c>
      <c r="N666" s="86">
        <v>340000</v>
      </c>
      <c r="O666" s="28" t="s">
        <v>20</v>
      </c>
      <c r="Q666" s="141"/>
      <c r="R666" s="191">
        <v>340000</v>
      </c>
    </row>
    <row r="667" spans="1:18" s="1" customFormat="1" ht="15.75" customHeight="1" x14ac:dyDescent="0.3">
      <c r="A667" s="5" t="s">
        <v>2210</v>
      </c>
      <c r="B667" s="9" t="s">
        <v>2211</v>
      </c>
      <c r="C667" s="11" t="s">
        <v>4490</v>
      </c>
      <c r="D667" t="s">
        <v>4495</v>
      </c>
      <c r="E667"/>
      <c r="F667" t="s">
        <v>2212</v>
      </c>
      <c r="G667" t="s">
        <v>4629</v>
      </c>
      <c r="H667" s="3" t="s">
        <v>2213</v>
      </c>
      <c r="I667"/>
      <c r="J667" s="166">
        <v>136176</v>
      </c>
      <c r="K667" s="3" t="s">
        <v>176</v>
      </c>
      <c r="L667" s="11" t="s">
        <v>1015</v>
      </c>
      <c r="M667" s="13">
        <v>44735</v>
      </c>
      <c r="N667" s="86">
        <v>400000</v>
      </c>
      <c r="O667" s="28" t="s">
        <v>20</v>
      </c>
      <c r="P667" s="1" t="s">
        <v>66</v>
      </c>
      <c r="Q667" s="141"/>
      <c r="R667" s="191">
        <v>400000</v>
      </c>
    </row>
    <row r="668" spans="1:18" s="1" customFormat="1" ht="15.75" customHeight="1" x14ac:dyDescent="0.3">
      <c r="A668" s="128" t="s">
        <v>2214</v>
      </c>
      <c r="B668" s="9" t="s">
        <v>2215</v>
      </c>
      <c r="C668" s="11" t="s">
        <v>4490</v>
      </c>
      <c r="D668" t="s">
        <v>4495</v>
      </c>
      <c r="E668"/>
      <c r="F668" t="s">
        <v>2216</v>
      </c>
      <c r="G668" t="s">
        <v>4629</v>
      </c>
      <c r="H668" s="3" t="s">
        <v>2217</v>
      </c>
      <c r="I668"/>
      <c r="J668" s="166">
        <v>136165</v>
      </c>
      <c r="K668" s="3" t="s">
        <v>176</v>
      </c>
      <c r="L668" s="11" t="s">
        <v>1015</v>
      </c>
      <c r="M668" s="13">
        <v>44735</v>
      </c>
      <c r="N668" s="86">
        <v>650000</v>
      </c>
      <c r="O668" s="28" t="s">
        <v>20</v>
      </c>
      <c r="P668" s="1" t="s">
        <v>78</v>
      </c>
      <c r="Q668" s="141"/>
      <c r="R668" s="191">
        <v>650000</v>
      </c>
    </row>
    <row r="669" spans="1:18" s="1" customFormat="1" ht="15.75" customHeight="1" x14ac:dyDescent="0.3">
      <c r="A669" s="128" t="s">
        <v>2218</v>
      </c>
      <c r="B669" s="9" t="s">
        <v>2219</v>
      </c>
      <c r="C669" s="11" t="s">
        <v>4490</v>
      </c>
      <c r="D669" t="s">
        <v>4494</v>
      </c>
      <c r="E669"/>
      <c r="F669" t="s">
        <v>2220</v>
      </c>
      <c r="G669" t="s">
        <v>4629</v>
      </c>
      <c r="H669" s="3" t="s">
        <v>2197</v>
      </c>
      <c r="I669"/>
      <c r="J669" s="166">
        <v>136179</v>
      </c>
      <c r="K669" s="3" t="s">
        <v>176</v>
      </c>
      <c r="L669" s="11" t="s">
        <v>1015</v>
      </c>
      <c r="M669" s="13">
        <v>44735</v>
      </c>
      <c r="N669" s="86">
        <v>290000</v>
      </c>
      <c r="O669" s="28" t="s">
        <v>20</v>
      </c>
      <c r="P669" s="1" t="s">
        <v>78</v>
      </c>
      <c r="Q669" s="141"/>
      <c r="R669" s="191">
        <v>290000</v>
      </c>
    </row>
    <row r="670" spans="1:18" s="1" customFormat="1" ht="15.75" customHeight="1" x14ac:dyDescent="0.3">
      <c r="A670" s="128" t="s">
        <v>2221</v>
      </c>
      <c r="B670" s="9" t="s">
        <v>2222</v>
      </c>
      <c r="C670" s="11" t="s">
        <v>4490</v>
      </c>
      <c r="D670" t="s">
        <v>4494</v>
      </c>
      <c r="E670"/>
      <c r="F670" t="s">
        <v>2223</v>
      </c>
      <c r="G670" t="s">
        <v>4629</v>
      </c>
      <c r="H670" s="3" t="s">
        <v>2197</v>
      </c>
      <c r="I670"/>
      <c r="J670" s="166">
        <v>136173</v>
      </c>
      <c r="K670" s="3" t="s">
        <v>176</v>
      </c>
      <c r="L670" s="11" t="s">
        <v>1015</v>
      </c>
      <c r="M670" s="13">
        <v>44735</v>
      </c>
      <c r="N670" s="86">
        <v>340000</v>
      </c>
      <c r="O670" s="28" t="s">
        <v>20</v>
      </c>
      <c r="P670" s="1" t="s">
        <v>78</v>
      </c>
      <c r="Q670" s="141"/>
      <c r="R670" s="191">
        <v>340000</v>
      </c>
    </row>
    <row r="671" spans="1:18" s="1" customFormat="1" ht="15.75" customHeight="1" x14ac:dyDescent="0.3">
      <c r="A671" s="128" t="s">
        <v>2224</v>
      </c>
      <c r="B671" s="9" t="s">
        <v>2225</v>
      </c>
      <c r="C671" s="11" t="s">
        <v>4490</v>
      </c>
      <c r="D671" t="s">
        <v>4494</v>
      </c>
      <c r="E671"/>
      <c r="F671" t="s">
        <v>2226</v>
      </c>
      <c r="G671" t="s">
        <v>4629</v>
      </c>
      <c r="H671" s="3" t="s">
        <v>2197</v>
      </c>
      <c r="I671"/>
      <c r="J671" s="166">
        <v>136172</v>
      </c>
      <c r="K671" s="3" t="s">
        <v>176</v>
      </c>
      <c r="L671" s="11" t="s">
        <v>1015</v>
      </c>
      <c r="M671" s="13">
        <v>44735</v>
      </c>
      <c r="N671" s="86">
        <v>340000</v>
      </c>
      <c r="O671" s="28" t="s">
        <v>20</v>
      </c>
      <c r="P671" s="1" t="s">
        <v>78</v>
      </c>
      <c r="Q671" s="141"/>
      <c r="R671" s="191">
        <v>340000</v>
      </c>
    </row>
    <row r="672" spans="1:18" s="1" customFormat="1" ht="15.75" customHeight="1" x14ac:dyDescent="0.3">
      <c r="A672" s="128" t="s">
        <v>2227</v>
      </c>
      <c r="B672" s="9" t="s">
        <v>2228</v>
      </c>
      <c r="C672" s="11" t="s">
        <v>4490</v>
      </c>
      <c r="D672" t="s">
        <v>4494</v>
      </c>
      <c r="E672"/>
      <c r="F672" t="s">
        <v>2229</v>
      </c>
      <c r="G672" t="s">
        <v>4629</v>
      </c>
      <c r="H672" s="3" t="s">
        <v>2197</v>
      </c>
      <c r="I672"/>
      <c r="J672" s="166">
        <v>136146</v>
      </c>
      <c r="K672" s="3" t="s">
        <v>176</v>
      </c>
      <c r="L672" s="11" t="s">
        <v>1015</v>
      </c>
      <c r="M672" s="13">
        <v>44735</v>
      </c>
      <c r="N672" s="86">
        <v>290000</v>
      </c>
      <c r="O672" s="28" t="s">
        <v>20</v>
      </c>
      <c r="P672" s="1" t="s">
        <v>78</v>
      </c>
      <c r="Q672" s="141"/>
      <c r="R672" s="191">
        <v>290000</v>
      </c>
    </row>
    <row r="673" spans="1:175" s="1" customFormat="1" ht="15.75" customHeight="1" x14ac:dyDescent="0.3">
      <c r="A673" s="128" t="s">
        <v>2230</v>
      </c>
      <c r="B673" s="9" t="s">
        <v>2231</v>
      </c>
      <c r="C673" s="11" t="s">
        <v>4490</v>
      </c>
      <c r="D673" t="s">
        <v>4494</v>
      </c>
      <c r="E673"/>
      <c r="F673" t="s">
        <v>2232</v>
      </c>
      <c r="G673" t="s">
        <v>4629</v>
      </c>
      <c r="H673" s="3" t="s">
        <v>2213</v>
      </c>
      <c r="I673"/>
      <c r="J673" s="166">
        <v>136178</v>
      </c>
      <c r="K673" s="3" t="s">
        <v>176</v>
      </c>
      <c r="L673" s="11" t="s">
        <v>1015</v>
      </c>
      <c r="M673" s="13">
        <v>44735</v>
      </c>
      <c r="N673" s="86">
        <v>400000</v>
      </c>
      <c r="O673" s="28" t="s">
        <v>20</v>
      </c>
      <c r="P673" s="1" t="s">
        <v>78</v>
      </c>
      <c r="Q673" s="141"/>
      <c r="R673" s="191">
        <v>400000</v>
      </c>
    </row>
    <row r="674" spans="1:175" s="1" customFormat="1" ht="15.75" customHeight="1" x14ac:dyDescent="0.3">
      <c r="A674" s="128" t="s">
        <v>2233</v>
      </c>
      <c r="B674" s="9" t="s">
        <v>2234</v>
      </c>
      <c r="C674" s="11" t="s">
        <v>4490</v>
      </c>
      <c r="D674" t="s">
        <v>4494</v>
      </c>
      <c r="E674"/>
      <c r="F674" t="s">
        <v>2235</v>
      </c>
      <c r="G674" t="s">
        <v>4629</v>
      </c>
      <c r="H674" s="3" t="s">
        <v>2213</v>
      </c>
      <c r="I674"/>
      <c r="J674" s="166">
        <v>136177</v>
      </c>
      <c r="K674" s="3" t="s">
        <v>176</v>
      </c>
      <c r="L674" s="11" t="s">
        <v>1015</v>
      </c>
      <c r="M674" s="13">
        <v>44735</v>
      </c>
      <c r="N674" s="86">
        <v>400000</v>
      </c>
      <c r="O674" s="28"/>
      <c r="Q674" s="141"/>
      <c r="R674" s="191">
        <v>400000</v>
      </c>
    </row>
    <row r="675" spans="1:175" s="1" customFormat="1" ht="15.75" customHeight="1" x14ac:dyDescent="0.3">
      <c r="A675" s="128" t="s">
        <v>2236</v>
      </c>
      <c r="B675" s="9" t="s">
        <v>2237</v>
      </c>
      <c r="C675" s="11" t="s">
        <v>4490</v>
      </c>
      <c r="D675" t="s">
        <v>4494</v>
      </c>
      <c r="E675"/>
      <c r="F675" t="s">
        <v>2238</v>
      </c>
      <c r="G675" t="s">
        <v>4629</v>
      </c>
      <c r="H675" s="3" t="s">
        <v>2213</v>
      </c>
      <c r="I675"/>
      <c r="J675" s="166">
        <v>136175</v>
      </c>
      <c r="K675" s="3" t="s">
        <v>176</v>
      </c>
      <c r="L675" s="11" t="s">
        <v>1015</v>
      </c>
      <c r="M675" s="13">
        <v>44735</v>
      </c>
      <c r="N675" s="86">
        <v>400000</v>
      </c>
      <c r="O675" s="28" t="s">
        <v>20</v>
      </c>
      <c r="P675" s="1" t="s">
        <v>78</v>
      </c>
      <c r="Q675" s="141"/>
      <c r="R675" s="191">
        <v>400000</v>
      </c>
    </row>
    <row r="676" spans="1:175" s="1" customFormat="1" ht="15.75" customHeight="1" x14ac:dyDescent="0.3">
      <c r="A676" s="128" t="s">
        <v>2239</v>
      </c>
      <c r="B676" s="9" t="s">
        <v>2240</v>
      </c>
      <c r="C676" s="11" t="s">
        <v>4490</v>
      </c>
      <c r="D676" t="s">
        <v>4494</v>
      </c>
      <c r="E676"/>
      <c r="F676" t="s">
        <v>2241</v>
      </c>
      <c r="G676" t="s">
        <v>4629</v>
      </c>
      <c r="H676" s="3" t="s">
        <v>2213</v>
      </c>
      <c r="I676"/>
      <c r="J676" s="166">
        <v>136174</v>
      </c>
      <c r="K676" s="3" t="s">
        <v>176</v>
      </c>
      <c r="L676" s="11" t="s">
        <v>1015</v>
      </c>
      <c r="M676" s="13">
        <v>44735</v>
      </c>
      <c r="N676" s="86">
        <v>400000</v>
      </c>
      <c r="O676" s="28" t="s">
        <v>20</v>
      </c>
      <c r="Q676" s="141"/>
      <c r="R676" s="191">
        <v>400000</v>
      </c>
    </row>
    <row r="677" spans="1:175" s="1" customFormat="1" ht="15.75" customHeight="1" x14ac:dyDescent="0.3">
      <c r="A677" s="128" t="s">
        <v>2242</v>
      </c>
      <c r="B677" s="9" t="s">
        <v>2243</v>
      </c>
      <c r="C677" s="11" t="s">
        <v>4490</v>
      </c>
      <c r="D677" t="s">
        <v>4494</v>
      </c>
      <c r="E677"/>
      <c r="F677" t="s">
        <v>2244</v>
      </c>
      <c r="G677" t="s">
        <v>4629</v>
      </c>
      <c r="H677" s="3" t="s">
        <v>2217</v>
      </c>
      <c r="I677"/>
      <c r="J677" s="166">
        <v>136170</v>
      </c>
      <c r="K677" s="3" t="s">
        <v>176</v>
      </c>
      <c r="L677" s="11" t="s">
        <v>1015</v>
      </c>
      <c r="M677" s="13">
        <v>44735</v>
      </c>
      <c r="N677" s="86">
        <v>650000</v>
      </c>
      <c r="O677" s="28" t="s">
        <v>20</v>
      </c>
      <c r="P677" s="1" t="s">
        <v>78</v>
      </c>
      <c r="Q677" s="141"/>
      <c r="R677" s="191">
        <v>650000</v>
      </c>
    </row>
    <row r="678" spans="1:175" s="1" customFormat="1" ht="15.75" customHeight="1" x14ac:dyDescent="0.3">
      <c r="A678" s="128" t="s">
        <v>2245</v>
      </c>
      <c r="B678" s="9" t="s">
        <v>2246</v>
      </c>
      <c r="C678" s="11" t="s">
        <v>4487</v>
      </c>
      <c r="D678" t="s">
        <v>4495</v>
      </c>
      <c r="E678"/>
      <c r="F678" t="s">
        <v>2247</v>
      </c>
      <c r="G678" t="s">
        <v>4618</v>
      </c>
      <c r="H678" s="3" t="s">
        <v>1177</v>
      </c>
      <c r="I678"/>
      <c r="J678" s="166">
        <v>182164</v>
      </c>
      <c r="K678" s="3" t="s">
        <v>664</v>
      </c>
      <c r="L678" s="11" t="s">
        <v>2093</v>
      </c>
      <c r="M678" s="13">
        <v>44743</v>
      </c>
      <c r="N678" s="86">
        <v>15300</v>
      </c>
      <c r="O678" s="28" t="s">
        <v>20</v>
      </c>
      <c r="P678" s="1" t="s">
        <v>78</v>
      </c>
      <c r="Q678" s="141"/>
      <c r="R678" s="191">
        <v>15300</v>
      </c>
    </row>
    <row r="679" spans="1:175" s="1" customFormat="1" ht="15.75" customHeight="1" x14ac:dyDescent="0.3">
      <c r="A679" s="128" t="s">
        <v>2248</v>
      </c>
      <c r="B679" s="9" t="s">
        <v>2249</v>
      </c>
      <c r="C679" s="11" t="s">
        <v>4519</v>
      </c>
      <c r="D679" t="s">
        <v>4493</v>
      </c>
      <c r="E679" s="3"/>
      <c r="F679" s="15"/>
      <c r="G679" s="15"/>
      <c r="H679" s="3" t="s">
        <v>2250</v>
      </c>
      <c r="I679"/>
      <c r="J679" s="166">
        <v>210658</v>
      </c>
      <c r="K679" s="3" t="s">
        <v>1089</v>
      </c>
      <c r="L679" s="11" t="s">
        <v>1090</v>
      </c>
      <c r="M679" s="13">
        <v>44746</v>
      </c>
      <c r="N679" s="86">
        <v>10172.549999999999</v>
      </c>
      <c r="O679" s="28" t="s">
        <v>20</v>
      </c>
      <c r="P679" s="1" t="s">
        <v>78</v>
      </c>
      <c r="Q679" s="141"/>
      <c r="R679" s="191" t="s">
        <v>4857</v>
      </c>
    </row>
    <row r="680" spans="1:175" s="1" customFormat="1" ht="15.75" customHeight="1" x14ac:dyDescent="0.3">
      <c r="A680" s="128" t="s">
        <v>2251</v>
      </c>
      <c r="B680" s="9" t="s">
        <v>2252</v>
      </c>
      <c r="C680" s="11" t="s">
        <v>4490</v>
      </c>
      <c r="D680" t="s">
        <v>4494</v>
      </c>
      <c r="E680"/>
      <c r="F680" t="s">
        <v>2253</v>
      </c>
      <c r="G680" t="s">
        <v>4629</v>
      </c>
      <c r="H680" s="3" t="s">
        <v>2254</v>
      </c>
      <c r="I680"/>
      <c r="J680" s="166">
        <v>3658</v>
      </c>
      <c r="K680" s="3" t="s">
        <v>2255</v>
      </c>
      <c r="L680" s="11" t="s">
        <v>834</v>
      </c>
      <c r="M680" s="13">
        <v>44750</v>
      </c>
      <c r="N680" s="86">
        <v>259051.91</v>
      </c>
      <c r="O680" s="28" t="s">
        <v>20</v>
      </c>
      <c r="P680" s="1" t="s">
        <v>78</v>
      </c>
      <c r="Q680" s="141"/>
      <c r="R680" s="191" t="s">
        <v>4858</v>
      </c>
    </row>
    <row r="681" spans="1:175" s="1" customFormat="1" ht="15.75" customHeight="1" x14ac:dyDescent="0.3">
      <c r="A681" s="128" t="s">
        <v>2256</v>
      </c>
      <c r="B681" s="9" t="s">
        <v>2257</v>
      </c>
      <c r="C681" s="11" t="s">
        <v>4519</v>
      </c>
      <c r="D681" t="s">
        <v>4494</v>
      </c>
      <c r="E681" s="3"/>
      <c r="F681" s="15"/>
      <c r="G681" s="15"/>
      <c r="H681" s="3" t="s">
        <v>2258</v>
      </c>
      <c r="I681"/>
      <c r="J681" s="166">
        <v>211242</v>
      </c>
      <c r="K681" s="3" t="s">
        <v>1089</v>
      </c>
      <c r="L681" s="11" t="s">
        <v>1090</v>
      </c>
      <c r="M681" s="13">
        <v>44750</v>
      </c>
      <c r="N681" s="86">
        <v>1299</v>
      </c>
      <c r="O681" s="28" t="s">
        <v>20</v>
      </c>
      <c r="P681" s="1" t="s">
        <v>44</v>
      </c>
      <c r="Q681" s="141"/>
      <c r="R681" s="191">
        <v>1299</v>
      </c>
    </row>
    <row r="682" spans="1:175" s="1" customFormat="1" ht="15.75" customHeight="1" x14ac:dyDescent="0.3">
      <c r="A682" s="128" t="s">
        <v>2259</v>
      </c>
      <c r="B682" s="9" t="s">
        <v>2260</v>
      </c>
      <c r="C682" s="11" t="s">
        <v>4519</v>
      </c>
      <c r="D682" t="s">
        <v>4494</v>
      </c>
      <c r="E682" s="3"/>
      <c r="F682" s="15"/>
      <c r="G682" s="15"/>
      <c r="H682" s="3" t="s">
        <v>2261</v>
      </c>
      <c r="I682"/>
      <c r="J682" s="166">
        <v>211242</v>
      </c>
      <c r="K682" s="3" t="s">
        <v>1089</v>
      </c>
      <c r="L682" s="11" t="s">
        <v>1090</v>
      </c>
      <c r="M682" s="13">
        <v>44750</v>
      </c>
      <c r="N682" s="86">
        <v>3999</v>
      </c>
      <c r="O682" s="28" t="s">
        <v>20</v>
      </c>
      <c r="P682" s="1" t="s">
        <v>44</v>
      </c>
      <c r="Q682" s="141"/>
      <c r="R682" s="191">
        <v>3999</v>
      </c>
    </row>
    <row r="683" spans="1:175" s="1" customFormat="1" ht="15.75" customHeight="1" x14ac:dyDescent="0.3">
      <c r="A683" s="128" t="s">
        <v>2262</v>
      </c>
      <c r="B683" s="9" t="s">
        <v>2263</v>
      </c>
      <c r="C683" s="11" t="s">
        <v>4519</v>
      </c>
      <c r="D683" t="s">
        <v>4494</v>
      </c>
      <c r="E683"/>
      <c r="F683"/>
      <c r="G683" t="s">
        <v>4623</v>
      </c>
      <c r="H683" s="3" t="s">
        <v>4485</v>
      </c>
      <c r="I683"/>
      <c r="J683" s="166">
        <v>50999</v>
      </c>
      <c r="K683" s="3" t="s">
        <v>2419</v>
      </c>
      <c r="L683" s="44" t="s">
        <v>188</v>
      </c>
      <c r="M683" s="119">
        <v>46043</v>
      </c>
      <c r="N683" s="120">
        <v>3399.9</v>
      </c>
      <c r="O683" s="28" t="s">
        <v>20</v>
      </c>
      <c r="P683" s="1" t="s">
        <v>44</v>
      </c>
      <c r="Q683" s="141"/>
      <c r="R683" s="198" t="s">
        <v>4859</v>
      </c>
    </row>
    <row r="684" spans="1:175" s="1" customFormat="1" ht="15.75" customHeight="1" x14ac:dyDescent="0.3">
      <c r="A684" s="128" t="s">
        <v>2265</v>
      </c>
      <c r="B684" s="9" t="s">
        <v>2266</v>
      </c>
      <c r="C684" s="11" t="s">
        <v>4487</v>
      </c>
      <c r="D684" t="s">
        <v>4495</v>
      </c>
      <c r="E684" t="s">
        <v>2267</v>
      </c>
      <c r="F684" t="s">
        <v>2268</v>
      </c>
      <c r="G684" t="s">
        <v>4623</v>
      </c>
      <c r="H684" s="3" t="s">
        <v>2269</v>
      </c>
      <c r="I684"/>
      <c r="J684" s="166">
        <v>89334</v>
      </c>
      <c r="K684" s="3" t="s">
        <v>1748</v>
      </c>
      <c r="L684" s="11" t="s">
        <v>2270</v>
      </c>
      <c r="M684" s="13">
        <v>44750</v>
      </c>
      <c r="N684" s="86">
        <v>232170.5</v>
      </c>
      <c r="O684" s="28" t="s">
        <v>20</v>
      </c>
      <c r="Q684" s="141"/>
      <c r="R684" s="191" t="s">
        <v>4860</v>
      </c>
    </row>
    <row r="685" spans="1:175" s="1" customFormat="1" ht="15.75" customHeight="1" x14ac:dyDescent="0.3">
      <c r="A685" s="131" t="s">
        <v>2271</v>
      </c>
      <c r="B685" s="9" t="s">
        <v>2271</v>
      </c>
      <c r="C685" s="11" t="s">
        <v>4518</v>
      </c>
      <c r="D685" t="s">
        <v>4495</v>
      </c>
      <c r="E685" s="3"/>
      <c r="F685" s="15"/>
      <c r="G685" s="15"/>
      <c r="H685" s="3" t="s">
        <v>2272</v>
      </c>
      <c r="I685"/>
      <c r="J685" s="166">
        <v>13900</v>
      </c>
      <c r="K685" s="3" t="s">
        <v>2273</v>
      </c>
      <c r="L685" s="3" t="s">
        <v>2274</v>
      </c>
      <c r="M685" s="29">
        <v>45901</v>
      </c>
      <c r="N685" s="86">
        <v>25000</v>
      </c>
      <c r="O685" s="28"/>
      <c r="P685" s="1" t="s">
        <v>66</v>
      </c>
      <c r="Q685" s="141"/>
      <c r="R685" s="191">
        <v>25000</v>
      </c>
    </row>
    <row r="686" spans="1:175" s="63" customFormat="1" ht="15.75" customHeight="1" x14ac:dyDescent="0.3">
      <c r="A686" s="128" t="s">
        <v>2275</v>
      </c>
      <c r="B686" s="9" t="s">
        <v>2276</v>
      </c>
      <c r="C686" s="11" t="s">
        <v>4490</v>
      </c>
      <c r="D686" t="s">
        <v>4494</v>
      </c>
      <c r="E686"/>
      <c r="F686" t="s">
        <v>2277</v>
      </c>
      <c r="G686" t="s">
        <v>4629</v>
      </c>
      <c r="H686" s="3" t="s">
        <v>2197</v>
      </c>
      <c r="I686"/>
      <c r="J686" s="166">
        <v>136963</v>
      </c>
      <c r="K686" s="3" t="s">
        <v>176</v>
      </c>
      <c r="L686" s="11" t="s">
        <v>1015</v>
      </c>
      <c r="M686" s="13">
        <v>44762</v>
      </c>
      <c r="N686" s="86">
        <v>290000</v>
      </c>
      <c r="O686" s="28" t="s">
        <v>20</v>
      </c>
      <c r="P686" s="1" t="s">
        <v>78</v>
      </c>
      <c r="Q686" s="141"/>
      <c r="R686" s="191">
        <v>290000</v>
      </c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  <c r="BR686" s="1"/>
      <c r="BS686" s="1"/>
      <c r="BT686" s="1"/>
      <c r="BU686" s="1"/>
      <c r="BV686" s="1"/>
      <c r="BW686" s="1"/>
      <c r="BX686" s="1"/>
      <c r="BY686" s="1"/>
      <c r="BZ686" s="1"/>
      <c r="CA686" s="1"/>
      <c r="CB686" s="1"/>
      <c r="CC686" s="1"/>
      <c r="CD686" s="1"/>
      <c r="CE686" s="1"/>
      <c r="CF686" s="1"/>
      <c r="CG686" s="1"/>
      <c r="CH686" s="1"/>
      <c r="CI686" s="1"/>
      <c r="CJ686" s="1"/>
      <c r="CK686" s="1"/>
      <c r="CL686" s="1"/>
      <c r="CM686" s="1"/>
      <c r="CN686" s="1"/>
      <c r="CO686" s="1"/>
      <c r="CP686" s="1"/>
      <c r="CQ686" s="1"/>
      <c r="CR686" s="1"/>
      <c r="CS686" s="1"/>
      <c r="CT686" s="1"/>
      <c r="CU686" s="1"/>
      <c r="CV686" s="1"/>
      <c r="CW686" s="1"/>
      <c r="CX686" s="1"/>
      <c r="CY686" s="1"/>
      <c r="CZ686" s="1"/>
      <c r="DA686" s="1"/>
      <c r="DB686" s="1"/>
      <c r="DC686" s="1"/>
      <c r="DD686" s="1"/>
      <c r="DE686" s="1"/>
      <c r="DF686" s="1"/>
      <c r="DG686" s="1"/>
      <c r="DH686" s="1"/>
      <c r="DI686" s="1"/>
      <c r="DJ686" s="1"/>
      <c r="DK686" s="1"/>
      <c r="DL686" s="1"/>
      <c r="DM686" s="1"/>
      <c r="DN686" s="1"/>
      <c r="DO686" s="1"/>
      <c r="DP686" s="1"/>
      <c r="DQ686" s="1"/>
      <c r="DR686" s="1"/>
      <c r="DS686" s="1"/>
      <c r="DT686" s="1"/>
      <c r="DU686" s="1"/>
      <c r="DV686" s="1"/>
      <c r="DW686" s="1"/>
      <c r="DX686" s="1"/>
      <c r="DY686" s="1"/>
      <c r="DZ686" s="1"/>
      <c r="EA686" s="1"/>
      <c r="EB686" s="1"/>
      <c r="EC686" s="1"/>
      <c r="ED686" s="1"/>
      <c r="EE686" s="1"/>
      <c r="EF686" s="1"/>
      <c r="EG686" s="1"/>
      <c r="EH686" s="1"/>
      <c r="EI686" s="1"/>
      <c r="EJ686" s="1"/>
      <c r="EK686" s="1"/>
      <c r="EL686" s="1"/>
      <c r="EM686" s="1"/>
      <c r="EN686" s="1"/>
      <c r="EO686" s="1"/>
      <c r="EP686" s="1"/>
      <c r="EQ686" s="1"/>
      <c r="ER686" s="1"/>
      <c r="ES686" s="1"/>
      <c r="ET686" s="1"/>
      <c r="EU686" s="1"/>
      <c r="EV686" s="1"/>
      <c r="EW686" s="1"/>
      <c r="EX686" s="1"/>
      <c r="EY686" s="1"/>
      <c r="EZ686" s="1"/>
      <c r="FA686" s="1"/>
      <c r="FB686" s="1"/>
      <c r="FC686" s="1"/>
      <c r="FD686" s="1"/>
      <c r="FE686" s="1"/>
      <c r="FF686" s="1"/>
      <c r="FG686" s="1"/>
      <c r="FH686" s="1"/>
      <c r="FI686" s="1"/>
      <c r="FJ686" s="1"/>
      <c r="FK686" s="1"/>
      <c r="FL686" s="1"/>
      <c r="FM686" s="1"/>
      <c r="FN686" s="1"/>
      <c r="FO686" s="1"/>
      <c r="FP686" s="1"/>
      <c r="FQ686" s="1"/>
      <c r="FR686" s="1"/>
      <c r="FS686" s="1"/>
    </row>
    <row r="687" spans="1:175" s="1" customFormat="1" ht="15.75" customHeight="1" x14ac:dyDescent="0.3">
      <c r="A687" s="128" t="s">
        <v>2278</v>
      </c>
      <c r="B687" s="9" t="s">
        <v>2279</v>
      </c>
      <c r="C687" s="11" t="s">
        <v>4489</v>
      </c>
      <c r="D687" t="s">
        <v>4494</v>
      </c>
      <c r="E687" s="160"/>
      <c r="F687">
        <v>1001357</v>
      </c>
      <c r="G687" t="s">
        <v>4616</v>
      </c>
      <c r="H687" s="3" t="s">
        <v>2280</v>
      </c>
      <c r="I687"/>
      <c r="J687" s="183">
        <v>30193</v>
      </c>
      <c r="K687" s="3" t="s">
        <v>2281</v>
      </c>
      <c r="L687" s="11" t="s">
        <v>1155</v>
      </c>
      <c r="M687" s="13">
        <v>44769</v>
      </c>
      <c r="N687" s="86">
        <v>83500</v>
      </c>
      <c r="O687" s="28"/>
      <c r="Q687" s="141"/>
      <c r="R687" s="191">
        <v>83500</v>
      </c>
    </row>
    <row r="688" spans="1:175" s="1" customFormat="1" ht="15.75" customHeight="1" x14ac:dyDescent="0.3">
      <c r="A688" s="128" t="s">
        <v>2282</v>
      </c>
      <c r="B688" s="9" t="s">
        <v>2283</v>
      </c>
      <c r="C688" s="11" t="s">
        <v>4519</v>
      </c>
      <c r="D688" t="s">
        <v>4495</v>
      </c>
      <c r="E688" s="3"/>
      <c r="F688" s="15"/>
      <c r="G688" s="15"/>
      <c r="H688" s="3" t="s">
        <v>1603</v>
      </c>
      <c r="I688"/>
      <c r="J688" s="166">
        <v>5171454</v>
      </c>
      <c r="K688" s="3" t="s">
        <v>2284</v>
      </c>
      <c r="L688" s="11" t="s">
        <v>2285</v>
      </c>
      <c r="M688" s="13">
        <v>44770</v>
      </c>
      <c r="N688" s="86">
        <v>2699</v>
      </c>
      <c r="O688" s="28" t="s">
        <v>20</v>
      </c>
      <c r="Q688" s="141"/>
      <c r="R688" s="191">
        <v>2699</v>
      </c>
    </row>
    <row r="689" spans="1:18" s="1" customFormat="1" ht="15.75" customHeight="1" x14ac:dyDescent="0.3">
      <c r="A689" s="7" t="s">
        <v>2286</v>
      </c>
      <c r="B689" s="31" t="s">
        <v>2287</v>
      </c>
      <c r="C689" s="66" t="s">
        <v>4519</v>
      </c>
      <c r="D689" t="s">
        <v>4495</v>
      </c>
      <c r="E689" s="32"/>
      <c r="F689" s="33"/>
      <c r="G689" s="33"/>
      <c r="H689" s="32" t="s">
        <v>2288</v>
      </c>
      <c r="I689"/>
      <c r="J689" s="176">
        <v>89984</v>
      </c>
      <c r="K689" s="32" t="s">
        <v>2289</v>
      </c>
      <c r="L689" s="66" t="s">
        <v>1160</v>
      </c>
      <c r="M689" s="149">
        <v>44776</v>
      </c>
      <c r="N689" s="102">
        <v>3679.9</v>
      </c>
      <c r="O689" s="74" t="s">
        <v>20</v>
      </c>
      <c r="Q689" s="141"/>
      <c r="R689" s="199" t="s">
        <v>4861</v>
      </c>
    </row>
    <row r="690" spans="1:18" s="1" customFormat="1" ht="15.75" customHeight="1" x14ac:dyDescent="0.3">
      <c r="A690" s="7" t="s">
        <v>2290</v>
      </c>
      <c r="B690" s="31" t="s">
        <v>2291</v>
      </c>
      <c r="C690" s="11" t="s">
        <v>4489</v>
      </c>
      <c r="D690" t="s">
        <v>4492</v>
      </c>
      <c r="E690" s="32"/>
      <c r="F690" s="33"/>
      <c r="G690" s="15"/>
      <c r="H690" s="3" t="s">
        <v>2292</v>
      </c>
      <c r="I690"/>
      <c r="J690" s="166">
        <v>107053</v>
      </c>
      <c r="K690" s="3" t="s">
        <v>1769</v>
      </c>
      <c r="L690" s="11" t="s">
        <v>1770</v>
      </c>
      <c r="M690" s="13">
        <v>44777</v>
      </c>
      <c r="N690" s="86">
        <v>1971</v>
      </c>
      <c r="O690" s="28"/>
      <c r="Q690" s="141"/>
      <c r="R690" s="191">
        <v>1971</v>
      </c>
    </row>
    <row r="691" spans="1:18" s="1" customFormat="1" ht="15.75" customHeight="1" x14ac:dyDescent="0.3">
      <c r="A691" s="7" t="s">
        <v>2293</v>
      </c>
      <c r="B691" s="31" t="s">
        <v>2294</v>
      </c>
      <c r="C691" s="11" t="s">
        <v>4489</v>
      </c>
      <c r="D691" t="s">
        <v>4495</v>
      </c>
      <c r="E691" s="32"/>
      <c r="F691" s="33"/>
      <c r="G691" s="15"/>
      <c r="H691" s="3" t="s">
        <v>2295</v>
      </c>
      <c r="I691"/>
      <c r="J691" s="166">
        <v>185239</v>
      </c>
      <c r="K691" s="3" t="s">
        <v>2296</v>
      </c>
      <c r="L691" s="11" t="s">
        <v>2297</v>
      </c>
      <c r="M691" s="13">
        <v>44778</v>
      </c>
      <c r="N691" s="86">
        <v>2850.95</v>
      </c>
      <c r="O691" s="28"/>
      <c r="Q691" s="141"/>
      <c r="R691" s="191" t="s">
        <v>4862</v>
      </c>
    </row>
    <row r="692" spans="1:18" s="1" customFormat="1" ht="15.75" customHeight="1" x14ac:dyDescent="0.3">
      <c r="A692" s="130" t="s">
        <v>2298</v>
      </c>
      <c r="B692" s="139" t="s">
        <v>2299</v>
      </c>
      <c r="C692" s="11" t="s">
        <v>4489</v>
      </c>
      <c r="D692" t="s">
        <v>4494</v>
      </c>
      <c r="E692" s="141"/>
      <c r="F692" s="141" t="s">
        <v>4627</v>
      </c>
      <c r="G692" t="s">
        <v>4644</v>
      </c>
      <c r="H692" s="3" t="s">
        <v>2300</v>
      </c>
      <c r="I692"/>
      <c r="J692" s="166">
        <v>787816</v>
      </c>
      <c r="K692" s="3" t="s">
        <v>1854</v>
      </c>
      <c r="L692" s="11" t="s">
        <v>892</v>
      </c>
      <c r="M692" s="13">
        <v>44778</v>
      </c>
      <c r="N692" s="86">
        <v>1941</v>
      </c>
      <c r="O692" s="28"/>
      <c r="Q692" s="141"/>
      <c r="R692" s="191">
        <v>1941</v>
      </c>
    </row>
    <row r="693" spans="1:18" s="1" customFormat="1" ht="15.75" customHeight="1" x14ac:dyDescent="0.3">
      <c r="A693" s="130" t="s">
        <v>2301</v>
      </c>
      <c r="B693" s="139" t="s">
        <v>2302</v>
      </c>
      <c r="C693" s="11" t="s">
        <v>4520</v>
      </c>
      <c r="D693" t="s">
        <v>4496</v>
      </c>
      <c r="E693" s="32"/>
      <c r="F693" s="159"/>
      <c r="G693" s="10"/>
      <c r="H693" s="3" t="s">
        <v>4482</v>
      </c>
      <c r="I693"/>
      <c r="J693" s="166">
        <v>4402139</v>
      </c>
      <c r="K693" s="3" t="s">
        <v>2304</v>
      </c>
      <c r="L693" s="11" t="s">
        <v>2305</v>
      </c>
      <c r="M693" s="13">
        <v>44781</v>
      </c>
      <c r="N693" s="86">
        <v>4626.95</v>
      </c>
      <c r="O693" s="28"/>
      <c r="Q693" s="141"/>
      <c r="R693" s="191" t="s">
        <v>4863</v>
      </c>
    </row>
    <row r="694" spans="1:18" s="1" customFormat="1" ht="15.75" customHeight="1" x14ac:dyDescent="0.3">
      <c r="A694" s="130" t="s">
        <v>2306</v>
      </c>
      <c r="B694" s="139" t="s">
        <v>2307</v>
      </c>
      <c r="C694" s="11" t="s">
        <v>4490</v>
      </c>
      <c r="D694" t="s">
        <v>4495</v>
      </c>
      <c r="E694" s="32"/>
      <c r="F694" s="33"/>
      <c r="G694" s="15"/>
      <c r="H694" s="3" t="s">
        <v>2308</v>
      </c>
      <c r="I694"/>
      <c r="J694" s="166">
        <v>14</v>
      </c>
      <c r="K694" s="3" t="s">
        <v>2309</v>
      </c>
      <c r="L694" s="11" t="s">
        <v>2310</v>
      </c>
      <c r="M694" s="13">
        <v>44781</v>
      </c>
      <c r="N694" s="86">
        <v>248000</v>
      </c>
      <c r="O694" s="28"/>
      <c r="Q694" s="141"/>
      <c r="R694" s="191">
        <v>248000</v>
      </c>
    </row>
    <row r="695" spans="1:18" s="1" customFormat="1" ht="15.75" customHeight="1" x14ac:dyDescent="0.3">
      <c r="A695" s="130" t="s">
        <v>2311</v>
      </c>
      <c r="B695" s="139" t="s">
        <v>2312</v>
      </c>
      <c r="C695" s="11" t="s">
        <v>4490</v>
      </c>
      <c r="D695" t="s">
        <v>4492</v>
      </c>
      <c r="E695" s="141"/>
      <c r="F695" s="141" t="s">
        <v>2313</v>
      </c>
      <c r="G695" t="s">
        <v>4642</v>
      </c>
      <c r="H695" s="3" t="s">
        <v>2314</v>
      </c>
      <c r="I695"/>
      <c r="J695" s="166">
        <v>6742</v>
      </c>
      <c r="K695" s="3" t="s">
        <v>1275</v>
      </c>
      <c r="L695" s="11" t="s">
        <v>1526</v>
      </c>
      <c r="M695" s="13">
        <v>44781</v>
      </c>
      <c r="N695" s="86">
        <v>248000</v>
      </c>
      <c r="O695" s="28" t="s">
        <v>20</v>
      </c>
      <c r="Q695" s="141"/>
      <c r="R695" s="191">
        <v>248000</v>
      </c>
    </row>
    <row r="696" spans="1:18" s="1" customFormat="1" ht="15.75" customHeight="1" x14ac:dyDescent="0.3">
      <c r="A696" s="128" t="s">
        <v>2315</v>
      </c>
      <c r="B696" s="9" t="s">
        <v>2316</v>
      </c>
      <c r="C696" s="11" t="s">
        <v>4520</v>
      </c>
      <c r="D696" t="s">
        <v>4496</v>
      </c>
      <c r="E696" s="32"/>
      <c r="F696" s="159"/>
      <c r="G696" s="10"/>
      <c r="H696" s="3" t="s">
        <v>2317</v>
      </c>
      <c r="I696"/>
      <c r="J696" s="166">
        <v>14938005</v>
      </c>
      <c r="K696" s="3" t="s">
        <v>2318</v>
      </c>
      <c r="L696" s="11" t="s">
        <v>2319</v>
      </c>
      <c r="M696" s="13">
        <v>44789</v>
      </c>
      <c r="N696" s="86">
        <v>4484.6899999999996</v>
      </c>
      <c r="O696" s="28"/>
      <c r="Q696" s="141"/>
      <c r="R696" s="191" t="s">
        <v>4864</v>
      </c>
    </row>
    <row r="697" spans="1:18" s="1" customFormat="1" ht="15.75" customHeight="1" x14ac:dyDescent="0.3">
      <c r="A697" s="128" t="s">
        <v>2320</v>
      </c>
      <c r="B697" s="9" t="s">
        <v>2321</v>
      </c>
      <c r="C697" s="11" t="s">
        <v>4519</v>
      </c>
      <c r="D697" t="s">
        <v>4495</v>
      </c>
      <c r="E697" s="32"/>
      <c r="F697" s="15"/>
      <c r="G697" s="15"/>
      <c r="H697" s="3" t="s">
        <v>2322</v>
      </c>
      <c r="I697"/>
      <c r="J697" s="166">
        <v>7897125</v>
      </c>
      <c r="K697" s="3" t="s">
        <v>2323</v>
      </c>
      <c r="L697" s="11" t="s">
        <v>1587</v>
      </c>
      <c r="M697" s="13">
        <v>44792</v>
      </c>
      <c r="N697" s="86">
        <v>3551.98</v>
      </c>
      <c r="O697" s="28" t="s">
        <v>20</v>
      </c>
      <c r="Q697" s="141"/>
      <c r="R697" s="191" t="s">
        <v>4865</v>
      </c>
    </row>
    <row r="698" spans="1:18" s="1" customFormat="1" ht="15.75" customHeight="1" x14ac:dyDescent="0.3">
      <c r="A698" s="128" t="s">
        <v>2324</v>
      </c>
      <c r="B698" s="9" t="s">
        <v>2325</v>
      </c>
      <c r="C698" s="11" t="s">
        <v>4489</v>
      </c>
      <c r="D698" t="s">
        <v>4492</v>
      </c>
      <c r="E698" s="141"/>
      <c r="F698"/>
      <c r="G698"/>
      <c r="H698" s="3" t="s">
        <v>2326</v>
      </c>
      <c r="I698"/>
      <c r="J698" s="166">
        <v>22983</v>
      </c>
      <c r="K698" s="3" t="s">
        <v>1896</v>
      </c>
      <c r="L698" s="11" t="s">
        <v>1897</v>
      </c>
      <c r="M698" s="13">
        <v>44797</v>
      </c>
      <c r="N698" s="86">
        <v>2710</v>
      </c>
      <c r="O698" s="28" t="s">
        <v>20</v>
      </c>
      <c r="P698" s="1" t="s">
        <v>91</v>
      </c>
      <c r="Q698" s="141"/>
      <c r="R698" s="191">
        <v>2710</v>
      </c>
    </row>
    <row r="699" spans="1:18" s="1" customFormat="1" ht="15.75" customHeight="1" x14ac:dyDescent="0.3">
      <c r="A699" s="128" t="s">
        <v>2327</v>
      </c>
      <c r="B699" s="9" t="s">
        <v>2328</v>
      </c>
      <c r="C699" s="11" t="s">
        <v>4490</v>
      </c>
      <c r="D699" t="s">
        <v>4492</v>
      </c>
      <c r="E699" s="141"/>
      <c r="F699" t="s">
        <v>2329</v>
      </c>
      <c r="G699" t="s">
        <v>4617</v>
      </c>
      <c r="H699" s="3" t="s">
        <v>2330</v>
      </c>
      <c r="I699"/>
      <c r="J699" s="166">
        <v>111278</v>
      </c>
      <c r="K699" s="3" t="s">
        <v>2331</v>
      </c>
      <c r="L699" s="11" t="s">
        <v>2332</v>
      </c>
      <c r="M699" s="13">
        <v>44802</v>
      </c>
      <c r="N699" s="86">
        <v>750000</v>
      </c>
      <c r="O699" s="28"/>
      <c r="Q699" s="141"/>
      <c r="R699" s="191">
        <v>750000</v>
      </c>
    </row>
    <row r="700" spans="1:18" s="1" customFormat="1" ht="15.75" customHeight="1" x14ac:dyDescent="0.3">
      <c r="A700" s="128" t="s">
        <v>2333</v>
      </c>
      <c r="B700" s="9" t="s">
        <v>2334</v>
      </c>
      <c r="C700" s="11" t="s">
        <v>4519</v>
      </c>
      <c r="D700" t="s">
        <v>4495</v>
      </c>
      <c r="E700" s="32"/>
      <c r="F700" s="15"/>
      <c r="G700" s="15"/>
      <c r="H700" s="3" t="s">
        <v>2156</v>
      </c>
      <c r="I700"/>
      <c r="J700" s="166">
        <v>537262</v>
      </c>
      <c r="K700" s="3" t="s">
        <v>701</v>
      </c>
      <c r="L700" s="11" t="s">
        <v>730</v>
      </c>
      <c r="M700" s="13">
        <v>44803</v>
      </c>
      <c r="N700" s="86">
        <v>1737</v>
      </c>
      <c r="O700" s="28"/>
      <c r="Q700" s="141"/>
      <c r="R700" s="191">
        <v>1737</v>
      </c>
    </row>
    <row r="701" spans="1:18" s="1" customFormat="1" ht="15.75" customHeight="1" x14ac:dyDescent="0.3">
      <c r="A701" s="128" t="s">
        <v>2335</v>
      </c>
      <c r="B701" s="9" t="s">
        <v>2336</v>
      </c>
      <c r="C701" s="11" t="s">
        <v>4489</v>
      </c>
      <c r="D701" t="s">
        <v>4495</v>
      </c>
      <c r="E701" s="32"/>
      <c r="F701" s="15"/>
      <c r="G701" s="15"/>
      <c r="H701" s="3" t="s">
        <v>2337</v>
      </c>
      <c r="I701"/>
      <c r="J701" s="174"/>
      <c r="K701" s="15"/>
      <c r="L701" s="15"/>
      <c r="M701" s="13">
        <v>44804</v>
      </c>
      <c r="N701" s="86">
        <v>0</v>
      </c>
      <c r="O701" s="28"/>
      <c r="Q701" s="141"/>
      <c r="R701" s="191">
        <v>0</v>
      </c>
    </row>
    <row r="702" spans="1:18" s="1" customFormat="1" ht="15.75" customHeight="1" x14ac:dyDescent="0.3">
      <c r="A702" s="128" t="s">
        <v>2338</v>
      </c>
      <c r="B702" s="10" t="s">
        <v>2339</v>
      </c>
      <c r="C702" s="11" t="s">
        <v>4519</v>
      </c>
      <c r="D702" t="s">
        <v>4492</v>
      </c>
      <c r="E702" s="66"/>
      <c r="F702" s="15"/>
      <c r="G702" s="15"/>
      <c r="H702" s="11" t="s">
        <v>2340</v>
      </c>
      <c r="I702"/>
      <c r="J702" s="170">
        <v>538707</v>
      </c>
      <c r="K702" s="11" t="s">
        <v>701</v>
      </c>
      <c r="L702" s="11" t="s">
        <v>730</v>
      </c>
      <c r="M702" s="13">
        <v>44804</v>
      </c>
      <c r="N702" s="90">
        <v>2065.5</v>
      </c>
      <c r="O702" s="28"/>
      <c r="P702" s="1" t="s">
        <v>91</v>
      </c>
      <c r="Q702" s="141"/>
      <c r="R702" s="193" t="s">
        <v>4866</v>
      </c>
    </row>
    <row r="703" spans="1:18" s="1" customFormat="1" ht="15.75" customHeight="1" x14ac:dyDescent="0.3">
      <c r="A703" s="128" t="s">
        <v>2341</v>
      </c>
      <c r="B703" s="9" t="s">
        <v>2342</v>
      </c>
      <c r="C703" s="11" t="s">
        <v>4489</v>
      </c>
      <c r="D703" t="s">
        <v>4495</v>
      </c>
      <c r="E703" s="32"/>
      <c r="F703" s="15"/>
      <c r="G703" s="15"/>
      <c r="H703" s="3" t="s">
        <v>2343</v>
      </c>
      <c r="I703"/>
      <c r="J703" s="165">
        <v>29874</v>
      </c>
      <c r="K703" s="11" t="s">
        <v>1753</v>
      </c>
      <c r="L703" s="15" t="s">
        <v>1754</v>
      </c>
      <c r="M703" s="13">
        <v>44663</v>
      </c>
      <c r="N703" s="86">
        <v>100000</v>
      </c>
      <c r="O703" s="28"/>
      <c r="Q703" s="141"/>
      <c r="R703" s="191">
        <v>100000</v>
      </c>
    </row>
    <row r="704" spans="1:18" s="1" customFormat="1" ht="15.75" customHeight="1" x14ac:dyDescent="0.3">
      <c r="A704" s="128" t="s">
        <v>2344</v>
      </c>
      <c r="B704" s="9" t="s">
        <v>2345</v>
      </c>
      <c r="C704" s="11" t="s">
        <v>4490</v>
      </c>
      <c r="D704" t="s">
        <v>4495</v>
      </c>
      <c r="E704" s="141"/>
      <c r="F704" t="s">
        <v>4627</v>
      </c>
      <c r="G704"/>
      <c r="H704" s="3" t="s">
        <v>2346</v>
      </c>
      <c r="I704"/>
      <c r="J704" s="166">
        <v>28840</v>
      </c>
      <c r="K704" s="3" t="s">
        <v>1753</v>
      </c>
      <c r="L704" s="11" t="s">
        <v>1754</v>
      </c>
      <c r="M704" s="13">
        <v>44812</v>
      </c>
      <c r="N704" s="86">
        <v>72000</v>
      </c>
      <c r="O704" s="28"/>
      <c r="Q704" s="141"/>
      <c r="R704" s="191">
        <v>72000</v>
      </c>
    </row>
    <row r="705" spans="1:18" s="24" customFormat="1" ht="15.75" customHeight="1" x14ac:dyDescent="0.3">
      <c r="A705" s="128" t="s">
        <v>2347</v>
      </c>
      <c r="B705" s="9" t="s">
        <v>2348</v>
      </c>
      <c r="C705" s="11" t="s">
        <v>4489</v>
      </c>
      <c r="D705" t="s">
        <v>4495</v>
      </c>
      <c r="E705" s="141"/>
      <c r="F705">
        <v>5510001</v>
      </c>
      <c r="G705" t="s">
        <v>4618</v>
      </c>
      <c r="H705" s="3" t="s">
        <v>2349</v>
      </c>
      <c r="I705"/>
      <c r="J705" s="166">
        <v>34038</v>
      </c>
      <c r="K705" s="3" t="s">
        <v>2350</v>
      </c>
      <c r="L705" s="11" t="s">
        <v>2351</v>
      </c>
      <c r="M705" s="13">
        <v>44816</v>
      </c>
      <c r="N705" s="86">
        <v>2900</v>
      </c>
      <c r="O705" s="28"/>
      <c r="P705" s="1"/>
      <c r="Q705" s="141"/>
      <c r="R705" s="191">
        <v>2900</v>
      </c>
    </row>
    <row r="706" spans="1:18" s="24" customFormat="1" ht="15.75" customHeight="1" x14ac:dyDescent="0.3">
      <c r="A706" s="128" t="s">
        <v>2352</v>
      </c>
      <c r="B706" s="9" t="s">
        <v>2353</v>
      </c>
      <c r="C706" s="11" t="s">
        <v>4489</v>
      </c>
      <c r="D706" t="s">
        <v>4495</v>
      </c>
      <c r="E706"/>
      <c r="F706">
        <v>5511002</v>
      </c>
      <c r="G706" t="s">
        <v>4618</v>
      </c>
      <c r="H706" s="3" t="s">
        <v>2354</v>
      </c>
      <c r="I706"/>
      <c r="J706" s="174"/>
      <c r="K706" s="15"/>
      <c r="L706" s="15"/>
      <c r="M706" s="13">
        <v>44816</v>
      </c>
      <c r="N706" s="86">
        <v>13750</v>
      </c>
      <c r="O706" s="28"/>
      <c r="P706" s="1"/>
      <c r="Q706" s="141"/>
      <c r="R706" s="191">
        <v>13750</v>
      </c>
    </row>
    <row r="707" spans="1:18" s="1" customFormat="1" ht="15.75" customHeight="1" x14ac:dyDescent="0.3">
      <c r="A707" s="128" t="s">
        <v>2355</v>
      </c>
      <c r="B707" s="9" t="s">
        <v>2356</v>
      </c>
      <c r="C707" s="11" t="s">
        <v>4489</v>
      </c>
      <c r="D707" t="s">
        <v>4495</v>
      </c>
      <c r="E707"/>
      <c r="F707">
        <v>5515006</v>
      </c>
      <c r="G707" t="s">
        <v>4618</v>
      </c>
      <c r="H707" s="3" t="s">
        <v>2354</v>
      </c>
      <c r="I707"/>
      <c r="J707" s="174"/>
      <c r="K707" s="15"/>
      <c r="L707" s="15"/>
      <c r="M707" s="13">
        <v>44816</v>
      </c>
      <c r="N707" s="86">
        <v>13750</v>
      </c>
      <c r="O707" s="28"/>
      <c r="Q707" s="141"/>
      <c r="R707" s="191">
        <v>13750</v>
      </c>
    </row>
    <row r="708" spans="1:18" s="1" customFormat="1" ht="15.75" customHeight="1" x14ac:dyDescent="0.3">
      <c r="A708" s="128" t="s">
        <v>2357</v>
      </c>
      <c r="B708" s="9" t="s">
        <v>2358</v>
      </c>
      <c r="C708" s="11" t="s">
        <v>4487</v>
      </c>
      <c r="D708" t="s">
        <v>4494</v>
      </c>
      <c r="E708" s="141"/>
      <c r="F708" t="s">
        <v>2359</v>
      </c>
      <c r="G708" t="s">
        <v>4643</v>
      </c>
      <c r="H708" s="3" t="s">
        <v>1177</v>
      </c>
      <c r="I708"/>
      <c r="J708" s="166">
        <v>110207</v>
      </c>
      <c r="K708" s="3" t="s">
        <v>664</v>
      </c>
      <c r="L708" s="11" t="s">
        <v>1244</v>
      </c>
      <c r="M708" s="13">
        <v>44816</v>
      </c>
      <c r="N708" s="86">
        <v>15400</v>
      </c>
      <c r="O708" s="28" t="s">
        <v>20</v>
      </c>
      <c r="Q708" s="141"/>
      <c r="R708" s="191">
        <v>15400</v>
      </c>
    </row>
    <row r="709" spans="1:18" s="1" customFormat="1" ht="15.75" customHeight="1" x14ac:dyDescent="0.3">
      <c r="A709" s="128" t="s">
        <v>2360</v>
      </c>
      <c r="B709" s="9" t="s">
        <v>2361</v>
      </c>
      <c r="C709" s="11" t="s">
        <v>4487</v>
      </c>
      <c r="D709" t="s">
        <v>4494</v>
      </c>
      <c r="E709" s="141"/>
      <c r="F709" t="s">
        <v>2362</v>
      </c>
      <c r="G709" t="s">
        <v>4631</v>
      </c>
      <c r="H709" s="3" t="s">
        <v>1177</v>
      </c>
      <c r="I709"/>
      <c r="J709" s="166">
        <v>110463</v>
      </c>
      <c r="K709" s="3" t="s">
        <v>664</v>
      </c>
      <c r="L709" s="11" t="s">
        <v>1244</v>
      </c>
      <c r="M709" s="13">
        <v>44819</v>
      </c>
      <c r="N709" s="86">
        <v>15400</v>
      </c>
      <c r="O709" s="28" t="s">
        <v>20</v>
      </c>
      <c r="P709" s="1" t="s">
        <v>91</v>
      </c>
      <c r="Q709" s="141"/>
      <c r="R709" s="191">
        <v>15400</v>
      </c>
    </row>
    <row r="710" spans="1:18" s="1" customFormat="1" ht="15.75" customHeight="1" x14ac:dyDescent="0.3">
      <c r="A710" s="128" t="s">
        <v>2363</v>
      </c>
      <c r="B710" s="9" t="s">
        <v>2364</v>
      </c>
      <c r="C710" s="11" t="s">
        <v>4519</v>
      </c>
      <c r="D710" t="s">
        <v>4495</v>
      </c>
      <c r="E710" s="32"/>
      <c r="F710" s="15"/>
      <c r="G710" s="15"/>
      <c r="H710" s="3" t="s">
        <v>2365</v>
      </c>
      <c r="I710"/>
      <c r="J710" s="166">
        <v>118</v>
      </c>
      <c r="K710" s="3" t="s">
        <v>2366</v>
      </c>
      <c r="L710" s="11" t="s">
        <v>2367</v>
      </c>
      <c r="M710" s="13">
        <v>44825</v>
      </c>
      <c r="N710" s="86">
        <v>5500</v>
      </c>
      <c r="O710" s="28"/>
      <c r="Q710" s="141"/>
      <c r="R710" s="191">
        <v>5500</v>
      </c>
    </row>
    <row r="711" spans="1:18" s="1" customFormat="1" ht="15.75" customHeight="1" x14ac:dyDescent="0.3">
      <c r="A711" s="128" t="s">
        <v>2368</v>
      </c>
      <c r="B711" s="9" t="s">
        <v>2369</v>
      </c>
      <c r="C711" s="11" t="s">
        <v>4519</v>
      </c>
      <c r="D711" t="s">
        <v>4495</v>
      </c>
      <c r="E711" s="32"/>
      <c r="F711" s="15"/>
      <c r="G711" s="15"/>
      <c r="H711" s="3" t="s">
        <v>2370</v>
      </c>
      <c r="I711"/>
      <c r="J711" s="166">
        <v>118</v>
      </c>
      <c r="K711" s="3" t="s">
        <v>2366</v>
      </c>
      <c r="L711" s="11" t="s">
        <v>2367</v>
      </c>
      <c r="M711" s="13">
        <v>44825</v>
      </c>
      <c r="N711" s="86">
        <v>8200</v>
      </c>
      <c r="O711" s="28"/>
      <c r="Q711" s="141"/>
      <c r="R711" s="191">
        <v>8200</v>
      </c>
    </row>
    <row r="712" spans="1:18" s="1" customFormat="1" ht="15.75" customHeight="1" x14ac:dyDescent="0.3">
      <c r="A712" s="128" t="s">
        <v>2371</v>
      </c>
      <c r="B712" s="9" t="s">
        <v>2372</v>
      </c>
      <c r="C712" s="11" t="s">
        <v>4519</v>
      </c>
      <c r="D712" t="s">
        <v>4495</v>
      </c>
      <c r="E712" s="32"/>
      <c r="F712" s="15"/>
      <c r="G712" s="15"/>
      <c r="H712" s="3" t="s">
        <v>2373</v>
      </c>
      <c r="I712"/>
      <c r="J712" s="166">
        <v>134</v>
      </c>
      <c r="K712" s="3" t="s">
        <v>2366</v>
      </c>
      <c r="L712" s="11" t="s">
        <v>2367</v>
      </c>
      <c r="M712" s="13">
        <v>44825</v>
      </c>
      <c r="N712" s="86">
        <v>3990</v>
      </c>
      <c r="O712" s="28"/>
      <c r="Q712" s="141"/>
      <c r="R712" s="191">
        <v>3990</v>
      </c>
    </row>
    <row r="713" spans="1:18" s="1" customFormat="1" ht="15.75" customHeight="1" x14ac:dyDescent="0.3">
      <c r="A713" s="128" t="s">
        <v>2374</v>
      </c>
      <c r="B713" s="9" t="s">
        <v>2375</v>
      </c>
      <c r="C713" s="11" t="s">
        <v>4519</v>
      </c>
      <c r="D713" t="s">
        <v>4495</v>
      </c>
      <c r="E713" s="32"/>
      <c r="F713" s="15"/>
      <c r="G713" s="15"/>
      <c r="H713" s="3" t="s">
        <v>2376</v>
      </c>
      <c r="I713"/>
      <c r="J713" s="166">
        <v>134</v>
      </c>
      <c r="K713" s="3" t="s">
        <v>2366</v>
      </c>
      <c r="L713" s="11" t="s">
        <v>2367</v>
      </c>
      <c r="M713" s="13">
        <v>44825</v>
      </c>
      <c r="N713" s="86">
        <v>1813</v>
      </c>
      <c r="O713" s="28"/>
      <c r="Q713" s="141"/>
      <c r="R713" s="191">
        <v>1813</v>
      </c>
    </row>
    <row r="714" spans="1:18" s="1" customFormat="1" ht="15.75" customHeight="1" x14ac:dyDescent="0.3">
      <c r="A714" s="128" t="s">
        <v>2377</v>
      </c>
      <c r="B714" s="9" t="s">
        <v>2378</v>
      </c>
      <c r="C714" s="11" t="s">
        <v>4519</v>
      </c>
      <c r="D714" t="s">
        <v>4495</v>
      </c>
      <c r="E714" s="32"/>
      <c r="F714" s="15"/>
      <c r="G714" s="15"/>
      <c r="H714" s="3" t="s">
        <v>2379</v>
      </c>
      <c r="I714"/>
      <c r="J714" s="166">
        <v>134</v>
      </c>
      <c r="K714" s="3" t="s">
        <v>2366</v>
      </c>
      <c r="L714" s="11" t="s">
        <v>2367</v>
      </c>
      <c r="M714" s="13">
        <v>44825</v>
      </c>
      <c r="N714" s="86">
        <v>2933</v>
      </c>
      <c r="O714" s="28"/>
      <c r="Q714" s="141"/>
      <c r="R714" s="191">
        <v>2933</v>
      </c>
    </row>
    <row r="715" spans="1:18" s="1" customFormat="1" ht="15.75" customHeight="1" x14ac:dyDescent="0.3">
      <c r="A715" s="128" t="s">
        <v>2380</v>
      </c>
      <c r="B715" s="9" t="s">
        <v>2381</v>
      </c>
      <c r="C715" s="11" t="s">
        <v>4519</v>
      </c>
      <c r="D715" t="s">
        <v>4495</v>
      </c>
      <c r="E715" s="32"/>
      <c r="F715" s="15"/>
      <c r="G715" s="15"/>
      <c r="H715" s="3" t="s">
        <v>2382</v>
      </c>
      <c r="I715"/>
      <c r="J715" s="166">
        <v>134</v>
      </c>
      <c r="K715" s="3" t="s">
        <v>2366</v>
      </c>
      <c r="L715" s="11" t="s">
        <v>2367</v>
      </c>
      <c r="M715" s="13">
        <v>44825</v>
      </c>
      <c r="N715" s="86">
        <v>1883</v>
      </c>
      <c r="O715" s="28"/>
      <c r="Q715" s="141"/>
      <c r="R715" s="191">
        <v>1883</v>
      </c>
    </row>
    <row r="716" spans="1:18" s="1" customFormat="1" ht="15.75" customHeight="1" x14ac:dyDescent="0.3">
      <c r="A716" s="128" t="s">
        <v>2383</v>
      </c>
      <c r="B716" s="9" t="s">
        <v>2384</v>
      </c>
      <c r="C716" s="11" t="s">
        <v>4519</v>
      </c>
      <c r="D716" t="s">
        <v>4495</v>
      </c>
      <c r="E716" s="32"/>
      <c r="F716" s="15"/>
      <c r="G716" s="15"/>
      <c r="H716" s="3" t="s">
        <v>2385</v>
      </c>
      <c r="I716"/>
      <c r="J716" s="166">
        <v>134</v>
      </c>
      <c r="K716" s="3" t="s">
        <v>2366</v>
      </c>
      <c r="L716" s="11" t="s">
        <v>2367</v>
      </c>
      <c r="M716" s="13">
        <v>44825</v>
      </c>
      <c r="N716" s="86">
        <v>2513</v>
      </c>
      <c r="O716" s="28"/>
      <c r="Q716" s="141"/>
      <c r="R716" s="191">
        <v>2513</v>
      </c>
    </row>
    <row r="717" spans="1:18" s="1" customFormat="1" ht="15.75" customHeight="1" x14ac:dyDescent="0.3">
      <c r="A717" s="128" t="s">
        <v>2386</v>
      </c>
      <c r="B717" s="9" t="s">
        <v>2387</v>
      </c>
      <c r="C717" s="11" t="s">
        <v>4487</v>
      </c>
      <c r="D717" t="s">
        <v>4494</v>
      </c>
      <c r="E717" s="141"/>
      <c r="F717" t="s">
        <v>2388</v>
      </c>
      <c r="G717" t="s">
        <v>4616</v>
      </c>
      <c r="H717" s="3" t="s">
        <v>1177</v>
      </c>
      <c r="I717"/>
      <c r="J717" s="166">
        <v>110463</v>
      </c>
      <c r="K717" s="3" t="s">
        <v>664</v>
      </c>
      <c r="L717" s="11" t="s">
        <v>1244</v>
      </c>
      <c r="M717" s="13">
        <v>44826</v>
      </c>
      <c r="N717" s="86">
        <v>15400</v>
      </c>
      <c r="O717" s="28" t="s">
        <v>20</v>
      </c>
      <c r="P717" s="1" t="s">
        <v>44</v>
      </c>
      <c r="Q717" s="141"/>
      <c r="R717" s="191">
        <v>15400</v>
      </c>
    </row>
    <row r="718" spans="1:18" s="1" customFormat="1" ht="15.75" customHeight="1" x14ac:dyDescent="0.3">
      <c r="A718" s="128" t="s">
        <v>2389</v>
      </c>
      <c r="B718" s="9" t="s">
        <v>2390</v>
      </c>
      <c r="C718" s="11" t="s">
        <v>4490</v>
      </c>
      <c r="D718" t="s">
        <v>4495</v>
      </c>
      <c r="E718" s="141"/>
      <c r="F718" t="s">
        <v>2391</v>
      </c>
      <c r="G718"/>
      <c r="H718" s="3" t="s">
        <v>2392</v>
      </c>
      <c r="I718"/>
      <c r="J718" s="166">
        <v>949</v>
      </c>
      <c r="K718" s="3" t="s">
        <v>2393</v>
      </c>
      <c r="L718" s="11" t="s">
        <v>2394</v>
      </c>
      <c r="M718" s="13">
        <v>44832</v>
      </c>
      <c r="N718" s="86">
        <v>300000</v>
      </c>
      <c r="O718" s="28" t="s">
        <v>20</v>
      </c>
      <c r="Q718" s="141"/>
      <c r="R718" s="191">
        <v>300000</v>
      </c>
    </row>
    <row r="719" spans="1:18" s="1" customFormat="1" ht="15.75" customHeight="1" x14ac:dyDescent="0.3">
      <c r="A719" s="128" t="s">
        <v>2395</v>
      </c>
      <c r="B719" s="9" t="s">
        <v>2396</v>
      </c>
      <c r="C719" s="11" t="s">
        <v>4519</v>
      </c>
      <c r="D719" t="s">
        <v>4492</v>
      </c>
      <c r="E719" s="32"/>
      <c r="F719" s="15"/>
      <c r="G719" s="15"/>
      <c r="H719" s="3" t="s">
        <v>2340</v>
      </c>
      <c r="I719"/>
      <c r="J719" s="166">
        <v>542579</v>
      </c>
      <c r="K719" s="3" t="s">
        <v>701</v>
      </c>
      <c r="L719" s="11" t="s">
        <v>730</v>
      </c>
      <c r="M719" s="13">
        <v>44832</v>
      </c>
      <c r="N719" s="86">
        <v>1999</v>
      </c>
      <c r="O719" s="28" t="s">
        <v>20</v>
      </c>
      <c r="P719" s="1" t="s">
        <v>91</v>
      </c>
      <c r="Q719" s="141"/>
      <c r="R719" s="191">
        <v>1999</v>
      </c>
    </row>
    <row r="720" spans="1:18" s="1" customFormat="1" ht="15.75" customHeight="1" x14ac:dyDescent="0.3">
      <c r="A720" s="128" t="s">
        <v>2397</v>
      </c>
      <c r="B720" s="9" t="s">
        <v>2398</v>
      </c>
      <c r="C720" s="11" t="s">
        <v>4490</v>
      </c>
      <c r="D720" t="s">
        <v>4494</v>
      </c>
      <c r="E720" s="141"/>
      <c r="F720" t="s">
        <v>2399</v>
      </c>
      <c r="G720" t="s">
        <v>4629</v>
      </c>
      <c r="H720" s="3" t="s">
        <v>2400</v>
      </c>
      <c r="I720"/>
      <c r="J720" s="166">
        <v>2238</v>
      </c>
      <c r="K720" s="3" t="s">
        <v>2401</v>
      </c>
      <c r="L720" s="11" t="s">
        <v>2402</v>
      </c>
      <c r="M720" s="13">
        <v>44832</v>
      </c>
      <c r="N720" s="86">
        <v>1650000</v>
      </c>
      <c r="O720" s="28" t="s">
        <v>20</v>
      </c>
      <c r="P720" s="1" t="s">
        <v>44</v>
      </c>
      <c r="Q720" s="141"/>
      <c r="R720" s="191">
        <v>1650000</v>
      </c>
    </row>
    <row r="721" spans="1:18" s="1" customFormat="1" ht="15.75" customHeight="1" x14ac:dyDescent="0.3">
      <c r="A721" s="128" t="s">
        <v>2403</v>
      </c>
      <c r="B721" s="9" t="s">
        <v>2404</v>
      </c>
      <c r="C721" s="11" t="s">
        <v>4520</v>
      </c>
      <c r="D721" t="s">
        <v>4495</v>
      </c>
      <c r="E721" s="32"/>
      <c r="F721" s="10"/>
      <c r="G721" s="10"/>
      <c r="H721" s="3" t="s">
        <v>2405</v>
      </c>
      <c r="I721"/>
      <c r="J721" s="166">
        <v>30642</v>
      </c>
      <c r="K721" s="3" t="s">
        <v>2406</v>
      </c>
      <c r="L721" s="11" t="s">
        <v>2407</v>
      </c>
      <c r="M721" s="13">
        <v>44837</v>
      </c>
      <c r="N721" s="86">
        <v>6201.6</v>
      </c>
      <c r="O721" s="28"/>
      <c r="Q721" s="141"/>
      <c r="R721" s="191" t="s">
        <v>4867</v>
      </c>
    </row>
    <row r="722" spans="1:18" s="1" customFormat="1" ht="15.75" customHeight="1" x14ac:dyDescent="0.3">
      <c r="A722" s="128" t="s">
        <v>2408</v>
      </c>
      <c r="B722" s="9" t="s">
        <v>2409</v>
      </c>
      <c r="C722" s="11" t="s">
        <v>4489</v>
      </c>
      <c r="D722" t="s">
        <v>4493</v>
      </c>
      <c r="E722" s="141"/>
      <c r="F722">
        <v>5517008</v>
      </c>
      <c r="G722" t="s">
        <v>4618</v>
      </c>
      <c r="H722" s="3" t="s">
        <v>2410</v>
      </c>
      <c r="I722"/>
      <c r="J722" s="166">
        <v>110824</v>
      </c>
      <c r="K722" s="3" t="s">
        <v>664</v>
      </c>
      <c r="L722" s="11" t="s">
        <v>1244</v>
      </c>
      <c r="M722" s="13">
        <v>44838</v>
      </c>
      <c r="N722" s="86">
        <v>3357</v>
      </c>
      <c r="O722" s="28"/>
      <c r="Q722" s="141"/>
      <c r="R722" s="191">
        <v>3357</v>
      </c>
    </row>
    <row r="723" spans="1:18" s="1" customFormat="1" ht="15.75" customHeight="1" x14ac:dyDescent="0.3">
      <c r="A723" s="128" t="s">
        <v>2411</v>
      </c>
      <c r="B723" s="9" t="s">
        <v>2412</v>
      </c>
      <c r="C723" s="3" t="s">
        <v>4520</v>
      </c>
      <c r="D723" t="s">
        <v>4495</v>
      </c>
      <c r="E723" s="32"/>
      <c r="F723" s="10"/>
      <c r="G723" s="10"/>
      <c r="H723" s="3" t="s">
        <v>2413</v>
      </c>
      <c r="I723"/>
      <c r="J723" s="166">
        <v>162</v>
      </c>
      <c r="K723" s="3" t="s">
        <v>2414</v>
      </c>
      <c r="L723" s="11" t="s">
        <v>2415</v>
      </c>
      <c r="M723" s="13">
        <v>44840</v>
      </c>
      <c r="N723" s="86">
        <v>2992</v>
      </c>
      <c r="O723" s="28" t="s">
        <v>20</v>
      </c>
      <c r="P723" s="1" t="s">
        <v>66</v>
      </c>
      <c r="Q723" s="141"/>
      <c r="R723" s="191">
        <v>2992</v>
      </c>
    </row>
    <row r="724" spans="1:18" s="1" customFormat="1" ht="15.75" customHeight="1" x14ac:dyDescent="0.3">
      <c r="A724" s="128" t="s">
        <v>2416</v>
      </c>
      <c r="B724" s="9" t="s">
        <v>2417</v>
      </c>
      <c r="C724" s="11" t="s">
        <v>4519</v>
      </c>
      <c r="D724" t="s">
        <v>4496</v>
      </c>
      <c r="E724" s="32"/>
      <c r="F724" s="15"/>
      <c r="G724" s="15"/>
      <c r="H724" s="3" t="s">
        <v>2418</v>
      </c>
      <c r="I724"/>
      <c r="J724" s="166">
        <v>4141</v>
      </c>
      <c r="K724" s="3" t="s">
        <v>2419</v>
      </c>
      <c r="L724" s="11" t="s">
        <v>188</v>
      </c>
      <c r="M724" s="13">
        <v>44840</v>
      </c>
      <c r="N724" s="86">
        <v>2325</v>
      </c>
      <c r="O724" s="28"/>
      <c r="Q724" s="141"/>
      <c r="R724" s="191">
        <v>2325</v>
      </c>
    </row>
    <row r="725" spans="1:18" s="1" customFormat="1" ht="15.75" customHeight="1" x14ac:dyDescent="0.3">
      <c r="A725" s="128" t="s">
        <v>2420</v>
      </c>
      <c r="B725" s="9" t="s">
        <v>2421</v>
      </c>
      <c r="C725" s="11" t="s">
        <v>4489</v>
      </c>
      <c r="D725" t="s">
        <v>4495</v>
      </c>
      <c r="E725" s="141"/>
      <c r="F725">
        <v>5512003</v>
      </c>
      <c r="G725" t="s">
        <v>4618</v>
      </c>
      <c r="H725" s="3" t="s">
        <v>2422</v>
      </c>
      <c r="I725"/>
      <c r="J725" s="176">
        <v>1539072</v>
      </c>
      <c r="K725" s="3" t="s">
        <v>2423</v>
      </c>
      <c r="L725" s="11" t="s">
        <v>2424</v>
      </c>
      <c r="M725" s="13">
        <v>44844</v>
      </c>
      <c r="N725" s="86">
        <v>1899.9</v>
      </c>
      <c r="O725" s="28" t="s">
        <v>20</v>
      </c>
      <c r="Q725" s="141"/>
      <c r="R725" s="191" t="s">
        <v>4767</v>
      </c>
    </row>
    <row r="726" spans="1:18" s="1" customFormat="1" ht="15.75" customHeight="1" x14ac:dyDescent="0.3">
      <c r="A726" s="128" t="s">
        <v>2425</v>
      </c>
      <c r="B726" s="9" t="s">
        <v>2426</v>
      </c>
      <c r="C726" s="11" t="s">
        <v>4519</v>
      </c>
      <c r="D726" t="s">
        <v>4495</v>
      </c>
      <c r="E726" s="32"/>
      <c r="F726" s="15"/>
      <c r="G726" s="15"/>
      <c r="H726" s="3" t="s">
        <v>2427</v>
      </c>
      <c r="I726"/>
      <c r="J726" s="176">
        <v>1942181</v>
      </c>
      <c r="K726" s="3" t="s">
        <v>2428</v>
      </c>
      <c r="L726" s="11" t="s">
        <v>2429</v>
      </c>
      <c r="M726" s="13">
        <v>44852</v>
      </c>
      <c r="N726" s="86">
        <v>2992.1</v>
      </c>
      <c r="O726" s="28" t="s">
        <v>20</v>
      </c>
      <c r="P726" s="1" t="s">
        <v>66</v>
      </c>
      <c r="Q726" s="141"/>
      <c r="R726" s="191" t="s">
        <v>4868</v>
      </c>
    </row>
    <row r="727" spans="1:18" s="1" customFormat="1" ht="15.75" customHeight="1" x14ac:dyDescent="0.3">
      <c r="A727" s="128" t="s">
        <v>2430</v>
      </c>
      <c r="B727" s="9" t="s">
        <v>2431</v>
      </c>
      <c r="C727" s="11" t="s">
        <v>4519</v>
      </c>
      <c r="D727" t="s">
        <v>4495</v>
      </c>
      <c r="E727" s="32"/>
      <c r="F727" s="15"/>
      <c r="G727" s="15"/>
      <c r="H727" s="3" t="s">
        <v>2432</v>
      </c>
      <c r="I727"/>
      <c r="J727" s="176">
        <v>1942181</v>
      </c>
      <c r="K727" s="3" t="s">
        <v>2428</v>
      </c>
      <c r="L727" s="11" t="s">
        <v>2429</v>
      </c>
      <c r="M727" s="13">
        <v>44852</v>
      </c>
      <c r="N727" s="86">
        <v>3147.16</v>
      </c>
      <c r="O727" s="28" t="s">
        <v>20</v>
      </c>
      <c r="P727" s="1" t="s">
        <v>66</v>
      </c>
      <c r="Q727" s="141"/>
      <c r="R727" s="191" t="s">
        <v>4869</v>
      </c>
    </row>
    <row r="728" spans="1:18" s="1" customFormat="1" ht="15.75" customHeight="1" x14ac:dyDescent="0.3">
      <c r="A728" s="128" t="s">
        <v>2433</v>
      </c>
      <c r="B728" s="9" t="s">
        <v>2434</v>
      </c>
      <c r="C728" s="11" t="s">
        <v>4519</v>
      </c>
      <c r="D728" t="s">
        <v>4495</v>
      </c>
      <c r="E728" s="32"/>
      <c r="F728" s="15"/>
      <c r="G728" s="15"/>
      <c r="H728" s="3" t="s">
        <v>2435</v>
      </c>
      <c r="I728"/>
      <c r="J728" s="176">
        <v>4779966</v>
      </c>
      <c r="K728" s="3" t="s">
        <v>2428</v>
      </c>
      <c r="L728" s="11" t="s">
        <v>2429</v>
      </c>
      <c r="M728" s="13">
        <v>44852</v>
      </c>
      <c r="N728" s="86">
        <v>3466.65</v>
      </c>
      <c r="O728" s="28"/>
      <c r="Q728" s="141"/>
      <c r="R728" s="191" t="s">
        <v>4870</v>
      </c>
    </row>
    <row r="729" spans="1:18" s="1" customFormat="1" ht="15.75" customHeight="1" x14ac:dyDescent="0.3">
      <c r="A729" s="128" t="s">
        <v>2436</v>
      </c>
      <c r="B729" s="9" t="s">
        <v>2437</v>
      </c>
      <c r="C729" s="11" t="s">
        <v>4519</v>
      </c>
      <c r="D729" t="s">
        <v>4495</v>
      </c>
      <c r="E729" s="32"/>
      <c r="F729" s="15"/>
      <c r="G729" s="15"/>
      <c r="H729" s="3" t="s">
        <v>2438</v>
      </c>
      <c r="I729"/>
      <c r="J729" s="166">
        <v>4779966</v>
      </c>
      <c r="K729" s="3" t="s">
        <v>2428</v>
      </c>
      <c r="L729" s="11" t="s">
        <v>2429</v>
      </c>
      <c r="M729" s="13">
        <v>44852</v>
      </c>
      <c r="N729" s="86">
        <v>7031.97</v>
      </c>
      <c r="O729" s="28"/>
      <c r="Q729" s="141"/>
      <c r="R729" s="191" t="s">
        <v>4871</v>
      </c>
    </row>
    <row r="730" spans="1:18" s="1" customFormat="1" ht="15.75" customHeight="1" x14ac:dyDescent="0.3">
      <c r="A730" s="128" t="s">
        <v>2439</v>
      </c>
      <c r="B730" s="9" t="s">
        <v>2440</v>
      </c>
      <c r="C730" s="11" t="s">
        <v>4519</v>
      </c>
      <c r="D730" t="s">
        <v>4495</v>
      </c>
      <c r="E730" s="32"/>
      <c r="F730" s="15"/>
      <c r="G730" s="15"/>
      <c r="H730" s="3" t="s">
        <v>2441</v>
      </c>
      <c r="I730"/>
      <c r="J730" s="166">
        <v>218481</v>
      </c>
      <c r="K730" s="3" t="s">
        <v>1089</v>
      </c>
      <c r="L730" s="11" t="s">
        <v>1090</v>
      </c>
      <c r="M730" s="13">
        <v>44854</v>
      </c>
      <c r="N730" s="86">
        <v>3899</v>
      </c>
      <c r="O730" s="28" t="s">
        <v>20</v>
      </c>
      <c r="Q730" s="141"/>
      <c r="R730" s="191">
        <v>3899</v>
      </c>
    </row>
    <row r="731" spans="1:18" s="1" customFormat="1" ht="15.75" customHeight="1" x14ac:dyDescent="0.3">
      <c r="A731" s="128" t="s">
        <v>2442</v>
      </c>
      <c r="B731" s="9" t="s">
        <v>2443</v>
      </c>
      <c r="C731" s="11" t="s">
        <v>4489</v>
      </c>
      <c r="D731" t="s">
        <v>4496</v>
      </c>
      <c r="E731" s="32"/>
      <c r="F731" s="15"/>
      <c r="G731" s="15"/>
      <c r="H731" s="3" t="s">
        <v>2444</v>
      </c>
      <c r="I731"/>
      <c r="J731" s="175"/>
      <c r="K731" s="15"/>
      <c r="L731" s="15"/>
      <c r="M731" s="13">
        <v>44855</v>
      </c>
      <c r="N731" s="86">
        <v>1690</v>
      </c>
      <c r="O731" s="28" t="s">
        <v>20</v>
      </c>
      <c r="P731" s="1" t="s">
        <v>78</v>
      </c>
      <c r="Q731" s="141"/>
      <c r="R731" s="191">
        <v>1690</v>
      </c>
    </row>
    <row r="732" spans="1:18" s="1" customFormat="1" ht="15.75" customHeight="1" x14ac:dyDescent="0.3">
      <c r="A732" s="128" t="s">
        <v>2445</v>
      </c>
      <c r="B732" s="9" t="s">
        <v>2446</v>
      </c>
      <c r="C732" s="11" t="s">
        <v>4519</v>
      </c>
      <c r="D732" t="s">
        <v>4492</v>
      </c>
      <c r="E732" s="32"/>
      <c r="F732" s="15"/>
      <c r="G732" s="15"/>
      <c r="H732" s="3" t="s">
        <v>2447</v>
      </c>
      <c r="I732"/>
      <c r="J732" s="166">
        <v>28192</v>
      </c>
      <c r="K732" s="3" t="s">
        <v>2448</v>
      </c>
      <c r="L732" s="11" t="s">
        <v>2449</v>
      </c>
      <c r="M732" s="13">
        <v>44855</v>
      </c>
      <c r="N732" s="86">
        <v>3609.05</v>
      </c>
      <c r="O732" s="28" t="s">
        <v>20</v>
      </c>
      <c r="P732" s="1" t="s">
        <v>91</v>
      </c>
      <c r="Q732" s="141"/>
      <c r="R732" s="191" t="s">
        <v>4872</v>
      </c>
    </row>
    <row r="733" spans="1:18" s="1" customFormat="1" ht="15.75" customHeight="1" x14ac:dyDescent="0.3">
      <c r="A733" s="128" t="s">
        <v>2450</v>
      </c>
      <c r="B733" s="9" t="s">
        <v>2451</v>
      </c>
      <c r="C733" s="11" t="s">
        <v>4489</v>
      </c>
      <c r="D733" t="s">
        <v>4495</v>
      </c>
      <c r="E733" s="141"/>
      <c r="F733">
        <v>5516007</v>
      </c>
      <c r="G733" t="s">
        <v>4618</v>
      </c>
      <c r="H733" s="3" t="s">
        <v>2452</v>
      </c>
      <c r="I733"/>
      <c r="J733" s="166">
        <v>195702</v>
      </c>
      <c r="K733" s="3" t="s">
        <v>2453</v>
      </c>
      <c r="L733" s="11" t="s">
        <v>2454</v>
      </c>
      <c r="M733" s="13">
        <v>44858</v>
      </c>
      <c r="N733" s="86">
        <v>48900</v>
      </c>
      <c r="O733" s="28"/>
      <c r="Q733" s="141"/>
      <c r="R733" s="191">
        <v>48900</v>
      </c>
    </row>
    <row r="734" spans="1:18" s="1" customFormat="1" ht="15.75" customHeight="1" x14ac:dyDescent="0.3">
      <c r="A734" s="128" t="s">
        <v>2455</v>
      </c>
      <c r="B734" s="9" t="s">
        <v>2456</v>
      </c>
      <c r="C734" s="11" t="s">
        <v>4519</v>
      </c>
      <c r="D734" t="s">
        <v>4495</v>
      </c>
      <c r="E734" s="32"/>
      <c r="F734" s="15"/>
      <c r="G734" s="15"/>
      <c r="H734" s="3" t="s">
        <v>2457</v>
      </c>
      <c r="I734"/>
      <c r="J734" s="166">
        <v>3085</v>
      </c>
      <c r="K734" s="3" t="s">
        <v>1692</v>
      </c>
      <c r="L734" s="11" t="s">
        <v>1693</v>
      </c>
      <c r="M734" s="13">
        <v>44859</v>
      </c>
      <c r="N734" s="86">
        <v>2369</v>
      </c>
      <c r="O734" s="28" t="s">
        <v>20</v>
      </c>
      <c r="Q734" s="141"/>
      <c r="R734" s="191">
        <v>2369</v>
      </c>
    </row>
    <row r="735" spans="1:18" s="1" customFormat="1" ht="15.75" customHeight="1" x14ac:dyDescent="0.3">
      <c r="A735" s="128" t="s">
        <v>2458</v>
      </c>
      <c r="B735" s="9" t="s">
        <v>2459</v>
      </c>
      <c r="C735" s="11" t="s">
        <v>4490</v>
      </c>
      <c r="D735" t="s">
        <v>4498</v>
      </c>
      <c r="E735" s="141"/>
      <c r="F735" t="s">
        <v>2460</v>
      </c>
      <c r="G735"/>
      <c r="H735" s="3" t="s">
        <v>2461</v>
      </c>
      <c r="I735"/>
      <c r="J735" s="166">
        <v>115271</v>
      </c>
      <c r="K735" s="3" t="s">
        <v>2462</v>
      </c>
      <c r="L735" s="11" t="s">
        <v>2463</v>
      </c>
      <c r="M735" s="13">
        <v>44865</v>
      </c>
      <c r="N735" s="86">
        <v>138990</v>
      </c>
      <c r="O735" s="28" t="s">
        <v>20</v>
      </c>
      <c r="P735" s="1" t="s">
        <v>44</v>
      </c>
      <c r="Q735" s="141"/>
      <c r="R735" s="191">
        <v>138990</v>
      </c>
    </row>
    <row r="736" spans="1:18" s="1" customFormat="1" ht="15.75" customHeight="1" x14ac:dyDescent="0.3">
      <c r="A736" s="128" t="s">
        <v>2464</v>
      </c>
      <c r="B736" s="9" t="s">
        <v>2465</v>
      </c>
      <c r="C736" s="11" t="s">
        <v>4519</v>
      </c>
      <c r="D736" t="s">
        <v>4495</v>
      </c>
      <c r="E736" s="32"/>
      <c r="F736" s="15"/>
      <c r="G736" s="15"/>
      <c r="H736" s="3" t="s">
        <v>2466</v>
      </c>
      <c r="I736"/>
      <c r="J736" s="166">
        <v>219460</v>
      </c>
      <c r="K736" s="3" t="s">
        <v>1089</v>
      </c>
      <c r="L736" s="11" t="s">
        <v>1090</v>
      </c>
      <c r="M736" s="13">
        <v>44868</v>
      </c>
      <c r="N736" s="86">
        <v>2123.44</v>
      </c>
      <c r="O736" s="28" t="s">
        <v>20</v>
      </c>
      <c r="P736" s="1" t="s">
        <v>66</v>
      </c>
      <c r="Q736" s="141"/>
      <c r="R736" s="191" t="s">
        <v>4873</v>
      </c>
    </row>
    <row r="737" spans="1:18" s="1" customFormat="1" ht="15.75" customHeight="1" x14ac:dyDescent="0.3">
      <c r="A737" s="128" t="s">
        <v>2467</v>
      </c>
      <c r="B737" s="9" t="s">
        <v>2468</v>
      </c>
      <c r="C737" s="11" t="s">
        <v>4519</v>
      </c>
      <c r="D737" t="s">
        <v>4495</v>
      </c>
      <c r="E737" s="3"/>
      <c r="F737" s="15"/>
      <c r="G737" s="15"/>
      <c r="H737" s="3" t="s">
        <v>2469</v>
      </c>
      <c r="I737"/>
      <c r="J737" s="166">
        <v>219460</v>
      </c>
      <c r="K737" s="3" t="s">
        <v>1089</v>
      </c>
      <c r="L737" s="11" t="s">
        <v>1090</v>
      </c>
      <c r="M737" s="13">
        <v>44868</v>
      </c>
      <c r="N737" s="86">
        <v>2413.13</v>
      </c>
      <c r="O737" s="28" t="s">
        <v>20</v>
      </c>
      <c r="P737" s="1" t="s">
        <v>66</v>
      </c>
      <c r="Q737" s="141"/>
      <c r="R737" s="191" t="s">
        <v>4874</v>
      </c>
    </row>
    <row r="738" spans="1:18" s="1" customFormat="1" ht="15.75" customHeight="1" x14ac:dyDescent="0.3">
      <c r="A738" s="128" t="s">
        <v>2470</v>
      </c>
      <c r="B738" s="9" t="s">
        <v>2471</v>
      </c>
      <c r="C738" s="11" t="s">
        <v>4519</v>
      </c>
      <c r="D738" t="s">
        <v>4495</v>
      </c>
      <c r="E738" s="32"/>
      <c r="F738" s="15"/>
      <c r="G738" s="15"/>
      <c r="H738" s="3" t="s">
        <v>2472</v>
      </c>
      <c r="I738"/>
      <c r="J738" s="166">
        <v>219460</v>
      </c>
      <c r="K738" s="3" t="s">
        <v>1089</v>
      </c>
      <c r="L738" s="11" t="s">
        <v>1090</v>
      </c>
      <c r="M738" s="13">
        <v>44868</v>
      </c>
      <c r="N738" s="86">
        <v>3267.71</v>
      </c>
      <c r="O738" s="28" t="s">
        <v>20</v>
      </c>
      <c r="P738" s="1" t="s">
        <v>66</v>
      </c>
      <c r="Q738" s="141"/>
      <c r="R738" s="191" t="s">
        <v>4875</v>
      </c>
    </row>
    <row r="739" spans="1:18" s="1" customFormat="1" ht="15.75" customHeight="1" x14ac:dyDescent="0.3">
      <c r="A739" s="128" t="s">
        <v>2473</v>
      </c>
      <c r="B739" s="9" t="s">
        <v>2474</v>
      </c>
      <c r="C739" s="11" t="s">
        <v>4519</v>
      </c>
      <c r="D739" t="s">
        <v>4495</v>
      </c>
      <c r="E739" s="32"/>
      <c r="F739" s="15"/>
      <c r="G739" s="15"/>
      <c r="H739" s="3" t="s">
        <v>2475</v>
      </c>
      <c r="I739"/>
      <c r="J739" s="166">
        <v>219460</v>
      </c>
      <c r="K739" s="3" t="s">
        <v>1089</v>
      </c>
      <c r="L739" s="11" t="s">
        <v>1090</v>
      </c>
      <c r="M739" s="13">
        <v>44868</v>
      </c>
      <c r="N739" s="86">
        <v>4247.84</v>
      </c>
      <c r="O739" s="28"/>
      <c r="Q739" s="141"/>
      <c r="R739" s="191" t="s">
        <v>4876</v>
      </c>
    </row>
    <row r="740" spans="1:18" s="1" customFormat="1" ht="15.75" customHeight="1" x14ac:dyDescent="0.3">
      <c r="A740" s="128" t="s">
        <v>2476</v>
      </c>
      <c r="B740" s="9" t="s">
        <v>2477</v>
      </c>
      <c r="C740" s="11" t="s">
        <v>4519</v>
      </c>
      <c r="D740" t="s">
        <v>4495</v>
      </c>
      <c r="E740" s="32"/>
      <c r="F740" s="15"/>
      <c r="G740" s="15"/>
      <c r="H740" s="3" t="s">
        <v>2466</v>
      </c>
      <c r="I740"/>
      <c r="J740" s="166">
        <v>219460</v>
      </c>
      <c r="K740" s="3" t="s">
        <v>1089</v>
      </c>
      <c r="L740" s="11" t="s">
        <v>1090</v>
      </c>
      <c r="M740" s="13">
        <v>44868</v>
      </c>
      <c r="N740" s="86">
        <v>2123.44</v>
      </c>
      <c r="O740" s="28" t="s">
        <v>20</v>
      </c>
      <c r="P740" s="1" t="s">
        <v>66</v>
      </c>
      <c r="Q740" s="141"/>
      <c r="R740" s="191" t="s">
        <v>4873</v>
      </c>
    </row>
    <row r="741" spans="1:18" s="1" customFormat="1" ht="15.75" customHeight="1" x14ac:dyDescent="0.3">
      <c r="A741" s="128" t="s">
        <v>2478</v>
      </c>
      <c r="B741" s="9" t="s">
        <v>2479</v>
      </c>
      <c r="C741" s="11" t="s">
        <v>4519</v>
      </c>
      <c r="D741" t="s">
        <v>4495</v>
      </c>
      <c r="E741" s="32"/>
      <c r="F741" s="15"/>
      <c r="G741" s="15"/>
      <c r="H741" s="3" t="s">
        <v>2466</v>
      </c>
      <c r="I741"/>
      <c r="J741" s="166">
        <v>219460</v>
      </c>
      <c r="K741" s="3" t="s">
        <v>1089</v>
      </c>
      <c r="L741" s="11" t="s">
        <v>1090</v>
      </c>
      <c r="M741" s="13">
        <v>44868</v>
      </c>
      <c r="N741" s="86">
        <v>2123.44</v>
      </c>
      <c r="O741" s="28" t="s">
        <v>20</v>
      </c>
      <c r="P741" s="1" t="s">
        <v>66</v>
      </c>
      <c r="Q741" s="141"/>
      <c r="R741" s="191" t="s">
        <v>4873</v>
      </c>
    </row>
    <row r="742" spans="1:18" s="1" customFormat="1" ht="15.75" customHeight="1" x14ac:dyDescent="0.3">
      <c r="A742" s="128" t="s">
        <v>2480</v>
      </c>
      <c r="B742" s="9" t="s">
        <v>2481</v>
      </c>
      <c r="C742" s="11" t="s">
        <v>4519</v>
      </c>
      <c r="D742" t="s">
        <v>4496</v>
      </c>
      <c r="E742" s="32"/>
      <c r="F742" s="15"/>
      <c r="G742" s="15"/>
      <c r="H742" s="3" t="s">
        <v>2482</v>
      </c>
      <c r="I742"/>
      <c r="J742" s="166">
        <v>4151</v>
      </c>
      <c r="K742" s="3" t="s">
        <v>2419</v>
      </c>
      <c r="L742" s="11" t="s">
        <v>188</v>
      </c>
      <c r="M742" s="13">
        <v>44874</v>
      </c>
      <c r="N742" s="86">
        <v>1199.9000000000001</v>
      </c>
      <c r="O742" s="28"/>
      <c r="Q742" s="141"/>
      <c r="R742" s="191" t="s">
        <v>4877</v>
      </c>
    </row>
    <row r="743" spans="1:18" s="1" customFormat="1" ht="15.75" customHeight="1" x14ac:dyDescent="0.3">
      <c r="A743" s="128" t="s">
        <v>2483</v>
      </c>
      <c r="B743" s="9" t="s">
        <v>2484</v>
      </c>
      <c r="C743" s="11" t="s">
        <v>4491</v>
      </c>
      <c r="D743" t="s">
        <v>4496</v>
      </c>
      <c r="E743" s="141"/>
      <c r="F743" t="s">
        <v>4692</v>
      </c>
      <c r="G743" t="s">
        <v>4626</v>
      </c>
      <c r="H743" s="3" t="s">
        <v>2485</v>
      </c>
      <c r="I743"/>
      <c r="J743" s="165">
        <v>65</v>
      </c>
      <c r="K743" s="3" t="s">
        <v>2486</v>
      </c>
      <c r="L743" s="11" t="s">
        <v>2487</v>
      </c>
      <c r="M743" s="13">
        <v>44879</v>
      </c>
      <c r="N743" s="86">
        <v>1300000</v>
      </c>
      <c r="O743" s="28"/>
      <c r="Q743" s="141"/>
      <c r="R743" s="191">
        <v>1300000</v>
      </c>
    </row>
    <row r="744" spans="1:18" s="1" customFormat="1" ht="15.75" customHeight="1" x14ac:dyDescent="0.3">
      <c r="A744" s="128" t="s">
        <v>2488</v>
      </c>
      <c r="B744" s="9" t="s">
        <v>2489</v>
      </c>
      <c r="C744" s="11" t="s">
        <v>4519</v>
      </c>
      <c r="D744" t="s">
        <v>4495</v>
      </c>
      <c r="E744" s="32"/>
      <c r="F744" s="15"/>
      <c r="G744" s="15"/>
      <c r="H744" s="3" t="s">
        <v>2490</v>
      </c>
      <c r="I744"/>
      <c r="J744" s="166">
        <v>3540</v>
      </c>
      <c r="K744" s="3" t="s">
        <v>2491</v>
      </c>
      <c r="L744" s="11" t="s">
        <v>2492</v>
      </c>
      <c r="M744" s="13">
        <v>44881</v>
      </c>
      <c r="N744" s="86">
        <v>1319</v>
      </c>
      <c r="O744" s="28"/>
      <c r="Q744" s="141"/>
      <c r="R744" s="191">
        <v>1319</v>
      </c>
    </row>
    <row r="745" spans="1:18" s="1" customFormat="1" ht="15.75" customHeight="1" x14ac:dyDescent="0.3">
      <c r="A745" s="128" t="s">
        <v>2493</v>
      </c>
      <c r="B745" s="9" t="s">
        <v>2494</v>
      </c>
      <c r="C745" s="11" t="s">
        <v>4489</v>
      </c>
      <c r="D745" t="s">
        <v>4494</v>
      </c>
      <c r="E745"/>
      <c r="F745">
        <v>5513004</v>
      </c>
      <c r="G745" t="s">
        <v>4618</v>
      </c>
      <c r="H745" s="3" t="s">
        <v>2495</v>
      </c>
      <c r="I745"/>
      <c r="J745" s="166">
        <v>15425</v>
      </c>
      <c r="K745" s="3" t="s">
        <v>2496</v>
      </c>
      <c r="L745" s="11" t="s">
        <v>2497</v>
      </c>
      <c r="M745" s="13">
        <v>44883</v>
      </c>
      <c r="N745" s="86">
        <v>4699</v>
      </c>
      <c r="O745" s="28" t="s">
        <v>20</v>
      </c>
      <c r="P745" s="1" t="s">
        <v>44</v>
      </c>
      <c r="Q745" s="141"/>
      <c r="R745" s="191">
        <v>4699</v>
      </c>
    </row>
    <row r="746" spans="1:18" s="1" customFormat="1" ht="15.75" customHeight="1" x14ac:dyDescent="0.3">
      <c r="A746" s="128" t="s">
        <v>2498</v>
      </c>
      <c r="B746" s="9" t="s">
        <v>2499</v>
      </c>
      <c r="C746" s="11" t="s">
        <v>4519</v>
      </c>
      <c r="D746" t="s">
        <v>4495</v>
      </c>
      <c r="E746" s="3"/>
      <c r="F746" s="15"/>
      <c r="G746" s="15"/>
      <c r="H746" s="3" t="s">
        <v>2500</v>
      </c>
      <c r="I746"/>
      <c r="J746" s="166">
        <v>220428</v>
      </c>
      <c r="K746" s="3" t="s">
        <v>1089</v>
      </c>
      <c r="L746" s="11" t="s">
        <v>1090</v>
      </c>
      <c r="M746" s="13">
        <v>44883</v>
      </c>
      <c r="N746" s="86">
        <v>2099</v>
      </c>
      <c r="O746" s="28" t="s">
        <v>20</v>
      </c>
      <c r="P746" s="1" t="s">
        <v>66</v>
      </c>
      <c r="Q746" s="141"/>
      <c r="R746" s="191">
        <v>2099</v>
      </c>
    </row>
    <row r="747" spans="1:18" s="1" customFormat="1" ht="15.75" customHeight="1" x14ac:dyDescent="0.3">
      <c r="A747" s="128" t="s">
        <v>2501</v>
      </c>
      <c r="B747" s="9" t="s">
        <v>2502</v>
      </c>
      <c r="C747" s="11" t="s">
        <v>4519</v>
      </c>
      <c r="D747" t="s">
        <v>4495</v>
      </c>
      <c r="E747" s="3"/>
      <c r="F747" s="15"/>
      <c r="G747" s="15"/>
      <c r="H747" s="3" t="s">
        <v>2503</v>
      </c>
      <c r="I747"/>
      <c r="J747" s="166">
        <v>220428</v>
      </c>
      <c r="K747" s="3" t="s">
        <v>1089</v>
      </c>
      <c r="L747" s="11" t="s">
        <v>1090</v>
      </c>
      <c r="M747" s="13">
        <v>44883</v>
      </c>
      <c r="N747" s="86">
        <v>4399</v>
      </c>
      <c r="O747" s="28" t="s">
        <v>20</v>
      </c>
      <c r="P747" s="1" t="s">
        <v>66</v>
      </c>
      <c r="Q747" s="141"/>
      <c r="R747" s="191">
        <v>4399</v>
      </c>
    </row>
    <row r="748" spans="1:18" s="1" customFormat="1" ht="15.75" customHeight="1" x14ac:dyDescent="0.3">
      <c r="A748" s="128" t="s">
        <v>2504</v>
      </c>
      <c r="B748" s="9" t="s">
        <v>2505</v>
      </c>
      <c r="C748" s="11" t="s">
        <v>4519</v>
      </c>
      <c r="D748" t="s">
        <v>4492</v>
      </c>
      <c r="E748" s="3"/>
      <c r="F748" s="15"/>
      <c r="G748" s="15"/>
      <c r="H748" s="3" t="s">
        <v>2506</v>
      </c>
      <c r="I748"/>
      <c r="J748" s="166">
        <v>28354</v>
      </c>
      <c r="K748" s="3" t="s">
        <v>2448</v>
      </c>
      <c r="L748" s="11" t="s">
        <v>2449</v>
      </c>
      <c r="M748" s="13">
        <v>44883</v>
      </c>
      <c r="N748" s="86">
        <v>2670</v>
      </c>
      <c r="O748" s="28" t="s">
        <v>20</v>
      </c>
      <c r="P748" s="1" t="s">
        <v>91</v>
      </c>
      <c r="Q748" s="141"/>
      <c r="R748" s="191">
        <v>2670</v>
      </c>
    </row>
    <row r="749" spans="1:18" s="1" customFormat="1" ht="15.75" customHeight="1" x14ac:dyDescent="0.3">
      <c r="A749" s="128" t="s">
        <v>2507</v>
      </c>
      <c r="B749" s="9" t="s">
        <v>2508</v>
      </c>
      <c r="C749" s="11" t="s">
        <v>4490</v>
      </c>
      <c r="D749" t="s">
        <v>4494</v>
      </c>
      <c r="E749"/>
      <c r="F749" t="s">
        <v>2509</v>
      </c>
      <c r="G749"/>
      <c r="H749" s="3" t="s">
        <v>2510</v>
      </c>
      <c r="I749"/>
      <c r="J749" s="166">
        <v>139280</v>
      </c>
      <c r="K749" s="3" t="s">
        <v>176</v>
      </c>
      <c r="L749" s="11" t="s">
        <v>1015</v>
      </c>
      <c r="M749" s="13">
        <v>44883</v>
      </c>
      <c r="N749" s="86">
        <v>1100000</v>
      </c>
      <c r="O749" s="28" t="s">
        <v>20</v>
      </c>
      <c r="P749" s="1" t="s">
        <v>66</v>
      </c>
      <c r="Q749" s="141"/>
      <c r="R749" s="191">
        <v>1100000</v>
      </c>
    </row>
    <row r="750" spans="1:18" s="1" customFormat="1" ht="15.75" customHeight="1" x14ac:dyDescent="0.3">
      <c r="A750" s="128" t="s">
        <v>2511</v>
      </c>
      <c r="B750" s="9" t="s">
        <v>2512</v>
      </c>
      <c r="C750" s="11" t="s">
        <v>4490</v>
      </c>
      <c r="D750" t="s">
        <v>4494</v>
      </c>
      <c r="E750"/>
      <c r="F750" t="s">
        <v>2513</v>
      </c>
      <c r="G750" t="s">
        <v>4643</v>
      </c>
      <c r="H750" s="3" t="s">
        <v>2510</v>
      </c>
      <c r="I750"/>
      <c r="J750" s="166">
        <v>139278</v>
      </c>
      <c r="K750" s="3" t="s">
        <v>176</v>
      </c>
      <c r="L750" s="11" t="s">
        <v>1015</v>
      </c>
      <c r="M750" s="13">
        <v>44883</v>
      </c>
      <c r="N750" s="152">
        <v>1100000</v>
      </c>
      <c r="O750" s="28" t="s">
        <v>20</v>
      </c>
      <c r="P750" s="1" t="s">
        <v>78</v>
      </c>
      <c r="Q750" s="141"/>
      <c r="R750" s="191">
        <v>1100000</v>
      </c>
    </row>
    <row r="751" spans="1:18" s="1" customFormat="1" ht="15.75" customHeight="1" x14ac:dyDescent="0.3">
      <c r="A751" s="128" t="s">
        <v>2514</v>
      </c>
      <c r="B751" s="9" t="s">
        <v>2515</v>
      </c>
      <c r="C751" s="11" t="s">
        <v>4490</v>
      </c>
      <c r="D751" t="s">
        <v>4493</v>
      </c>
      <c r="E751" s="141"/>
      <c r="F751" t="s">
        <v>2516</v>
      </c>
      <c r="G751" t="s">
        <v>4643</v>
      </c>
      <c r="H751" s="3" t="s">
        <v>1026</v>
      </c>
      <c r="I751"/>
      <c r="J751" s="166">
        <v>139285</v>
      </c>
      <c r="K751" s="3" t="s">
        <v>176</v>
      </c>
      <c r="L751" s="11" t="s">
        <v>1015</v>
      </c>
      <c r="M751" s="13">
        <v>44838</v>
      </c>
      <c r="N751" s="86">
        <v>1500000</v>
      </c>
      <c r="O751" s="28" t="s">
        <v>20</v>
      </c>
      <c r="P751" s="1" t="s">
        <v>78</v>
      </c>
      <c r="Q751" s="141"/>
      <c r="R751" s="191">
        <v>1500000</v>
      </c>
    </row>
    <row r="752" spans="1:18" s="1" customFormat="1" ht="15.75" customHeight="1" x14ac:dyDescent="0.3">
      <c r="A752" s="128" t="s">
        <v>2517</v>
      </c>
      <c r="B752" s="9" t="s">
        <v>2518</v>
      </c>
      <c r="C752" s="11" t="s">
        <v>4519</v>
      </c>
      <c r="D752" t="s">
        <v>4492</v>
      </c>
      <c r="E752" s="32"/>
      <c r="F752" s="15"/>
      <c r="G752" s="15"/>
      <c r="H752" s="3" t="s">
        <v>2466</v>
      </c>
      <c r="I752"/>
      <c r="J752" s="166">
        <v>220849</v>
      </c>
      <c r="K752" s="3" t="s">
        <v>1089</v>
      </c>
      <c r="L752" s="11" t="s">
        <v>1090</v>
      </c>
      <c r="M752" s="13">
        <v>44888</v>
      </c>
      <c r="N752" s="86">
        <v>2059</v>
      </c>
      <c r="O752" s="28"/>
      <c r="Q752" s="141"/>
      <c r="R752" s="191">
        <v>2059</v>
      </c>
    </row>
    <row r="753" spans="1:18" s="1" customFormat="1" ht="15.75" customHeight="1" x14ac:dyDescent="0.3">
      <c r="A753" s="128" t="s">
        <v>2519</v>
      </c>
      <c r="B753" s="9" t="s">
        <v>2520</v>
      </c>
      <c r="C753" s="11" t="s">
        <v>4519</v>
      </c>
      <c r="D753" t="s">
        <v>4492</v>
      </c>
      <c r="E753" s="32"/>
      <c r="F753" s="15"/>
      <c r="G753" s="15"/>
      <c r="H753" s="3" t="s">
        <v>2466</v>
      </c>
      <c r="I753"/>
      <c r="J753" s="166">
        <v>220849</v>
      </c>
      <c r="K753" s="3" t="s">
        <v>1089</v>
      </c>
      <c r="L753" s="11" t="s">
        <v>1090</v>
      </c>
      <c r="M753" s="13">
        <v>44888</v>
      </c>
      <c r="N753" s="86">
        <v>2059</v>
      </c>
      <c r="O753" s="28"/>
      <c r="Q753" s="141"/>
      <c r="R753" s="191">
        <v>2059</v>
      </c>
    </row>
    <row r="754" spans="1:18" s="1" customFormat="1" ht="15.75" customHeight="1" x14ac:dyDescent="0.3">
      <c r="A754" s="128" t="s">
        <v>2521</v>
      </c>
      <c r="B754" s="9" t="s">
        <v>2522</v>
      </c>
      <c r="C754" s="11" t="s">
        <v>4489</v>
      </c>
      <c r="D754" t="s">
        <v>4492</v>
      </c>
      <c r="E754" s="141"/>
      <c r="F754"/>
      <c r="G754" t="s">
        <v>4643</v>
      </c>
      <c r="H754" s="3" t="s">
        <v>2523</v>
      </c>
      <c r="I754"/>
      <c r="J754" s="166">
        <v>107567</v>
      </c>
      <c r="K754" s="3" t="s">
        <v>683</v>
      </c>
      <c r="L754" s="11" t="s">
        <v>684</v>
      </c>
      <c r="M754" s="13">
        <v>44890</v>
      </c>
      <c r="N754" s="86">
        <v>14917.47</v>
      </c>
      <c r="O754" s="28" t="s">
        <v>20</v>
      </c>
      <c r="P754" s="1" t="s">
        <v>91</v>
      </c>
      <c r="Q754" s="141"/>
      <c r="R754" s="191" t="s">
        <v>4878</v>
      </c>
    </row>
    <row r="755" spans="1:18" s="1" customFormat="1" ht="15.75" customHeight="1" x14ac:dyDescent="0.3">
      <c r="A755" s="128" t="s">
        <v>2524</v>
      </c>
      <c r="B755" s="9" t="s">
        <v>2525</v>
      </c>
      <c r="C755" s="11" t="s">
        <v>4489</v>
      </c>
      <c r="D755" t="s">
        <v>4495</v>
      </c>
      <c r="E755" s="141"/>
      <c r="F755">
        <v>5514005</v>
      </c>
      <c r="G755" t="s">
        <v>4618</v>
      </c>
      <c r="H755" s="3" t="s">
        <v>2526</v>
      </c>
      <c r="I755"/>
      <c r="J755" s="166">
        <v>7355</v>
      </c>
      <c r="K755" s="3" t="s">
        <v>2527</v>
      </c>
      <c r="L755" s="11" t="s">
        <v>2528</v>
      </c>
      <c r="M755" s="13">
        <v>44893</v>
      </c>
      <c r="N755" s="86">
        <v>2299.8000000000002</v>
      </c>
      <c r="O755" s="28"/>
      <c r="Q755" s="141"/>
      <c r="R755" s="191" t="s">
        <v>4879</v>
      </c>
    </row>
    <row r="756" spans="1:18" s="1" customFormat="1" ht="15.75" customHeight="1" x14ac:dyDescent="0.3">
      <c r="A756" s="128" t="s">
        <v>2529</v>
      </c>
      <c r="B756" s="9" t="s">
        <v>2530</v>
      </c>
      <c r="C756" s="11" t="s">
        <v>4489</v>
      </c>
      <c r="D756" t="s">
        <v>4499</v>
      </c>
      <c r="E756" s="32"/>
      <c r="F756" s="15"/>
      <c r="G756" s="15"/>
      <c r="H756" s="3" t="s">
        <v>2531</v>
      </c>
      <c r="I756"/>
      <c r="J756" s="166">
        <v>12806</v>
      </c>
      <c r="K756" s="3" t="s">
        <v>2532</v>
      </c>
      <c r="L756" s="11" t="s">
        <v>2533</v>
      </c>
      <c r="M756" s="13">
        <v>44893</v>
      </c>
      <c r="N756" s="86">
        <v>94500</v>
      </c>
      <c r="O756" s="28"/>
      <c r="Q756" s="141"/>
      <c r="R756" s="191">
        <v>94500</v>
      </c>
    </row>
    <row r="757" spans="1:18" s="1" customFormat="1" ht="15.75" customHeight="1" x14ac:dyDescent="0.3">
      <c r="A757" s="128" t="s">
        <v>2534</v>
      </c>
      <c r="B757" s="9" t="s">
        <v>2535</v>
      </c>
      <c r="C757" s="11" t="s">
        <v>4489</v>
      </c>
      <c r="D757" t="s">
        <v>4499</v>
      </c>
      <c r="E757" s="32"/>
      <c r="F757" s="15"/>
      <c r="G757" s="15"/>
      <c r="H757" s="3" t="s">
        <v>2536</v>
      </c>
      <c r="I757"/>
      <c r="J757" s="166">
        <v>12806</v>
      </c>
      <c r="K757" s="3" t="s">
        <v>2532</v>
      </c>
      <c r="L757" s="11" t="s">
        <v>2533</v>
      </c>
      <c r="M757" s="13">
        <v>44893</v>
      </c>
      <c r="N757" s="86">
        <v>109250</v>
      </c>
      <c r="O757" s="28" t="s">
        <v>20</v>
      </c>
      <c r="Q757" s="141"/>
      <c r="R757" s="191">
        <v>109250</v>
      </c>
    </row>
    <row r="758" spans="1:18" s="1" customFormat="1" ht="15.75" customHeight="1" x14ac:dyDescent="0.3">
      <c r="A758" s="128" t="s">
        <v>2537</v>
      </c>
      <c r="B758" s="9" t="s">
        <v>2538</v>
      </c>
      <c r="C758" s="11" t="s">
        <v>4487</v>
      </c>
      <c r="D758" t="s">
        <v>4493</v>
      </c>
      <c r="E758" s="141" t="s">
        <v>2539</v>
      </c>
      <c r="F758" s="127" t="s">
        <v>2540</v>
      </c>
      <c r="G758" t="s">
        <v>4626</v>
      </c>
      <c r="H758" s="3" t="s">
        <v>2541</v>
      </c>
      <c r="I758"/>
      <c r="J758" s="175"/>
      <c r="K758" s="15"/>
      <c r="L758" s="15"/>
      <c r="M758" s="13">
        <v>44893</v>
      </c>
      <c r="N758" s="86">
        <v>280000</v>
      </c>
      <c r="O758" s="28" t="s">
        <v>20</v>
      </c>
      <c r="P758" s="1" t="s">
        <v>78</v>
      </c>
      <c r="Q758" s="141"/>
      <c r="R758" s="191">
        <v>280000</v>
      </c>
    </row>
    <row r="759" spans="1:18" s="1" customFormat="1" ht="15.75" customHeight="1" x14ac:dyDescent="0.3">
      <c r="A759" s="128" t="s">
        <v>2542</v>
      </c>
      <c r="B759" s="9" t="s">
        <v>2543</v>
      </c>
      <c r="C759" s="11" t="s">
        <v>4518</v>
      </c>
      <c r="D759" t="s">
        <v>4492</v>
      </c>
      <c r="E759" s="32"/>
      <c r="F759" s="15"/>
      <c r="G759" s="15"/>
      <c r="H759" s="3" t="s">
        <v>2544</v>
      </c>
      <c r="I759"/>
      <c r="J759" s="166">
        <v>143</v>
      </c>
      <c r="K759" s="3" t="s">
        <v>2545</v>
      </c>
      <c r="L759" s="11" t="s">
        <v>2546</v>
      </c>
      <c r="M759" s="13">
        <v>44894</v>
      </c>
      <c r="N759" s="86">
        <v>19000</v>
      </c>
      <c r="O759" s="28" t="s">
        <v>20</v>
      </c>
      <c r="Q759" s="141"/>
      <c r="R759" s="191">
        <v>19000</v>
      </c>
    </row>
    <row r="760" spans="1:18" s="1" customFormat="1" ht="15.75" customHeight="1" x14ac:dyDescent="0.3">
      <c r="A760" s="128" t="s">
        <v>2547</v>
      </c>
      <c r="B760" s="9" t="s">
        <v>2548</v>
      </c>
      <c r="C760" s="11" t="s">
        <v>4489</v>
      </c>
      <c r="D760" t="s">
        <v>4493</v>
      </c>
      <c r="E760" s="32"/>
      <c r="F760" s="15"/>
      <c r="G760" s="15"/>
      <c r="H760" s="3" t="s">
        <v>2549</v>
      </c>
      <c r="I760"/>
      <c r="J760" s="166">
        <v>145</v>
      </c>
      <c r="K760" s="3" t="s">
        <v>2545</v>
      </c>
      <c r="L760" s="11" t="s">
        <v>2546</v>
      </c>
      <c r="M760" s="13">
        <v>44894</v>
      </c>
      <c r="N760" s="86">
        <v>24000</v>
      </c>
      <c r="O760" s="28" t="s">
        <v>20</v>
      </c>
      <c r="P760" s="1" t="s">
        <v>78</v>
      </c>
      <c r="Q760" s="141"/>
      <c r="R760" s="191">
        <v>24000</v>
      </c>
    </row>
    <row r="761" spans="1:18" s="1" customFormat="1" ht="15.75" customHeight="1" x14ac:dyDescent="0.3">
      <c r="A761" s="128" t="s">
        <v>2550</v>
      </c>
      <c r="B761" s="9" t="s">
        <v>2551</v>
      </c>
      <c r="C761" s="11" t="s">
        <v>4522</v>
      </c>
      <c r="D761" t="s">
        <v>4492</v>
      </c>
      <c r="E761" s="32"/>
      <c r="F761" s="15"/>
      <c r="G761" s="15"/>
      <c r="H761" s="3" t="s">
        <v>2552</v>
      </c>
      <c r="I761"/>
      <c r="J761" s="166">
        <v>612</v>
      </c>
      <c r="K761" s="3" t="s">
        <v>2184</v>
      </c>
      <c r="L761" s="11" t="s">
        <v>547</v>
      </c>
      <c r="M761" s="13">
        <v>44894</v>
      </c>
      <c r="N761" s="86">
        <v>3998</v>
      </c>
      <c r="O761" s="28" t="s">
        <v>20</v>
      </c>
      <c r="P761" s="1" t="s">
        <v>91</v>
      </c>
      <c r="Q761" s="141"/>
      <c r="R761" s="191">
        <v>3998</v>
      </c>
    </row>
    <row r="762" spans="1:18" s="1" customFormat="1" ht="15.75" customHeight="1" x14ac:dyDescent="0.3">
      <c r="A762" s="128" t="s">
        <v>2553</v>
      </c>
      <c r="B762" s="9" t="s">
        <v>2554</v>
      </c>
      <c r="C762" s="11" t="s">
        <v>4489</v>
      </c>
      <c r="D762" t="s">
        <v>4493</v>
      </c>
      <c r="E762" s="32"/>
      <c r="F762" s="15"/>
      <c r="G762" s="15"/>
      <c r="H762" s="3" t="s">
        <v>2555</v>
      </c>
      <c r="I762"/>
      <c r="J762" s="166">
        <v>144</v>
      </c>
      <c r="K762" s="3" t="s">
        <v>2545</v>
      </c>
      <c r="L762" s="11" t="s">
        <v>2546</v>
      </c>
      <c r="M762" s="13">
        <v>44894</v>
      </c>
      <c r="N762" s="86">
        <v>6600</v>
      </c>
      <c r="O762" s="28" t="s">
        <v>20</v>
      </c>
      <c r="P762" s="1" t="s">
        <v>78</v>
      </c>
      <c r="Q762" s="141"/>
      <c r="R762" s="191">
        <v>6600</v>
      </c>
    </row>
    <row r="763" spans="1:18" s="1" customFormat="1" ht="15.75" customHeight="1" x14ac:dyDescent="0.3">
      <c r="A763" s="128" t="s">
        <v>2556</v>
      </c>
      <c r="B763" s="9" t="s">
        <v>2557</v>
      </c>
      <c r="C763" s="11" t="s">
        <v>4520</v>
      </c>
      <c r="D763" t="s">
        <v>4495</v>
      </c>
      <c r="E763" s="32"/>
      <c r="F763" s="10"/>
      <c r="G763" s="10"/>
      <c r="H763" s="3" t="s">
        <v>2558</v>
      </c>
      <c r="I763"/>
      <c r="J763" s="166">
        <v>4651603</v>
      </c>
      <c r="K763" s="3" t="s">
        <v>2304</v>
      </c>
      <c r="L763" s="11" t="s">
        <v>2305</v>
      </c>
      <c r="M763" s="13">
        <v>44895</v>
      </c>
      <c r="N763" s="86">
        <v>2538.96</v>
      </c>
      <c r="O763" s="28"/>
      <c r="Q763" s="141"/>
      <c r="R763" s="191" t="s">
        <v>4880</v>
      </c>
    </row>
    <row r="764" spans="1:18" s="1" customFormat="1" ht="15.75" customHeight="1" x14ac:dyDescent="0.3">
      <c r="A764" s="128" t="s">
        <v>2559</v>
      </c>
      <c r="B764" s="9" t="s">
        <v>2560</v>
      </c>
      <c r="C764" s="11" t="s">
        <v>4520</v>
      </c>
      <c r="D764" t="s">
        <v>4494</v>
      </c>
      <c r="E764" s="32"/>
      <c r="F764" s="10"/>
      <c r="G764" s="10"/>
      <c r="H764" s="3" t="s">
        <v>2558</v>
      </c>
      <c r="I764"/>
      <c r="J764" s="166">
        <v>4651603</v>
      </c>
      <c r="K764" s="3" t="s">
        <v>2304</v>
      </c>
      <c r="L764" s="11" t="s">
        <v>2305</v>
      </c>
      <c r="M764" s="13">
        <v>44895</v>
      </c>
      <c r="N764" s="86">
        <v>2538.96</v>
      </c>
      <c r="O764" s="28"/>
      <c r="Q764" s="141"/>
      <c r="R764" s="191" t="s">
        <v>4880</v>
      </c>
    </row>
    <row r="765" spans="1:18" s="1" customFormat="1" ht="15.75" customHeight="1" x14ac:dyDescent="0.3">
      <c r="A765" s="128" t="s">
        <v>2561</v>
      </c>
      <c r="B765" s="9" t="s">
        <v>2562</v>
      </c>
      <c r="C765" s="11" t="s">
        <v>4520</v>
      </c>
      <c r="D765" t="s">
        <v>4493</v>
      </c>
      <c r="E765" s="32"/>
      <c r="F765" s="10"/>
      <c r="G765" s="10"/>
      <c r="H765" s="3" t="s">
        <v>2558</v>
      </c>
      <c r="I765"/>
      <c r="J765" s="166">
        <v>4651603</v>
      </c>
      <c r="K765" s="3" t="s">
        <v>2304</v>
      </c>
      <c r="L765" s="11" t="s">
        <v>2305</v>
      </c>
      <c r="M765" s="13">
        <v>44895</v>
      </c>
      <c r="N765" s="86">
        <v>2538.96</v>
      </c>
      <c r="O765" s="28"/>
      <c r="Q765" s="141"/>
      <c r="R765" s="191" t="s">
        <v>4880</v>
      </c>
    </row>
    <row r="766" spans="1:18" s="1" customFormat="1" ht="15.75" customHeight="1" x14ac:dyDescent="0.3">
      <c r="A766" s="128" t="s">
        <v>2563</v>
      </c>
      <c r="B766" s="9" t="s">
        <v>2564</v>
      </c>
      <c r="C766" s="11" t="s">
        <v>4520</v>
      </c>
      <c r="D766" t="s">
        <v>4492</v>
      </c>
      <c r="E766" s="32"/>
      <c r="F766" s="10"/>
      <c r="G766" s="10"/>
      <c r="H766" s="3" t="s">
        <v>2558</v>
      </c>
      <c r="I766"/>
      <c r="J766" s="166">
        <v>4651603</v>
      </c>
      <c r="K766" s="3" t="s">
        <v>2304</v>
      </c>
      <c r="L766" s="11" t="s">
        <v>2305</v>
      </c>
      <c r="M766" s="13">
        <v>44895</v>
      </c>
      <c r="N766" s="86">
        <v>2538.9499999999998</v>
      </c>
      <c r="O766" s="28"/>
      <c r="Q766" s="141"/>
      <c r="R766" s="191" t="s">
        <v>4881</v>
      </c>
    </row>
    <row r="767" spans="1:18" s="1" customFormat="1" ht="15.75" customHeight="1" x14ac:dyDescent="0.3">
      <c r="A767" s="128" t="s">
        <v>2565</v>
      </c>
      <c r="B767" s="9" t="s">
        <v>2566</v>
      </c>
      <c r="C767" s="11" t="s">
        <v>4488</v>
      </c>
      <c r="D767" t="s">
        <v>5040</v>
      </c>
      <c r="E767" s="32"/>
      <c r="F767" s="15"/>
      <c r="G767" s="15"/>
      <c r="H767" s="3" t="s">
        <v>2567</v>
      </c>
      <c r="I767"/>
      <c r="J767" s="165"/>
      <c r="K767" s="15"/>
      <c r="L767" s="15"/>
      <c r="M767" s="13">
        <v>44895</v>
      </c>
      <c r="N767" s="86">
        <v>9671576.25</v>
      </c>
      <c r="O767" s="25"/>
      <c r="Q767" s="141"/>
      <c r="R767" s="191" t="s">
        <v>4882</v>
      </c>
    </row>
    <row r="768" spans="1:18" s="1" customFormat="1" ht="15.75" customHeight="1" x14ac:dyDescent="0.3">
      <c r="A768" s="128" t="s">
        <v>2568</v>
      </c>
      <c r="B768" s="9" t="s">
        <v>2569</v>
      </c>
      <c r="C768" s="11" t="s">
        <v>4488</v>
      </c>
      <c r="D768" t="s">
        <v>5040</v>
      </c>
      <c r="E768" s="32"/>
      <c r="F768" s="15"/>
      <c r="G768" s="15"/>
      <c r="H768" s="3" t="s">
        <v>2570</v>
      </c>
      <c r="I768"/>
      <c r="J768" s="165"/>
      <c r="K768" s="15"/>
      <c r="L768" s="15"/>
      <c r="M768" s="13">
        <v>44895</v>
      </c>
      <c r="N768" s="86">
        <v>9092495.9499999993</v>
      </c>
      <c r="O768" s="25"/>
      <c r="Q768" s="141"/>
      <c r="R768" s="191" t="s">
        <v>4883</v>
      </c>
    </row>
    <row r="769" spans="1:18" s="1" customFormat="1" ht="15.75" customHeight="1" x14ac:dyDescent="0.3">
      <c r="A769" s="128" t="s">
        <v>2571</v>
      </c>
      <c r="B769" s="9" t="s">
        <v>2572</v>
      </c>
      <c r="C769" s="11" t="s">
        <v>4490</v>
      </c>
      <c r="D769" t="s">
        <v>4494</v>
      </c>
      <c r="E769" s="141"/>
      <c r="F769" t="s">
        <v>2573</v>
      </c>
      <c r="G769" t="s">
        <v>4617</v>
      </c>
      <c r="H769" s="3" t="s">
        <v>2574</v>
      </c>
      <c r="I769" t="s">
        <v>4554</v>
      </c>
      <c r="J769" s="166">
        <v>104357</v>
      </c>
      <c r="K769" s="3" t="s">
        <v>2575</v>
      </c>
      <c r="L769" s="11" t="s">
        <v>2576</v>
      </c>
      <c r="M769" s="13">
        <v>44897</v>
      </c>
      <c r="N769" s="86">
        <v>580000</v>
      </c>
      <c r="O769" s="28" t="s">
        <v>20</v>
      </c>
      <c r="P769" s="1" t="s">
        <v>44</v>
      </c>
      <c r="Q769" s="141"/>
      <c r="R769" s="191">
        <v>580000</v>
      </c>
    </row>
    <row r="770" spans="1:18" s="1" customFormat="1" ht="15.75" customHeight="1" x14ac:dyDescent="0.3">
      <c r="A770" s="128" t="s">
        <v>2577</v>
      </c>
      <c r="B770" s="9" t="s">
        <v>2578</v>
      </c>
      <c r="C770" s="11" t="s">
        <v>4490</v>
      </c>
      <c r="D770" t="s">
        <v>4495</v>
      </c>
      <c r="E770" s="141"/>
      <c r="F770">
        <v>1042596</v>
      </c>
      <c r="G770" t="s">
        <v>4617</v>
      </c>
      <c r="H770" s="3" t="s">
        <v>1699</v>
      </c>
      <c r="I770" s="160"/>
      <c r="J770" s="166">
        <v>19757</v>
      </c>
      <c r="K770" s="3" t="s">
        <v>1645</v>
      </c>
      <c r="L770" s="11" t="s">
        <v>957</v>
      </c>
      <c r="M770" s="13">
        <v>44902</v>
      </c>
      <c r="N770" s="86">
        <v>165000</v>
      </c>
      <c r="O770" s="28" t="s">
        <v>20</v>
      </c>
      <c r="Q770" s="141"/>
      <c r="R770" s="191">
        <v>165000</v>
      </c>
    </row>
    <row r="771" spans="1:18" s="1" customFormat="1" ht="15.75" customHeight="1" x14ac:dyDescent="0.3">
      <c r="A771" s="128" t="s">
        <v>2579</v>
      </c>
      <c r="B771" s="9" t="s">
        <v>2580</v>
      </c>
      <c r="C771" s="11" t="s">
        <v>4520</v>
      </c>
      <c r="D771" t="s">
        <v>4492</v>
      </c>
      <c r="E771" s="32"/>
      <c r="F771" s="10"/>
      <c r="G771" s="10"/>
      <c r="H771" s="3" t="s">
        <v>2581</v>
      </c>
      <c r="I771"/>
      <c r="J771" s="166">
        <v>8326</v>
      </c>
      <c r="K771" s="3" t="s">
        <v>2582</v>
      </c>
      <c r="L771" s="11" t="s">
        <v>2583</v>
      </c>
      <c r="M771" s="13">
        <v>44907</v>
      </c>
      <c r="N771" s="86">
        <v>2940.19</v>
      </c>
      <c r="O771" s="28"/>
      <c r="Q771" s="141"/>
      <c r="R771" s="191" t="s">
        <v>4884</v>
      </c>
    </row>
    <row r="772" spans="1:18" s="1" customFormat="1" ht="15.75" customHeight="1" x14ac:dyDescent="0.3">
      <c r="A772" s="128" t="s">
        <v>2584</v>
      </c>
      <c r="B772" s="9" t="s">
        <v>2585</v>
      </c>
      <c r="C772" s="11" t="s">
        <v>4519</v>
      </c>
      <c r="D772" t="s">
        <v>4492</v>
      </c>
      <c r="E772" s="32"/>
      <c r="F772" s="15"/>
      <c r="G772" s="15"/>
      <c r="H772" s="3" t="s">
        <v>2466</v>
      </c>
      <c r="I772"/>
      <c r="J772" s="166">
        <v>222168</v>
      </c>
      <c r="K772" s="3" t="s">
        <v>1089</v>
      </c>
      <c r="L772" s="11" t="s">
        <v>1090</v>
      </c>
      <c r="M772" s="13">
        <v>44907</v>
      </c>
      <c r="N772" s="86">
        <v>1759</v>
      </c>
      <c r="O772" s="28"/>
      <c r="Q772" s="141"/>
      <c r="R772" s="191">
        <v>1759</v>
      </c>
    </row>
    <row r="773" spans="1:18" s="1" customFormat="1" ht="15.75" customHeight="1" x14ac:dyDescent="0.3">
      <c r="A773" s="128" t="s">
        <v>2586</v>
      </c>
      <c r="B773" s="9" t="s">
        <v>2587</v>
      </c>
      <c r="C773" s="11" t="s">
        <v>4519</v>
      </c>
      <c r="D773" t="s">
        <v>4494</v>
      </c>
      <c r="E773" s="32"/>
      <c r="F773" s="15"/>
      <c r="G773" s="15"/>
      <c r="H773" s="3" t="s">
        <v>2588</v>
      </c>
      <c r="I773"/>
      <c r="J773" s="166">
        <v>20591</v>
      </c>
      <c r="K773" s="11" t="s">
        <v>123</v>
      </c>
      <c r="L773" s="11" t="s">
        <v>124</v>
      </c>
      <c r="M773" s="13">
        <v>44875</v>
      </c>
      <c r="N773" s="86">
        <v>1701.81</v>
      </c>
      <c r="O773" s="28"/>
      <c r="Q773" s="141"/>
      <c r="R773" s="191" t="s">
        <v>4885</v>
      </c>
    </row>
    <row r="774" spans="1:18" s="1" customFormat="1" ht="15.75" customHeight="1" x14ac:dyDescent="0.3">
      <c r="A774" s="128" t="s">
        <v>2589</v>
      </c>
      <c r="B774" s="9" t="s">
        <v>2590</v>
      </c>
      <c r="C774" s="11" t="s">
        <v>4489</v>
      </c>
      <c r="D774" t="s">
        <v>4495</v>
      </c>
      <c r="E774" s="141"/>
      <c r="F774" t="s">
        <v>4693</v>
      </c>
      <c r="G774" t="s">
        <v>4616</v>
      </c>
      <c r="H774" s="3" t="s">
        <v>2591</v>
      </c>
      <c r="I774" s="160"/>
      <c r="J774" s="166">
        <v>106479</v>
      </c>
      <c r="K774" s="3" t="s">
        <v>2592</v>
      </c>
      <c r="L774" s="11" t="s">
        <v>2593</v>
      </c>
      <c r="M774" s="13">
        <v>44909</v>
      </c>
      <c r="N774" s="86">
        <v>155000</v>
      </c>
      <c r="O774" s="28" t="s">
        <v>20</v>
      </c>
      <c r="Q774" s="141"/>
      <c r="R774" s="191">
        <v>155000</v>
      </c>
    </row>
    <row r="775" spans="1:18" s="1" customFormat="1" ht="15.75" customHeight="1" x14ac:dyDescent="0.3">
      <c r="A775" s="128" t="s">
        <v>2594</v>
      </c>
      <c r="B775" s="9" t="s">
        <v>2595</v>
      </c>
      <c r="C775" s="11" t="s">
        <v>4489</v>
      </c>
      <c r="D775" t="s">
        <v>4495</v>
      </c>
      <c r="E775" s="32"/>
      <c r="F775" s="15"/>
      <c r="G775" s="15"/>
      <c r="H775" s="3" t="s">
        <v>2596</v>
      </c>
      <c r="I775"/>
      <c r="J775" s="166">
        <v>106479</v>
      </c>
      <c r="K775" s="3" t="s">
        <v>2592</v>
      </c>
      <c r="L775" s="11" t="s">
        <v>2593</v>
      </c>
      <c r="M775" s="13">
        <v>44909</v>
      </c>
      <c r="N775" s="86">
        <v>55000</v>
      </c>
      <c r="O775" s="28"/>
      <c r="P775" s="1" t="s">
        <v>66</v>
      </c>
      <c r="Q775" s="141"/>
      <c r="R775" s="191">
        <v>55000</v>
      </c>
    </row>
    <row r="776" spans="1:18" s="1" customFormat="1" ht="15.75" customHeight="1" x14ac:dyDescent="0.3">
      <c r="A776" s="128" t="s">
        <v>2597</v>
      </c>
      <c r="B776" s="9" t="s">
        <v>2598</v>
      </c>
      <c r="C776" s="11" t="s">
        <v>4489</v>
      </c>
      <c r="D776" t="s">
        <v>4494</v>
      </c>
      <c r="E776" s="141"/>
      <c r="F776">
        <v>30368235</v>
      </c>
      <c r="G776" t="s">
        <v>4675</v>
      </c>
      <c r="H776" s="3" t="s">
        <v>2599</v>
      </c>
      <c r="I776"/>
      <c r="J776" s="166">
        <v>318</v>
      </c>
      <c r="K776" s="3" t="s">
        <v>2600</v>
      </c>
      <c r="L776" s="11" t="s">
        <v>2601</v>
      </c>
      <c r="M776" s="13">
        <v>44911</v>
      </c>
      <c r="N776" s="86">
        <v>145000</v>
      </c>
      <c r="O776" s="28" t="s">
        <v>20</v>
      </c>
      <c r="P776" s="1" t="s">
        <v>44</v>
      </c>
      <c r="Q776" s="141"/>
      <c r="R776" s="191">
        <v>145000</v>
      </c>
    </row>
    <row r="777" spans="1:18" s="1" customFormat="1" ht="15.75" customHeight="1" x14ac:dyDescent="0.3">
      <c r="A777" s="128" t="s">
        <v>2602</v>
      </c>
      <c r="B777" s="9" t="s">
        <v>2603</v>
      </c>
      <c r="C777" s="11" t="s">
        <v>4489</v>
      </c>
      <c r="D777" t="s">
        <v>4495</v>
      </c>
      <c r="E777" s="32"/>
      <c r="F777" s="15"/>
      <c r="G777" s="15"/>
      <c r="H777" s="3" t="s">
        <v>2604</v>
      </c>
      <c r="I777"/>
      <c r="J777" s="166">
        <v>528457</v>
      </c>
      <c r="K777" s="3" t="s">
        <v>2296</v>
      </c>
      <c r="L777" s="11" t="s">
        <v>2297</v>
      </c>
      <c r="M777" s="13">
        <v>44911</v>
      </c>
      <c r="N777" s="86">
        <v>1332.87</v>
      </c>
      <c r="O777" s="28"/>
      <c r="Q777" s="141"/>
      <c r="R777" s="191" t="s">
        <v>4886</v>
      </c>
    </row>
    <row r="778" spans="1:18" s="1" customFormat="1" ht="15.75" customHeight="1" x14ac:dyDescent="0.3">
      <c r="A778" s="128" t="s">
        <v>2605</v>
      </c>
      <c r="B778" s="9" t="s">
        <v>2606</v>
      </c>
      <c r="C778" s="11" t="s">
        <v>4490</v>
      </c>
      <c r="D778" t="s">
        <v>4493</v>
      </c>
      <c r="E778" s="141"/>
      <c r="F778" s="127" t="s">
        <v>2540</v>
      </c>
      <c r="G778"/>
      <c r="H778" s="3" t="s">
        <v>2607</v>
      </c>
      <c r="I778"/>
      <c r="J778" s="166">
        <v>53861</v>
      </c>
      <c r="K778" s="3" t="s">
        <v>2608</v>
      </c>
      <c r="L778" s="11" t="s">
        <v>2609</v>
      </c>
      <c r="M778" s="13">
        <v>44911</v>
      </c>
      <c r="N778" s="86">
        <v>140000</v>
      </c>
      <c r="O778" s="28"/>
      <c r="P778" s="1" t="s">
        <v>78</v>
      </c>
      <c r="Q778" s="141"/>
      <c r="R778" s="191">
        <v>140000</v>
      </c>
    </row>
    <row r="779" spans="1:18" s="23" customFormat="1" ht="15.75" customHeight="1" x14ac:dyDescent="0.3">
      <c r="A779" s="128" t="s">
        <v>2610</v>
      </c>
      <c r="B779" s="9" t="s">
        <v>2611</v>
      </c>
      <c r="C779" s="11" t="s">
        <v>4489</v>
      </c>
      <c r="D779" t="s">
        <v>4494</v>
      </c>
      <c r="E779" s="3"/>
      <c r="F779" s="15"/>
      <c r="G779" s="15"/>
      <c r="H779" s="3" t="s">
        <v>2612</v>
      </c>
      <c r="I779"/>
      <c r="J779" s="166">
        <v>251</v>
      </c>
      <c r="K779" s="3" t="s">
        <v>1688</v>
      </c>
      <c r="L779" s="11" t="s">
        <v>989</v>
      </c>
      <c r="M779" s="13">
        <v>44914</v>
      </c>
      <c r="N779" s="86">
        <v>22500</v>
      </c>
      <c r="O779" s="28"/>
      <c r="P779" s="1"/>
      <c r="Q779" s="141"/>
      <c r="R779" s="191">
        <v>22500</v>
      </c>
    </row>
    <row r="780" spans="1:18" s="1" customFormat="1" ht="15.75" customHeight="1" x14ac:dyDescent="0.3">
      <c r="A780" s="128" t="s">
        <v>2613</v>
      </c>
      <c r="B780" s="9" t="s">
        <v>2614</v>
      </c>
      <c r="C780" s="11" t="s">
        <v>4490</v>
      </c>
      <c r="D780" t="s">
        <v>4493</v>
      </c>
      <c r="E780" s="32"/>
      <c r="F780" s="15"/>
      <c r="G780" s="15"/>
      <c r="H780" s="3" t="s">
        <v>2612</v>
      </c>
      <c r="I780"/>
      <c r="J780" s="166">
        <v>251</v>
      </c>
      <c r="K780" s="3" t="s">
        <v>1688</v>
      </c>
      <c r="L780" s="11" t="s">
        <v>989</v>
      </c>
      <c r="M780" s="13">
        <v>44914</v>
      </c>
      <c r="N780" s="86">
        <v>22500</v>
      </c>
      <c r="O780" s="28"/>
      <c r="Q780" s="141"/>
      <c r="R780" s="191">
        <v>22500</v>
      </c>
    </row>
    <row r="781" spans="1:18" s="1" customFormat="1" ht="15.75" customHeight="1" x14ac:dyDescent="0.3">
      <c r="A781" s="128" t="s">
        <v>2615</v>
      </c>
      <c r="B781" s="9" t="s">
        <v>2616</v>
      </c>
      <c r="C781" s="11" t="s">
        <v>4490</v>
      </c>
      <c r="D781" t="s">
        <v>4493</v>
      </c>
      <c r="E781" s="32"/>
      <c r="F781" s="10"/>
      <c r="G781" s="10"/>
      <c r="H781" s="3" t="s">
        <v>2612</v>
      </c>
      <c r="I781"/>
      <c r="J781" s="166">
        <v>527</v>
      </c>
      <c r="K781" s="3" t="s">
        <v>1688</v>
      </c>
      <c r="L781" s="11" t="s">
        <v>989</v>
      </c>
      <c r="M781" s="13">
        <v>44914</v>
      </c>
      <c r="N781" s="86">
        <v>45000</v>
      </c>
      <c r="O781" s="28"/>
      <c r="Q781" s="141"/>
      <c r="R781" s="191">
        <v>45000</v>
      </c>
    </row>
    <row r="782" spans="1:18" s="1" customFormat="1" ht="15.75" customHeight="1" x14ac:dyDescent="0.3">
      <c r="A782" s="128" t="s">
        <v>2617</v>
      </c>
      <c r="B782" s="9" t="s">
        <v>2618</v>
      </c>
      <c r="C782" s="11" t="s">
        <v>4489</v>
      </c>
      <c r="D782" t="s">
        <v>4499</v>
      </c>
      <c r="E782" s="32"/>
      <c r="F782" s="15"/>
      <c r="G782" s="15"/>
      <c r="H782" s="3" t="s">
        <v>2619</v>
      </c>
      <c r="I782"/>
      <c r="J782" s="166">
        <v>14881</v>
      </c>
      <c r="K782" s="3" t="s">
        <v>2620</v>
      </c>
      <c r="L782" s="11" t="s">
        <v>2621</v>
      </c>
      <c r="M782" s="13">
        <v>44915</v>
      </c>
      <c r="N782" s="86">
        <v>130000</v>
      </c>
      <c r="O782" s="28" t="s">
        <v>20</v>
      </c>
      <c r="P782" s="1" t="s">
        <v>44</v>
      </c>
      <c r="Q782" s="141"/>
      <c r="R782" s="191">
        <v>130000</v>
      </c>
    </row>
    <row r="783" spans="1:18" s="1" customFormat="1" ht="15.75" customHeight="1" x14ac:dyDescent="0.3">
      <c r="A783" s="128" t="s">
        <v>2622</v>
      </c>
      <c r="B783" s="9" t="s">
        <v>2623</v>
      </c>
      <c r="C783" s="11" t="s">
        <v>4522</v>
      </c>
      <c r="D783" t="s">
        <v>4499</v>
      </c>
      <c r="E783" s="141"/>
      <c r="F783"/>
      <c r="G783"/>
      <c r="H783" s="3" t="s">
        <v>2624</v>
      </c>
      <c r="I783"/>
      <c r="J783" s="166">
        <v>14881</v>
      </c>
      <c r="K783" s="3" t="s">
        <v>2620</v>
      </c>
      <c r="L783" s="11" t="s">
        <v>2621</v>
      </c>
      <c r="M783" s="13">
        <v>44915</v>
      </c>
      <c r="N783" s="86">
        <v>14500</v>
      </c>
      <c r="O783" s="28" t="s">
        <v>20</v>
      </c>
      <c r="Q783" s="141"/>
      <c r="R783" s="191">
        <v>14500</v>
      </c>
    </row>
    <row r="784" spans="1:18" s="1" customFormat="1" ht="15.75" customHeight="1" x14ac:dyDescent="0.3">
      <c r="A784" s="128" t="s">
        <v>2625</v>
      </c>
      <c r="B784" s="9" t="s">
        <v>2626</v>
      </c>
      <c r="C784" s="11" t="s">
        <v>4522</v>
      </c>
      <c r="D784" t="s">
        <v>4499</v>
      </c>
      <c r="E784" s="32"/>
      <c r="F784" s="15"/>
      <c r="G784" s="15"/>
      <c r="H784" s="3" t="s">
        <v>2627</v>
      </c>
      <c r="I784"/>
      <c r="J784" s="166">
        <v>14881</v>
      </c>
      <c r="K784" s="3" t="s">
        <v>2620</v>
      </c>
      <c r="L784" s="11" t="s">
        <v>2621</v>
      </c>
      <c r="M784" s="13">
        <v>44915</v>
      </c>
      <c r="N784" s="86">
        <v>40500</v>
      </c>
      <c r="O784" s="28" t="s">
        <v>20</v>
      </c>
      <c r="Q784" s="141"/>
      <c r="R784" s="191">
        <v>40500</v>
      </c>
    </row>
    <row r="785" spans="1:18" s="1" customFormat="1" ht="15.75" customHeight="1" x14ac:dyDescent="0.3">
      <c r="A785" s="128" t="s">
        <v>2628</v>
      </c>
      <c r="B785" s="9" t="s">
        <v>2629</v>
      </c>
      <c r="C785" s="11" t="s">
        <v>4490</v>
      </c>
      <c r="D785" t="s">
        <v>4495</v>
      </c>
      <c r="E785" s="141"/>
      <c r="F785"/>
      <c r="G785" t="s">
        <v>4643</v>
      </c>
      <c r="H785" s="3" t="s">
        <v>2630</v>
      </c>
      <c r="I785"/>
      <c r="J785" s="166">
        <v>21494</v>
      </c>
      <c r="K785" s="3" t="s">
        <v>1645</v>
      </c>
      <c r="L785" s="11" t="s">
        <v>957</v>
      </c>
      <c r="M785" s="13">
        <v>44915</v>
      </c>
      <c r="N785" s="86">
        <v>37000</v>
      </c>
      <c r="O785" s="28" t="s">
        <v>20</v>
      </c>
      <c r="P785" s="1" t="s">
        <v>66</v>
      </c>
      <c r="Q785" s="141"/>
      <c r="R785" s="191">
        <v>37000</v>
      </c>
    </row>
    <row r="786" spans="1:18" s="1" customFormat="1" ht="15.75" customHeight="1" x14ac:dyDescent="0.3">
      <c r="A786" s="128" t="s">
        <v>2631</v>
      </c>
      <c r="B786" s="9" t="s">
        <v>2632</v>
      </c>
      <c r="C786" s="11" t="s">
        <v>4490</v>
      </c>
      <c r="D786" t="s">
        <v>4492</v>
      </c>
      <c r="E786" s="32"/>
      <c r="F786" s="15"/>
      <c r="G786" s="15"/>
      <c r="H786" s="3" t="s">
        <v>2633</v>
      </c>
      <c r="I786"/>
      <c r="J786" s="166">
        <v>216</v>
      </c>
      <c r="K786" s="3" t="s">
        <v>2634</v>
      </c>
      <c r="L786" s="11" t="s">
        <v>2635</v>
      </c>
      <c r="M786" s="13">
        <v>44916</v>
      </c>
      <c r="N786" s="86">
        <v>29000</v>
      </c>
      <c r="O786" s="28"/>
      <c r="Q786" s="141"/>
      <c r="R786" s="191">
        <v>29000</v>
      </c>
    </row>
    <row r="787" spans="1:18" s="1" customFormat="1" ht="15.75" customHeight="1" x14ac:dyDescent="0.3">
      <c r="A787" s="128" t="s">
        <v>2636</v>
      </c>
      <c r="B787" s="9" t="s">
        <v>2637</v>
      </c>
      <c r="C787" s="11" t="s">
        <v>4490</v>
      </c>
      <c r="D787" t="s">
        <v>4495</v>
      </c>
      <c r="E787" s="32"/>
      <c r="F787" s="15"/>
      <c r="G787" s="15"/>
      <c r="H787" s="3" t="s">
        <v>2638</v>
      </c>
      <c r="I787" t="s">
        <v>4555</v>
      </c>
      <c r="J787" s="166">
        <v>31016</v>
      </c>
      <c r="K787" s="3" t="s">
        <v>2281</v>
      </c>
      <c r="L787" s="11" t="s">
        <v>1155</v>
      </c>
      <c r="M787" s="13">
        <v>44917</v>
      </c>
      <c r="N787" s="86">
        <v>14000</v>
      </c>
      <c r="O787" s="28" t="s">
        <v>2639</v>
      </c>
      <c r="P787" s="1" t="s">
        <v>44</v>
      </c>
      <c r="Q787" s="141"/>
      <c r="R787" s="191">
        <v>14000</v>
      </c>
    </row>
    <row r="788" spans="1:18" s="1" customFormat="1" ht="15.75" customHeight="1" x14ac:dyDescent="0.3">
      <c r="A788" s="128" t="s">
        <v>2640</v>
      </c>
      <c r="B788" s="9" t="s">
        <v>2641</v>
      </c>
      <c r="C788" s="11" t="s">
        <v>4490</v>
      </c>
      <c r="D788" t="s">
        <v>4495</v>
      </c>
      <c r="E788" s="32"/>
      <c r="F788" s="15"/>
      <c r="G788" s="15"/>
      <c r="H788" s="3" t="s">
        <v>2642</v>
      </c>
      <c r="I788"/>
      <c r="J788" s="166">
        <v>20</v>
      </c>
      <c r="K788" s="3" t="s">
        <v>2643</v>
      </c>
      <c r="L788" s="11" t="s">
        <v>2644</v>
      </c>
      <c r="M788" s="13">
        <v>44917</v>
      </c>
      <c r="N788" s="86">
        <v>580000</v>
      </c>
      <c r="O788" s="28"/>
      <c r="Q788" s="141"/>
      <c r="R788" s="191">
        <v>580000</v>
      </c>
    </row>
    <row r="789" spans="1:18" s="1" customFormat="1" ht="15.75" customHeight="1" x14ac:dyDescent="0.3">
      <c r="A789" s="128" t="s">
        <v>2645</v>
      </c>
      <c r="B789" s="9" t="s">
        <v>2646</v>
      </c>
      <c r="C789" s="11" t="s">
        <v>4490</v>
      </c>
      <c r="D789" t="s">
        <v>4495</v>
      </c>
      <c r="E789" s="32"/>
      <c r="F789" s="15"/>
      <c r="G789" s="15"/>
      <c r="H789" s="3" t="s">
        <v>2647</v>
      </c>
      <c r="I789"/>
      <c r="J789" s="166">
        <v>20</v>
      </c>
      <c r="K789" s="3" t="s">
        <v>2643</v>
      </c>
      <c r="L789" s="11" t="s">
        <v>2644</v>
      </c>
      <c r="M789" s="13">
        <v>44917</v>
      </c>
      <c r="N789" s="86">
        <v>98166.67</v>
      </c>
      <c r="O789" s="28"/>
      <c r="Q789" s="141"/>
      <c r="R789" s="191" t="s">
        <v>4887</v>
      </c>
    </row>
    <row r="790" spans="1:18" s="1" customFormat="1" ht="15.75" customHeight="1" x14ac:dyDescent="0.3">
      <c r="A790" s="128" t="s">
        <v>2648</v>
      </c>
      <c r="B790" s="9" t="s">
        <v>2649</v>
      </c>
      <c r="C790" s="11" t="s">
        <v>4489</v>
      </c>
      <c r="D790" t="s">
        <v>4499</v>
      </c>
      <c r="E790" s="32"/>
      <c r="F790" s="15"/>
      <c r="G790" s="15"/>
      <c r="H790" s="3" t="s">
        <v>2650</v>
      </c>
      <c r="I790"/>
      <c r="J790" s="166">
        <v>20</v>
      </c>
      <c r="K790" s="3" t="s">
        <v>2643</v>
      </c>
      <c r="L790" s="11" t="s">
        <v>2644</v>
      </c>
      <c r="M790" s="13">
        <v>44917</v>
      </c>
      <c r="N790" s="86">
        <v>130000</v>
      </c>
      <c r="O790" s="28" t="s">
        <v>20</v>
      </c>
      <c r="Q790" s="141"/>
      <c r="R790" s="191">
        <v>130000</v>
      </c>
    </row>
    <row r="791" spans="1:18" s="1" customFormat="1" ht="15.75" customHeight="1" x14ac:dyDescent="0.3">
      <c r="A791" s="128" t="s">
        <v>2651</v>
      </c>
      <c r="B791" s="9" t="s">
        <v>2652</v>
      </c>
      <c r="C791" s="11" t="s">
        <v>4522</v>
      </c>
      <c r="D791" t="s">
        <v>4495</v>
      </c>
      <c r="E791" s="32"/>
      <c r="F791" s="15"/>
      <c r="G791" s="15"/>
      <c r="H791" s="3" t="s">
        <v>2653</v>
      </c>
      <c r="I791"/>
      <c r="J791" s="166">
        <v>9735</v>
      </c>
      <c r="K791" s="3" t="s">
        <v>2654</v>
      </c>
      <c r="L791" s="11" t="s">
        <v>2655</v>
      </c>
      <c r="M791" s="13">
        <v>44921</v>
      </c>
      <c r="N791" s="86">
        <v>9000</v>
      </c>
      <c r="O791" s="28" t="s">
        <v>20</v>
      </c>
      <c r="P791" s="1" t="s">
        <v>66</v>
      </c>
      <c r="Q791" s="141"/>
      <c r="R791" s="191">
        <v>9000</v>
      </c>
    </row>
    <row r="792" spans="1:18" s="1" customFormat="1" ht="15.75" customHeight="1" x14ac:dyDescent="0.3">
      <c r="A792" s="128" t="s">
        <v>2656</v>
      </c>
      <c r="B792" s="9" t="s">
        <v>2657</v>
      </c>
      <c r="C792" s="11" t="s">
        <v>4520</v>
      </c>
      <c r="D792" t="s">
        <v>4495</v>
      </c>
      <c r="E792" s="32"/>
      <c r="F792" s="10"/>
      <c r="G792" s="10"/>
      <c r="H792" s="3" t="s">
        <v>2658</v>
      </c>
      <c r="I792" t="s">
        <v>4556</v>
      </c>
      <c r="J792" s="166">
        <v>4777813</v>
      </c>
      <c r="K792" s="3" t="s">
        <v>2304</v>
      </c>
      <c r="L792" s="11" t="s">
        <v>2305</v>
      </c>
      <c r="M792" s="13">
        <v>44922</v>
      </c>
      <c r="N792" s="86">
        <v>1899</v>
      </c>
      <c r="O792" s="28" t="s">
        <v>20</v>
      </c>
      <c r="P792" s="1" t="s">
        <v>106</v>
      </c>
      <c r="Q792" s="141"/>
      <c r="R792" s="191">
        <v>1899</v>
      </c>
    </row>
    <row r="793" spans="1:18" s="1" customFormat="1" ht="15.75" customHeight="1" x14ac:dyDescent="0.3">
      <c r="A793" s="128" t="s">
        <v>2659</v>
      </c>
      <c r="B793" s="9" t="s">
        <v>2660</v>
      </c>
      <c r="C793" s="11" t="s">
        <v>4487</v>
      </c>
      <c r="D793" t="s">
        <v>4492</v>
      </c>
      <c r="E793" s="141"/>
      <c r="F793" t="s">
        <v>2661</v>
      </c>
      <c r="G793" t="s">
        <v>4616</v>
      </c>
      <c r="H793" s="3" t="s">
        <v>1177</v>
      </c>
      <c r="I793"/>
      <c r="J793" s="166">
        <v>112642</v>
      </c>
      <c r="K793" s="3" t="s">
        <v>664</v>
      </c>
      <c r="L793" s="11" t="s">
        <v>1244</v>
      </c>
      <c r="M793" s="13">
        <v>44923</v>
      </c>
      <c r="N793" s="86">
        <v>15700</v>
      </c>
      <c r="O793" s="28" t="s">
        <v>20</v>
      </c>
      <c r="P793" s="1" t="s">
        <v>91</v>
      </c>
      <c r="Q793" s="141"/>
      <c r="R793" s="191">
        <v>15700</v>
      </c>
    </row>
    <row r="794" spans="1:18" s="1" customFormat="1" ht="15.75" customHeight="1" x14ac:dyDescent="0.3">
      <c r="A794" s="128" t="s">
        <v>2662</v>
      </c>
      <c r="B794" s="9" t="s">
        <v>2663</v>
      </c>
      <c r="C794" s="11" t="s">
        <v>4520</v>
      </c>
      <c r="D794" t="s">
        <v>4492</v>
      </c>
      <c r="E794" s="32"/>
      <c r="F794" s="10"/>
      <c r="G794" s="10"/>
      <c r="H794" s="3" t="s">
        <v>2664</v>
      </c>
      <c r="I794"/>
      <c r="J794" s="166">
        <v>8112</v>
      </c>
      <c r="K794" s="3" t="s">
        <v>2665</v>
      </c>
      <c r="L794" s="11" t="s">
        <v>2666</v>
      </c>
      <c r="M794" s="13">
        <v>44925</v>
      </c>
      <c r="N794" s="86">
        <v>2590.9899999999998</v>
      </c>
      <c r="O794" s="28" t="s">
        <v>20</v>
      </c>
      <c r="P794" s="1" t="s">
        <v>91</v>
      </c>
      <c r="Q794" s="141"/>
      <c r="R794" s="191" t="s">
        <v>4888</v>
      </c>
    </row>
    <row r="795" spans="1:18" s="1" customFormat="1" ht="15.75" customHeight="1" x14ac:dyDescent="0.3">
      <c r="A795" s="128" t="s">
        <v>2667</v>
      </c>
      <c r="B795" s="9" t="s">
        <v>2668</v>
      </c>
      <c r="C795" s="11" t="s">
        <v>4519</v>
      </c>
      <c r="D795" t="s">
        <v>4495</v>
      </c>
      <c r="E795" s="32"/>
      <c r="F795" s="15"/>
      <c r="G795" s="15"/>
      <c r="H795" s="3" t="s">
        <v>2669</v>
      </c>
      <c r="I795"/>
      <c r="J795" s="166">
        <v>321584</v>
      </c>
      <c r="K795" s="11" t="s">
        <v>1868</v>
      </c>
      <c r="L795" s="15" t="s">
        <v>1869</v>
      </c>
      <c r="M795" s="13">
        <v>44900</v>
      </c>
      <c r="N795" s="86">
        <v>8071.53</v>
      </c>
      <c r="O795" s="28" t="s">
        <v>20</v>
      </c>
      <c r="Q795" s="141"/>
      <c r="R795" s="191" t="s">
        <v>4889</v>
      </c>
    </row>
    <row r="796" spans="1:18" s="1" customFormat="1" ht="15.75" customHeight="1" x14ac:dyDescent="0.3">
      <c r="A796" s="128" t="s">
        <v>2670</v>
      </c>
      <c r="B796" s="9" t="s">
        <v>2671</v>
      </c>
      <c r="C796" s="11" t="s">
        <v>4487</v>
      </c>
      <c r="D796" t="s">
        <v>4495</v>
      </c>
      <c r="E796" s="141"/>
      <c r="F796" t="s">
        <v>2672</v>
      </c>
      <c r="G796" t="s">
        <v>4631</v>
      </c>
      <c r="H796" s="3" t="s">
        <v>1177</v>
      </c>
      <c r="I796"/>
      <c r="J796" s="166">
        <v>112869</v>
      </c>
      <c r="K796" s="3" t="s">
        <v>664</v>
      </c>
      <c r="L796" s="11" t="s">
        <v>1244</v>
      </c>
      <c r="M796" s="29">
        <v>44922</v>
      </c>
      <c r="N796" s="86">
        <v>15700</v>
      </c>
      <c r="O796" s="28" t="s">
        <v>20</v>
      </c>
      <c r="P796" s="1" t="s">
        <v>44</v>
      </c>
      <c r="Q796" s="141"/>
      <c r="R796" s="191">
        <v>15700</v>
      </c>
    </row>
    <row r="797" spans="1:18" s="1" customFormat="1" ht="15.75" customHeight="1" x14ac:dyDescent="0.3">
      <c r="A797" s="128" t="s">
        <v>2673</v>
      </c>
      <c r="B797" s="9" t="s">
        <v>2674</v>
      </c>
      <c r="C797" s="11" t="s">
        <v>4519</v>
      </c>
      <c r="D797" t="s">
        <v>4494</v>
      </c>
      <c r="E797" s="32"/>
      <c r="F797" s="15"/>
      <c r="G797" s="15"/>
      <c r="H797" s="3" t="s">
        <v>2675</v>
      </c>
      <c r="I797"/>
      <c r="J797" s="165">
        <v>7850007</v>
      </c>
      <c r="K797" s="15" t="s">
        <v>2676</v>
      </c>
      <c r="L797" s="15" t="s">
        <v>2285</v>
      </c>
      <c r="M797" s="13">
        <v>44930</v>
      </c>
      <c r="N797" s="86">
        <v>1899</v>
      </c>
      <c r="O797" s="28"/>
      <c r="Q797" s="141"/>
      <c r="R797" s="191">
        <v>1899</v>
      </c>
    </row>
    <row r="798" spans="1:18" s="1" customFormat="1" ht="15.75" customHeight="1" x14ac:dyDescent="0.3">
      <c r="A798" s="128" t="s">
        <v>2677</v>
      </c>
      <c r="B798" s="9" t="s">
        <v>2678</v>
      </c>
      <c r="C798" s="11" t="s">
        <v>4520</v>
      </c>
      <c r="D798" t="s">
        <v>4496</v>
      </c>
      <c r="E798" s="32"/>
      <c r="F798" s="10"/>
      <c r="G798" s="10"/>
      <c r="H798" s="3" t="s">
        <v>2679</v>
      </c>
      <c r="I798"/>
      <c r="J798" s="165">
        <v>16838</v>
      </c>
      <c r="K798" s="15" t="s">
        <v>2680</v>
      </c>
      <c r="L798" s="33" t="s">
        <v>2681</v>
      </c>
      <c r="M798" s="13">
        <v>44931</v>
      </c>
      <c r="N798" s="86">
        <v>1551.9</v>
      </c>
      <c r="O798" s="28"/>
      <c r="Q798" s="141"/>
      <c r="R798" s="191" t="s">
        <v>4890</v>
      </c>
    </row>
    <row r="799" spans="1:18" s="1" customFormat="1" ht="15.75" customHeight="1" x14ac:dyDescent="0.3">
      <c r="A799" s="128" t="s">
        <v>2682</v>
      </c>
      <c r="B799" s="9" t="s">
        <v>2683</v>
      </c>
      <c r="C799" s="11" t="s">
        <v>4520</v>
      </c>
      <c r="D799" t="s">
        <v>4496</v>
      </c>
      <c r="E799" s="32"/>
      <c r="F799" s="10"/>
      <c r="G799" s="10"/>
      <c r="H799" s="3" t="s">
        <v>2679</v>
      </c>
      <c r="I799"/>
      <c r="J799" s="165">
        <v>16836</v>
      </c>
      <c r="K799" s="15" t="s">
        <v>2680</v>
      </c>
      <c r="L799" s="15" t="s">
        <v>2681</v>
      </c>
      <c r="M799" s="13">
        <v>44931</v>
      </c>
      <c r="N799" s="86">
        <v>1551.9</v>
      </c>
      <c r="O799" s="28"/>
      <c r="Q799" s="141"/>
      <c r="R799" s="191" t="s">
        <v>4890</v>
      </c>
    </row>
    <row r="800" spans="1:18" s="1" customFormat="1" ht="15.75" customHeight="1" x14ac:dyDescent="0.3">
      <c r="A800" s="128" t="s">
        <v>2684</v>
      </c>
      <c r="B800" s="9" t="s">
        <v>2685</v>
      </c>
      <c r="C800" s="11" t="s">
        <v>4522</v>
      </c>
      <c r="D800" t="s">
        <v>4501</v>
      </c>
      <c r="E800" s="32"/>
      <c r="F800" s="15"/>
      <c r="G800" s="15"/>
      <c r="H800" s="3" t="s">
        <v>2686</v>
      </c>
      <c r="I800"/>
      <c r="J800" s="165">
        <v>8958</v>
      </c>
      <c r="K800" s="15" t="s">
        <v>2687</v>
      </c>
      <c r="L800" s="15" t="s">
        <v>2688</v>
      </c>
      <c r="M800" s="13">
        <v>44936</v>
      </c>
      <c r="N800" s="86">
        <v>3000</v>
      </c>
      <c r="O800" s="28" t="s">
        <v>20</v>
      </c>
      <c r="Q800" s="141"/>
      <c r="R800" s="191">
        <v>3000</v>
      </c>
    </row>
    <row r="801" spans="1:18" s="1" customFormat="1" ht="15.75" customHeight="1" x14ac:dyDescent="0.3">
      <c r="A801" s="128" t="s">
        <v>2689</v>
      </c>
      <c r="B801" s="9" t="s">
        <v>2690</v>
      </c>
      <c r="C801" s="11" t="s">
        <v>4518</v>
      </c>
      <c r="D801" t="s">
        <v>4495</v>
      </c>
      <c r="E801" s="141"/>
      <c r="F801"/>
      <c r="G801" t="s">
        <v>4694</v>
      </c>
      <c r="H801" s="3" t="s">
        <v>1445</v>
      </c>
      <c r="I801"/>
      <c r="J801" s="165">
        <v>109658</v>
      </c>
      <c r="K801" s="15" t="s">
        <v>2691</v>
      </c>
      <c r="L801" s="15" t="s">
        <v>684</v>
      </c>
      <c r="M801" s="13">
        <v>44936</v>
      </c>
      <c r="N801" s="86">
        <v>2972.91</v>
      </c>
      <c r="O801" s="28" t="s">
        <v>20</v>
      </c>
      <c r="Q801" s="141"/>
      <c r="R801" s="191" t="s">
        <v>4891</v>
      </c>
    </row>
    <row r="802" spans="1:18" s="1" customFormat="1" ht="15.75" customHeight="1" x14ac:dyDescent="0.3">
      <c r="A802" s="128" t="s">
        <v>2692</v>
      </c>
      <c r="B802" s="9" t="s">
        <v>2693</v>
      </c>
      <c r="C802" s="11" t="s">
        <v>4519</v>
      </c>
      <c r="D802" t="s">
        <v>4494</v>
      </c>
      <c r="E802" s="3"/>
      <c r="F802" s="15"/>
      <c r="G802" s="15"/>
      <c r="H802" s="3" t="s">
        <v>2469</v>
      </c>
      <c r="I802"/>
      <c r="J802" s="165">
        <v>108</v>
      </c>
      <c r="K802" s="15" t="s">
        <v>701</v>
      </c>
      <c r="L802" s="15" t="s">
        <v>2694</v>
      </c>
      <c r="M802" s="13">
        <v>44944</v>
      </c>
      <c r="N802" s="86">
        <v>1899</v>
      </c>
      <c r="O802" s="28"/>
      <c r="Q802" s="141"/>
      <c r="R802" s="191">
        <v>1899</v>
      </c>
    </row>
    <row r="803" spans="1:18" s="22" customFormat="1" ht="15.75" customHeight="1" x14ac:dyDescent="0.3">
      <c r="A803" s="128" t="s">
        <v>2695</v>
      </c>
      <c r="B803" s="9" t="s">
        <v>2696</v>
      </c>
      <c r="C803" s="11" t="s">
        <v>4519</v>
      </c>
      <c r="D803" t="s">
        <v>4495</v>
      </c>
      <c r="E803" s="3"/>
      <c r="F803" s="15"/>
      <c r="G803" s="15"/>
      <c r="H803" s="3" t="s">
        <v>2466</v>
      </c>
      <c r="I803"/>
      <c r="J803" s="165">
        <v>3135</v>
      </c>
      <c r="K803" s="15" t="s">
        <v>2697</v>
      </c>
      <c r="L803" s="15" t="s">
        <v>1693</v>
      </c>
      <c r="M803" s="13">
        <v>44946</v>
      </c>
      <c r="N803" s="86">
        <v>1948</v>
      </c>
      <c r="O803" s="28"/>
      <c r="P803" s="1"/>
      <c r="Q803" s="141"/>
      <c r="R803" s="191">
        <v>1948</v>
      </c>
    </row>
    <row r="804" spans="1:18" s="1" customFormat="1" ht="15.75" customHeight="1" x14ac:dyDescent="0.3">
      <c r="A804" s="128" t="s">
        <v>2698</v>
      </c>
      <c r="B804" s="9" t="s">
        <v>2699</v>
      </c>
      <c r="C804" s="11" t="s">
        <v>4519</v>
      </c>
      <c r="D804" t="s">
        <v>4495</v>
      </c>
      <c r="E804" s="3"/>
      <c r="F804" s="15"/>
      <c r="G804" s="15"/>
      <c r="H804" s="3" t="s">
        <v>2466</v>
      </c>
      <c r="I804"/>
      <c r="J804" s="165">
        <v>3135</v>
      </c>
      <c r="K804" s="15" t="s">
        <v>2697</v>
      </c>
      <c r="L804" s="15" t="s">
        <v>1693</v>
      </c>
      <c r="M804" s="13">
        <v>44946</v>
      </c>
      <c r="N804" s="86">
        <v>1948</v>
      </c>
      <c r="O804" s="28"/>
      <c r="Q804" s="141"/>
      <c r="R804" s="191">
        <v>1948</v>
      </c>
    </row>
    <row r="805" spans="1:18" s="1" customFormat="1" ht="15.75" customHeight="1" x14ac:dyDescent="0.3">
      <c r="A805" s="128" t="s">
        <v>2700</v>
      </c>
      <c r="B805" s="9" t="s">
        <v>2701</v>
      </c>
      <c r="C805" s="11" t="s">
        <v>4519</v>
      </c>
      <c r="D805" t="s">
        <v>4495</v>
      </c>
      <c r="E805" s="3"/>
      <c r="F805" s="15"/>
      <c r="G805" s="15"/>
      <c r="H805" s="3" t="s">
        <v>2466</v>
      </c>
      <c r="I805"/>
      <c r="J805" s="165">
        <v>3135</v>
      </c>
      <c r="K805" s="15" t="s">
        <v>2697</v>
      </c>
      <c r="L805" s="15" t="s">
        <v>1693</v>
      </c>
      <c r="M805" s="13">
        <v>44946</v>
      </c>
      <c r="N805" s="86">
        <v>1948</v>
      </c>
      <c r="O805" s="28"/>
      <c r="Q805" s="141"/>
      <c r="R805" s="191">
        <v>1948</v>
      </c>
    </row>
    <row r="806" spans="1:18" s="1" customFormat="1" ht="15.75" customHeight="1" x14ac:dyDescent="0.3">
      <c r="A806" s="128" t="s">
        <v>2702</v>
      </c>
      <c r="B806" s="9" t="s">
        <v>2703</v>
      </c>
      <c r="C806" s="11" t="s">
        <v>4489</v>
      </c>
      <c r="D806" t="s">
        <v>4495</v>
      </c>
      <c r="E806"/>
      <c r="F806">
        <v>5518009</v>
      </c>
      <c r="G806" t="s">
        <v>4618</v>
      </c>
      <c r="H806" s="3" t="s">
        <v>2704</v>
      </c>
      <c r="I806"/>
      <c r="J806" s="165">
        <v>134188</v>
      </c>
      <c r="K806" s="15" t="s">
        <v>2705</v>
      </c>
      <c r="L806" s="15" t="s">
        <v>2706</v>
      </c>
      <c r="M806" s="13">
        <v>44951</v>
      </c>
      <c r="N806" s="86">
        <v>240000</v>
      </c>
      <c r="O806" s="28"/>
      <c r="Q806" s="141"/>
      <c r="R806" s="191">
        <v>240000</v>
      </c>
    </row>
    <row r="807" spans="1:18" s="1" customFormat="1" ht="15.75" customHeight="1" x14ac:dyDescent="0.3">
      <c r="A807" s="128" t="s">
        <v>2707</v>
      </c>
      <c r="B807" s="9" t="s">
        <v>2708</v>
      </c>
      <c r="C807" s="11" t="s">
        <v>4489</v>
      </c>
      <c r="D807" t="s">
        <v>4492</v>
      </c>
      <c r="E807"/>
      <c r="F807"/>
      <c r="G807" t="s">
        <v>4675</v>
      </c>
      <c r="H807" s="3" t="s">
        <v>2709</v>
      </c>
      <c r="I807"/>
      <c r="J807" s="174"/>
      <c r="K807" s="15"/>
      <c r="L807" s="15"/>
      <c r="M807" s="13"/>
      <c r="N807" s="86">
        <v>0</v>
      </c>
      <c r="O807" s="28" t="s">
        <v>20</v>
      </c>
      <c r="Q807" s="141"/>
      <c r="R807" s="191">
        <v>0</v>
      </c>
    </row>
    <row r="808" spans="1:18" s="1" customFormat="1" ht="15.75" customHeight="1" x14ac:dyDescent="0.3">
      <c r="A808" s="128" t="s">
        <v>2710</v>
      </c>
      <c r="B808" s="9" t="s">
        <v>2711</v>
      </c>
      <c r="C808" s="11" t="s">
        <v>4518</v>
      </c>
      <c r="D808" t="s">
        <v>4495</v>
      </c>
      <c r="E808"/>
      <c r="F808" t="s">
        <v>4627</v>
      </c>
      <c r="G808" t="s">
        <v>4643</v>
      </c>
      <c r="H808" s="3" t="s">
        <v>2712</v>
      </c>
      <c r="I808"/>
      <c r="J808" s="165">
        <v>552639</v>
      </c>
      <c r="K808" s="15" t="s">
        <v>701</v>
      </c>
      <c r="L808" s="15" t="s">
        <v>730</v>
      </c>
      <c r="M808" s="13">
        <v>44951</v>
      </c>
      <c r="N808" s="86">
        <v>13486.92</v>
      </c>
      <c r="O808" s="28" t="s">
        <v>20</v>
      </c>
      <c r="P808" s="1" t="s">
        <v>66</v>
      </c>
      <c r="Q808" s="141"/>
      <c r="R808" s="191" t="s">
        <v>4892</v>
      </c>
    </row>
    <row r="809" spans="1:18" s="1" customFormat="1" ht="15.75" customHeight="1" x14ac:dyDescent="0.3">
      <c r="A809" s="128" t="s">
        <v>2713</v>
      </c>
      <c r="B809" s="9" t="s">
        <v>2714</v>
      </c>
      <c r="C809" s="11" t="s">
        <v>4519</v>
      </c>
      <c r="D809" t="s">
        <v>4493</v>
      </c>
      <c r="E809" s="3"/>
      <c r="F809" s="15"/>
      <c r="G809" s="15"/>
      <c r="H809" s="3" t="s">
        <v>2466</v>
      </c>
      <c r="I809"/>
      <c r="J809" s="165">
        <v>3143</v>
      </c>
      <c r="K809" s="15" t="s">
        <v>2697</v>
      </c>
      <c r="L809" s="15" t="s">
        <v>1693</v>
      </c>
      <c r="M809" s="13">
        <v>44960</v>
      </c>
      <c r="N809" s="86">
        <v>1829</v>
      </c>
      <c r="O809" s="28"/>
      <c r="Q809" s="141"/>
      <c r="R809" s="191">
        <v>1829</v>
      </c>
    </row>
    <row r="810" spans="1:18" s="1" customFormat="1" ht="15.75" customHeight="1" x14ac:dyDescent="0.3">
      <c r="A810" s="128" t="s">
        <v>2715</v>
      </c>
      <c r="B810" s="9" t="s">
        <v>2716</v>
      </c>
      <c r="C810" s="11" t="s">
        <v>4519</v>
      </c>
      <c r="D810" t="s">
        <v>4493</v>
      </c>
      <c r="E810" s="3"/>
      <c r="F810" s="15"/>
      <c r="G810" s="15"/>
      <c r="H810" s="3" t="s">
        <v>2466</v>
      </c>
      <c r="I810"/>
      <c r="J810" s="165">
        <v>3143</v>
      </c>
      <c r="K810" s="15" t="s">
        <v>2697</v>
      </c>
      <c r="L810" s="15" t="s">
        <v>1693</v>
      </c>
      <c r="M810" s="13">
        <v>44960</v>
      </c>
      <c r="N810" s="86">
        <v>1829</v>
      </c>
      <c r="O810" s="28" t="s">
        <v>20</v>
      </c>
      <c r="P810" s="1" t="s">
        <v>78</v>
      </c>
      <c r="Q810" s="141"/>
      <c r="R810" s="191">
        <v>1829</v>
      </c>
    </row>
    <row r="811" spans="1:18" s="1" customFormat="1" ht="15.75" customHeight="1" x14ac:dyDescent="0.3">
      <c r="A811" s="128" t="s">
        <v>2717</v>
      </c>
      <c r="B811" s="9" t="s">
        <v>2718</v>
      </c>
      <c r="C811" s="11" t="s">
        <v>4519</v>
      </c>
      <c r="D811" t="s">
        <v>4493</v>
      </c>
      <c r="E811" s="3"/>
      <c r="F811" s="15"/>
      <c r="G811" s="15"/>
      <c r="H811" s="3" t="s">
        <v>2466</v>
      </c>
      <c r="I811"/>
      <c r="J811" s="165">
        <v>3143</v>
      </c>
      <c r="K811" s="15" t="s">
        <v>2697</v>
      </c>
      <c r="L811" s="15" t="s">
        <v>1693</v>
      </c>
      <c r="M811" s="13">
        <v>44960</v>
      </c>
      <c r="N811" s="86">
        <v>1829</v>
      </c>
      <c r="O811" s="28"/>
      <c r="Q811" s="141"/>
      <c r="R811" s="191">
        <v>1829</v>
      </c>
    </row>
    <row r="812" spans="1:18" s="1" customFormat="1" ht="15.75" customHeight="1" x14ac:dyDescent="0.3">
      <c r="A812" s="128" t="s">
        <v>2719</v>
      </c>
      <c r="B812" s="9" t="s">
        <v>2720</v>
      </c>
      <c r="C812" s="11" t="s">
        <v>4519</v>
      </c>
      <c r="D812" t="s">
        <v>4493</v>
      </c>
      <c r="E812" s="3"/>
      <c r="F812" s="15"/>
      <c r="G812" s="15"/>
      <c r="H812" s="3" t="s">
        <v>2466</v>
      </c>
      <c r="I812"/>
      <c r="J812" s="165">
        <v>3143</v>
      </c>
      <c r="K812" s="15" t="s">
        <v>2697</v>
      </c>
      <c r="L812" s="15" t="s">
        <v>1693</v>
      </c>
      <c r="M812" s="13">
        <v>44960</v>
      </c>
      <c r="N812" s="86">
        <v>1829</v>
      </c>
      <c r="O812" s="28"/>
      <c r="Q812" s="141"/>
      <c r="R812" s="191">
        <v>1829</v>
      </c>
    </row>
    <row r="813" spans="1:18" s="1" customFormat="1" ht="15.75" customHeight="1" x14ac:dyDescent="0.3">
      <c r="A813" s="128" t="s">
        <v>2721</v>
      </c>
      <c r="B813" s="9" t="s">
        <v>2722</v>
      </c>
      <c r="C813" s="11" t="s">
        <v>4519</v>
      </c>
      <c r="D813" t="s">
        <v>4493</v>
      </c>
      <c r="E813" s="3"/>
      <c r="F813" s="15"/>
      <c r="G813" s="15"/>
      <c r="H813" s="3" t="s">
        <v>2466</v>
      </c>
      <c r="I813" s="147"/>
      <c r="J813" s="165">
        <v>3143</v>
      </c>
      <c r="K813" s="15" t="s">
        <v>2697</v>
      </c>
      <c r="L813" s="15" t="s">
        <v>1693</v>
      </c>
      <c r="M813" s="13">
        <v>44960</v>
      </c>
      <c r="N813" s="86">
        <v>1829</v>
      </c>
      <c r="O813" s="28"/>
      <c r="Q813" s="141"/>
      <c r="R813" s="191">
        <v>1829</v>
      </c>
    </row>
    <row r="814" spans="1:18" s="1" customFormat="1" ht="15.75" customHeight="1" x14ac:dyDescent="0.3">
      <c r="A814" s="128" t="s">
        <v>2723</v>
      </c>
      <c r="B814" s="131" t="s">
        <v>2724</v>
      </c>
      <c r="C814" s="11" t="s">
        <v>4489</v>
      </c>
      <c r="D814" t="s">
        <v>4499</v>
      </c>
      <c r="E814" s="132"/>
      <c r="F814" s="145"/>
      <c r="G814" s="145"/>
      <c r="H814" s="3" t="s">
        <v>2725</v>
      </c>
      <c r="I814" s="147"/>
      <c r="J814" s="165">
        <v>124</v>
      </c>
      <c r="K814" s="15" t="s">
        <v>2726</v>
      </c>
      <c r="L814" s="11" t="s">
        <v>2727</v>
      </c>
      <c r="M814" s="13">
        <v>44971</v>
      </c>
      <c r="N814" s="86">
        <v>1470000</v>
      </c>
      <c r="O814" s="153" t="s">
        <v>20</v>
      </c>
      <c r="Q814" s="141"/>
      <c r="R814" s="191">
        <v>1470000</v>
      </c>
    </row>
    <row r="815" spans="1:18" s="1" customFormat="1" ht="15.75" customHeight="1" x14ac:dyDescent="0.3">
      <c r="A815" s="128" t="s">
        <v>2728</v>
      </c>
      <c r="B815" s="131" t="s">
        <v>2729</v>
      </c>
      <c r="C815" s="11" t="s">
        <v>4490</v>
      </c>
      <c r="D815" t="s">
        <v>4493</v>
      </c>
      <c r="E815"/>
      <c r="F815"/>
      <c r="G815" t="s">
        <v>4643</v>
      </c>
      <c r="H815" s="3" t="s">
        <v>2730</v>
      </c>
      <c r="I815" s="147"/>
      <c r="J815" s="165">
        <v>22077</v>
      </c>
      <c r="K815" s="15" t="s">
        <v>2731</v>
      </c>
      <c r="L815" s="15" t="s">
        <v>957</v>
      </c>
      <c r="M815" s="13">
        <v>44973</v>
      </c>
      <c r="N815" s="86">
        <v>37000</v>
      </c>
      <c r="O815" s="153" t="s">
        <v>20</v>
      </c>
      <c r="P815" s="1" t="s">
        <v>44</v>
      </c>
      <c r="Q815" s="141"/>
      <c r="R815" s="191">
        <v>37000</v>
      </c>
    </row>
    <row r="816" spans="1:18" s="22" customFormat="1" ht="15" customHeight="1" x14ac:dyDescent="0.3">
      <c r="A816" s="128" t="s">
        <v>2732</v>
      </c>
      <c r="B816" s="131" t="s">
        <v>2733</v>
      </c>
      <c r="C816" s="11" t="s">
        <v>4489</v>
      </c>
      <c r="D816" t="s">
        <v>4495</v>
      </c>
      <c r="E816" s="132"/>
      <c r="F816" s="145"/>
      <c r="G816" s="145"/>
      <c r="H816" s="3" t="s">
        <v>2734</v>
      </c>
      <c r="I816" s="147"/>
      <c r="J816" s="165">
        <v>29837</v>
      </c>
      <c r="K816" s="15" t="s">
        <v>1896</v>
      </c>
      <c r="L816" s="15" t="s">
        <v>1897</v>
      </c>
      <c r="M816" s="13">
        <v>44979</v>
      </c>
      <c r="N816" s="86">
        <v>2037.07</v>
      </c>
      <c r="O816" s="153"/>
      <c r="P816" s="1"/>
      <c r="Q816" s="141"/>
      <c r="R816" s="191" t="s">
        <v>4893</v>
      </c>
    </row>
    <row r="817" spans="1:18" s="1" customFormat="1" ht="15.75" customHeight="1" x14ac:dyDescent="0.3">
      <c r="A817" s="128" t="s">
        <v>2735</v>
      </c>
      <c r="B817" s="131" t="s">
        <v>2736</v>
      </c>
      <c r="C817" s="11" t="s">
        <v>4519</v>
      </c>
      <c r="D817" t="s">
        <v>4495</v>
      </c>
      <c r="E817" s="132"/>
      <c r="F817" s="145"/>
      <c r="G817" s="145"/>
      <c r="H817" s="3" t="s">
        <v>2466</v>
      </c>
      <c r="I817" s="147"/>
      <c r="J817" s="165">
        <v>3148</v>
      </c>
      <c r="K817" s="15" t="s">
        <v>2697</v>
      </c>
      <c r="L817" s="15" t="s">
        <v>1693</v>
      </c>
      <c r="M817" s="13">
        <v>44979</v>
      </c>
      <c r="N817" s="86">
        <v>2001</v>
      </c>
      <c r="O817" s="153"/>
      <c r="Q817" s="141"/>
      <c r="R817" s="191">
        <v>2001</v>
      </c>
    </row>
    <row r="818" spans="1:18" s="1" customFormat="1" ht="15.75" customHeight="1" x14ac:dyDescent="0.3">
      <c r="A818" s="128" t="s">
        <v>2737</v>
      </c>
      <c r="B818" s="9" t="s">
        <v>2738</v>
      </c>
      <c r="C818" s="11" t="s">
        <v>4519</v>
      </c>
      <c r="D818" t="s">
        <v>4495</v>
      </c>
      <c r="E818" s="3"/>
      <c r="F818" s="15"/>
      <c r="G818" s="15"/>
      <c r="H818" s="3" t="s">
        <v>2739</v>
      </c>
      <c r="I818" s="147"/>
      <c r="J818" s="165">
        <v>3148</v>
      </c>
      <c r="K818" s="15" t="s">
        <v>2697</v>
      </c>
      <c r="L818" s="15" t="s">
        <v>1693</v>
      </c>
      <c r="M818" s="13">
        <v>44979</v>
      </c>
      <c r="N818" s="86">
        <v>3328</v>
      </c>
      <c r="O818" s="28"/>
      <c r="Q818" s="141"/>
      <c r="R818" s="191">
        <v>3328</v>
      </c>
    </row>
    <row r="819" spans="1:18" s="1" customFormat="1" ht="15.75" customHeight="1" x14ac:dyDescent="0.3">
      <c r="A819" s="128" t="s">
        <v>2740</v>
      </c>
      <c r="B819" s="9" t="s">
        <v>2741</v>
      </c>
      <c r="C819" s="11" t="s">
        <v>4489</v>
      </c>
      <c r="D819" t="s">
        <v>4494</v>
      </c>
      <c r="E819" s="3"/>
      <c r="F819" s="15"/>
      <c r="G819" s="15"/>
      <c r="H819" s="3" t="s">
        <v>1843</v>
      </c>
      <c r="I819" s="147"/>
      <c r="J819" s="165">
        <v>641</v>
      </c>
      <c r="K819" s="15" t="s">
        <v>2742</v>
      </c>
      <c r="L819" s="15" t="s">
        <v>2743</v>
      </c>
      <c r="M819" s="13">
        <v>44991</v>
      </c>
      <c r="N819" s="86">
        <v>1703</v>
      </c>
      <c r="O819" s="28"/>
      <c r="Q819" s="141"/>
      <c r="R819" s="191">
        <v>1703</v>
      </c>
    </row>
    <row r="820" spans="1:18" s="1" customFormat="1" ht="15.75" customHeight="1" x14ac:dyDescent="0.3">
      <c r="A820" s="128" t="s">
        <v>2744</v>
      </c>
      <c r="B820" s="9" t="s">
        <v>2745</v>
      </c>
      <c r="C820" s="11" t="s">
        <v>4489</v>
      </c>
      <c r="D820" t="s">
        <v>4496</v>
      </c>
      <c r="E820" s="3"/>
      <c r="F820" s="15"/>
      <c r="G820" s="15"/>
      <c r="H820" s="3" t="s">
        <v>2746</v>
      </c>
      <c r="I820" s="147"/>
      <c r="J820" s="165">
        <v>43649</v>
      </c>
      <c r="K820" s="15" t="s">
        <v>1952</v>
      </c>
      <c r="L820" s="15" t="s">
        <v>2747</v>
      </c>
      <c r="M820" s="13">
        <v>44992</v>
      </c>
      <c r="N820" s="86">
        <v>41500</v>
      </c>
      <c r="O820" s="28"/>
      <c r="Q820" s="141"/>
      <c r="R820" s="191">
        <v>41500</v>
      </c>
    </row>
    <row r="821" spans="1:18" s="1" customFormat="1" ht="15.75" customHeight="1" x14ac:dyDescent="0.3">
      <c r="A821" s="128" t="s">
        <v>2748</v>
      </c>
      <c r="B821" s="9" t="s">
        <v>2749</v>
      </c>
      <c r="C821" s="11" t="s">
        <v>4489</v>
      </c>
      <c r="D821" t="s">
        <v>4493</v>
      </c>
      <c r="E821" s="3"/>
      <c r="F821" s="15"/>
      <c r="G821" s="15"/>
      <c r="H821" s="3" t="s">
        <v>2054</v>
      </c>
      <c r="I821" s="147"/>
      <c r="J821" s="165">
        <v>11644</v>
      </c>
      <c r="K821" s="15" t="s">
        <v>2750</v>
      </c>
      <c r="L821" s="15" t="s">
        <v>2056</v>
      </c>
      <c r="M821" s="13">
        <v>44994</v>
      </c>
      <c r="N821" s="86">
        <v>5900</v>
      </c>
      <c r="O821" s="28" t="s">
        <v>20</v>
      </c>
      <c r="P821" s="1" t="s">
        <v>78</v>
      </c>
      <c r="Q821" s="141"/>
      <c r="R821" s="191">
        <v>5900</v>
      </c>
    </row>
    <row r="822" spans="1:18" s="1" customFormat="1" ht="15.75" customHeight="1" x14ac:dyDescent="0.3">
      <c r="A822" s="128" t="s">
        <v>2751</v>
      </c>
      <c r="B822" s="9" t="s">
        <v>2752</v>
      </c>
      <c r="C822" s="11" t="s">
        <v>4489</v>
      </c>
      <c r="D822" t="s">
        <v>4493</v>
      </c>
      <c r="E822" s="3"/>
      <c r="F822" s="15"/>
      <c r="G822" s="15"/>
      <c r="H822" s="3" t="s">
        <v>2054</v>
      </c>
      <c r="I822" s="147"/>
      <c r="J822" s="165">
        <v>11644</v>
      </c>
      <c r="K822" s="15" t="s">
        <v>2750</v>
      </c>
      <c r="L822" s="15" t="s">
        <v>2056</v>
      </c>
      <c r="M822" s="13">
        <v>44994</v>
      </c>
      <c r="N822" s="86">
        <v>5900</v>
      </c>
      <c r="O822" s="28" t="s">
        <v>20</v>
      </c>
      <c r="P822" s="1" t="s">
        <v>78</v>
      </c>
      <c r="Q822" s="141"/>
      <c r="R822" s="191">
        <v>5900</v>
      </c>
    </row>
    <row r="823" spans="1:18" s="1" customFormat="1" ht="15.75" customHeight="1" x14ac:dyDescent="0.3">
      <c r="A823" s="128" t="s">
        <v>2753</v>
      </c>
      <c r="B823" s="9" t="s">
        <v>2754</v>
      </c>
      <c r="C823" s="11" t="s">
        <v>4490</v>
      </c>
      <c r="D823" t="s">
        <v>4494</v>
      </c>
      <c r="E823"/>
      <c r="F823" t="s">
        <v>2755</v>
      </c>
      <c r="G823" t="s">
        <v>4642</v>
      </c>
      <c r="H823" s="3" t="s">
        <v>1568</v>
      </c>
      <c r="I823" s="147"/>
      <c r="J823" s="165">
        <v>3651</v>
      </c>
      <c r="K823" s="15" t="s">
        <v>1683</v>
      </c>
      <c r="L823" s="15" t="s">
        <v>1684</v>
      </c>
      <c r="M823" s="13">
        <v>45005</v>
      </c>
      <c r="N823" s="86">
        <v>1750000</v>
      </c>
      <c r="O823" s="28" t="s">
        <v>20</v>
      </c>
      <c r="P823" s="1" t="s">
        <v>66</v>
      </c>
      <c r="Q823" s="141"/>
      <c r="R823" s="191">
        <v>1750000</v>
      </c>
    </row>
    <row r="824" spans="1:18" s="1" customFormat="1" ht="15.75" customHeight="1" x14ac:dyDescent="0.3">
      <c r="A824" s="128" t="s">
        <v>2756</v>
      </c>
      <c r="B824" s="9" t="s">
        <v>2757</v>
      </c>
      <c r="C824" s="11" t="s">
        <v>4489</v>
      </c>
      <c r="D824" t="s">
        <v>4493</v>
      </c>
      <c r="E824" s="3"/>
      <c r="F824" s="15"/>
      <c r="G824" s="15"/>
      <c r="H824" s="3" t="s">
        <v>489</v>
      </c>
      <c r="I824" s="147"/>
      <c r="J824" s="165">
        <v>1360</v>
      </c>
      <c r="K824" s="15" t="s">
        <v>2758</v>
      </c>
      <c r="L824" s="15" t="s">
        <v>2759</v>
      </c>
      <c r="M824" s="13">
        <v>45021</v>
      </c>
      <c r="N824" s="86">
        <v>1559</v>
      </c>
      <c r="O824" s="28" t="s">
        <v>20</v>
      </c>
      <c r="P824" s="1" t="s">
        <v>78</v>
      </c>
      <c r="Q824" s="141"/>
      <c r="R824" s="191">
        <v>1559</v>
      </c>
    </row>
    <row r="825" spans="1:18" s="1" customFormat="1" ht="15.75" customHeight="1" x14ac:dyDescent="0.3">
      <c r="A825" s="128" t="s">
        <v>2760</v>
      </c>
      <c r="B825" s="9" t="s">
        <v>2761</v>
      </c>
      <c r="C825" s="11" t="s">
        <v>4489</v>
      </c>
      <c r="D825" t="s">
        <v>4494</v>
      </c>
      <c r="E825"/>
      <c r="F825"/>
      <c r="G825"/>
      <c r="H825" s="3" t="s">
        <v>489</v>
      </c>
      <c r="I825" s="147"/>
      <c r="J825" s="165">
        <v>1360</v>
      </c>
      <c r="K825" s="15" t="s">
        <v>2758</v>
      </c>
      <c r="L825" s="15" t="s">
        <v>2759</v>
      </c>
      <c r="M825" s="13">
        <v>45021</v>
      </c>
      <c r="N825" s="86">
        <v>1559</v>
      </c>
      <c r="O825" s="28" t="s">
        <v>20</v>
      </c>
      <c r="P825" s="1" t="s">
        <v>78</v>
      </c>
      <c r="Q825" s="141"/>
      <c r="R825" s="191">
        <v>1559</v>
      </c>
    </row>
    <row r="826" spans="1:18" s="1" customFormat="1" ht="15.75" customHeight="1" x14ac:dyDescent="0.3">
      <c r="A826" s="128" t="s">
        <v>2762</v>
      </c>
      <c r="B826" s="9" t="s">
        <v>2763</v>
      </c>
      <c r="C826" s="11" t="s">
        <v>4519</v>
      </c>
      <c r="D826" t="s">
        <v>4496</v>
      </c>
      <c r="E826" s="3"/>
      <c r="F826" s="15"/>
      <c r="G826" s="15"/>
      <c r="H826" s="3" t="s">
        <v>2764</v>
      </c>
      <c r="I826" s="147"/>
      <c r="J826" s="165">
        <v>545</v>
      </c>
      <c r="K826" s="15" t="s">
        <v>2765</v>
      </c>
      <c r="L826" s="15" t="s">
        <v>2766</v>
      </c>
      <c r="M826" s="13">
        <v>45021</v>
      </c>
      <c r="N826" s="86">
        <v>2310</v>
      </c>
      <c r="O826" s="28"/>
      <c r="Q826" s="141"/>
      <c r="R826" s="191">
        <v>2310</v>
      </c>
    </row>
    <row r="827" spans="1:18" s="1" customFormat="1" ht="15.75" customHeight="1" x14ac:dyDescent="0.3">
      <c r="A827" s="128" t="s">
        <v>2767</v>
      </c>
      <c r="B827" s="9" t="s">
        <v>2768</v>
      </c>
      <c r="C827" s="11" t="s">
        <v>4489</v>
      </c>
      <c r="D827" t="s">
        <v>4495</v>
      </c>
      <c r="E827" s="3"/>
      <c r="F827" s="15"/>
      <c r="G827" s="15"/>
      <c r="H827" s="3" t="s">
        <v>1445</v>
      </c>
      <c r="I827" s="147"/>
      <c r="J827" s="165">
        <v>1368</v>
      </c>
      <c r="K827" s="15" t="s">
        <v>2758</v>
      </c>
      <c r="L827" s="11" t="s">
        <v>2759</v>
      </c>
      <c r="M827" s="13">
        <v>45026</v>
      </c>
      <c r="N827" s="86">
        <v>3169.99</v>
      </c>
      <c r="O827" s="28"/>
      <c r="Q827" s="141"/>
      <c r="R827" s="191" t="s">
        <v>4894</v>
      </c>
    </row>
    <row r="828" spans="1:18" s="1" customFormat="1" x14ac:dyDescent="0.3">
      <c r="A828" s="131" t="s">
        <v>2769</v>
      </c>
      <c r="B828" s="9" t="s">
        <v>2769</v>
      </c>
      <c r="C828" s="11" t="s">
        <v>4488</v>
      </c>
      <c r="D828" t="s">
        <v>4495</v>
      </c>
      <c r="E828"/>
      <c r="F828" t="s">
        <v>4624</v>
      </c>
      <c r="G828"/>
      <c r="H828" s="3" t="s">
        <v>2770</v>
      </c>
      <c r="I828" s="147"/>
      <c r="J828" s="165"/>
      <c r="K828" s="14"/>
      <c r="L828" s="23"/>
      <c r="M828" s="29">
        <v>45565</v>
      </c>
      <c r="N828" s="86">
        <v>6389074.1100000003</v>
      </c>
      <c r="O828" s="25"/>
      <c r="P828" s="1" t="s">
        <v>66</v>
      </c>
      <c r="Q828" s="141"/>
      <c r="R828" s="191" t="s">
        <v>4895</v>
      </c>
    </row>
    <row r="829" spans="1:18" s="1" customFormat="1" ht="15.75" customHeight="1" x14ac:dyDescent="0.3">
      <c r="A829" s="128" t="s">
        <v>2771</v>
      </c>
      <c r="B829" s="9" t="s">
        <v>2772</v>
      </c>
      <c r="C829" s="11" t="s">
        <v>4518</v>
      </c>
      <c r="D829" t="s">
        <v>4495</v>
      </c>
      <c r="E829"/>
      <c r="F829"/>
      <c r="G829"/>
      <c r="H829" s="3" t="s">
        <v>2773</v>
      </c>
      <c r="I829" s="147"/>
      <c r="J829" s="165">
        <v>145024</v>
      </c>
      <c r="K829" s="15" t="s">
        <v>1769</v>
      </c>
      <c r="L829" s="15" t="s">
        <v>1770</v>
      </c>
      <c r="M829" s="13">
        <v>45042</v>
      </c>
      <c r="N829" s="86">
        <v>9016.8799999999992</v>
      </c>
      <c r="O829" s="28" t="s">
        <v>20</v>
      </c>
      <c r="Q829" s="141"/>
      <c r="R829" s="191" t="s">
        <v>4896</v>
      </c>
    </row>
    <row r="830" spans="1:18" s="1" customFormat="1" ht="15.75" customHeight="1" x14ac:dyDescent="0.3">
      <c r="A830" s="128" t="s">
        <v>2774</v>
      </c>
      <c r="B830" s="9" t="s">
        <v>2775</v>
      </c>
      <c r="C830" s="11" t="s">
        <v>4518</v>
      </c>
      <c r="D830" t="s">
        <v>4493</v>
      </c>
      <c r="E830" s="3"/>
      <c r="F830" s="10"/>
      <c r="G830" s="10"/>
      <c r="H830" s="3" t="s">
        <v>2776</v>
      </c>
      <c r="I830" s="147"/>
      <c r="J830" s="165">
        <v>145285</v>
      </c>
      <c r="K830" s="15" t="s">
        <v>1769</v>
      </c>
      <c r="L830" s="15" t="s">
        <v>1770</v>
      </c>
      <c r="M830" s="13">
        <v>45048</v>
      </c>
      <c r="N830" s="86">
        <v>1560.33</v>
      </c>
      <c r="O830" s="28"/>
      <c r="Q830" s="141"/>
      <c r="R830" s="191" t="s">
        <v>4897</v>
      </c>
    </row>
    <row r="831" spans="1:18" s="1" customFormat="1" ht="15" customHeight="1" x14ac:dyDescent="0.3">
      <c r="A831" s="128" t="s">
        <v>2777</v>
      </c>
      <c r="B831" s="9" t="s">
        <v>2778</v>
      </c>
      <c r="C831" s="11" t="s">
        <v>4518</v>
      </c>
      <c r="D831" t="s">
        <v>4493</v>
      </c>
      <c r="E831" s="3"/>
      <c r="F831" s="10"/>
      <c r="G831" s="10"/>
      <c r="H831" s="3" t="s">
        <v>2779</v>
      </c>
      <c r="I831" s="147"/>
      <c r="J831" s="165">
        <v>845787</v>
      </c>
      <c r="K831" s="15" t="s">
        <v>2780</v>
      </c>
      <c r="L831" s="11" t="s">
        <v>892</v>
      </c>
      <c r="M831" s="13">
        <v>45051</v>
      </c>
      <c r="N831" s="86">
        <v>12998</v>
      </c>
      <c r="O831" s="28"/>
      <c r="Q831" s="141"/>
      <c r="R831" s="191">
        <v>12998</v>
      </c>
    </row>
    <row r="832" spans="1:18" s="1" customFormat="1" ht="15.75" customHeight="1" x14ac:dyDescent="0.3">
      <c r="A832" s="128" t="s">
        <v>2781</v>
      </c>
      <c r="B832" s="9" t="s">
        <v>2782</v>
      </c>
      <c r="C832" s="11" t="s">
        <v>4518</v>
      </c>
      <c r="D832" t="s">
        <v>4493</v>
      </c>
      <c r="E832" s="3"/>
      <c r="F832" s="10"/>
      <c r="G832" s="10"/>
      <c r="H832" s="3" t="s">
        <v>2783</v>
      </c>
      <c r="I832" s="147"/>
      <c r="J832" s="165">
        <v>145650</v>
      </c>
      <c r="K832" s="15" t="s">
        <v>1769</v>
      </c>
      <c r="L832" s="15" t="s">
        <v>1770</v>
      </c>
      <c r="M832" s="13">
        <v>45051</v>
      </c>
      <c r="N832" s="86">
        <v>17640</v>
      </c>
      <c r="O832" s="28" t="s">
        <v>20</v>
      </c>
      <c r="P832" s="1" t="s">
        <v>78</v>
      </c>
      <c r="Q832" s="141"/>
      <c r="R832" s="191">
        <v>17640</v>
      </c>
    </row>
    <row r="833" spans="1:18" s="1" customFormat="1" ht="15.75" customHeight="1" x14ac:dyDescent="0.3">
      <c r="A833" s="128" t="s">
        <v>2784</v>
      </c>
      <c r="B833" s="9" t="s">
        <v>2785</v>
      </c>
      <c r="C833" s="11" t="s">
        <v>4489</v>
      </c>
      <c r="D833" t="s">
        <v>4492</v>
      </c>
      <c r="E833" s="3"/>
      <c r="F833" s="15"/>
      <c r="G833" s="15"/>
      <c r="H833" s="3" t="s">
        <v>2786</v>
      </c>
      <c r="I833" s="147"/>
      <c r="J833" s="165">
        <v>881</v>
      </c>
      <c r="K833" s="15" t="s">
        <v>546</v>
      </c>
      <c r="L833" s="11" t="s">
        <v>547</v>
      </c>
      <c r="M833" s="13">
        <v>45051</v>
      </c>
      <c r="N833" s="86">
        <v>4960</v>
      </c>
      <c r="O833" s="28"/>
      <c r="Q833" s="141"/>
      <c r="R833" s="191">
        <v>4960</v>
      </c>
    </row>
    <row r="834" spans="1:18" s="1" customFormat="1" ht="15.75" customHeight="1" x14ac:dyDescent="0.3">
      <c r="A834" s="128" t="s">
        <v>2787</v>
      </c>
      <c r="B834" s="9" t="s">
        <v>2788</v>
      </c>
      <c r="C834" s="11" t="s">
        <v>4519</v>
      </c>
      <c r="D834" t="s">
        <v>4495</v>
      </c>
      <c r="E834" s="3"/>
      <c r="F834" s="15"/>
      <c r="G834" s="15"/>
      <c r="H834" s="3" t="s">
        <v>2789</v>
      </c>
      <c r="I834" s="147"/>
      <c r="J834" s="165">
        <v>546</v>
      </c>
      <c r="K834" s="15" t="s">
        <v>2790</v>
      </c>
      <c r="L834" s="15" t="s">
        <v>2791</v>
      </c>
      <c r="M834" s="13">
        <v>45054</v>
      </c>
      <c r="N834" s="86">
        <v>1430</v>
      </c>
      <c r="O834" s="28"/>
      <c r="Q834" s="141"/>
      <c r="R834" s="191">
        <v>1430</v>
      </c>
    </row>
    <row r="835" spans="1:18" s="1" customFormat="1" ht="15.75" customHeight="1" x14ac:dyDescent="0.3">
      <c r="A835" s="128" t="s">
        <v>2792</v>
      </c>
      <c r="B835" s="9" t="s">
        <v>2793</v>
      </c>
      <c r="C835" s="11" t="s">
        <v>4519</v>
      </c>
      <c r="D835" t="s">
        <v>4495</v>
      </c>
      <c r="E835" s="3"/>
      <c r="F835" s="15"/>
      <c r="G835" s="15"/>
      <c r="H835" s="3" t="s">
        <v>2794</v>
      </c>
      <c r="I835" s="147"/>
      <c r="J835" s="165">
        <v>3433</v>
      </c>
      <c r="K835" s="15" t="s">
        <v>701</v>
      </c>
      <c r="L835" s="15" t="s">
        <v>730</v>
      </c>
      <c r="M835" s="13">
        <v>45057</v>
      </c>
      <c r="N835" s="86">
        <v>2799</v>
      </c>
      <c r="O835" s="28" t="s">
        <v>20</v>
      </c>
      <c r="Q835" s="141"/>
      <c r="R835" s="191">
        <v>2799</v>
      </c>
    </row>
    <row r="836" spans="1:18" s="1" customFormat="1" ht="15.75" customHeight="1" x14ac:dyDescent="0.3">
      <c r="A836" s="128" t="s">
        <v>2795</v>
      </c>
      <c r="B836" s="9" t="s">
        <v>2796</v>
      </c>
      <c r="C836" s="11" t="s">
        <v>4519</v>
      </c>
      <c r="D836" t="s">
        <v>4495</v>
      </c>
      <c r="E836" s="3"/>
      <c r="F836" s="15"/>
      <c r="G836" s="15"/>
      <c r="H836" s="3" t="s">
        <v>2797</v>
      </c>
      <c r="I836" s="147"/>
      <c r="J836" s="165">
        <v>3433</v>
      </c>
      <c r="K836" s="15" t="s">
        <v>701</v>
      </c>
      <c r="L836" s="15" t="s">
        <v>730</v>
      </c>
      <c r="M836" s="13">
        <v>45057</v>
      </c>
      <c r="N836" s="86">
        <v>6000</v>
      </c>
      <c r="O836" s="28"/>
      <c r="Q836" s="141"/>
      <c r="R836" s="191">
        <v>6000</v>
      </c>
    </row>
    <row r="837" spans="1:18" s="1" customFormat="1" ht="15.75" customHeight="1" x14ac:dyDescent="0.3">
      <c r="A837" s="128" t="s">
        <v>2798</v>
      </c>
      <c r="B837" s="9" t="s">
        <v>2799</v>
      </c>
      <c r="C837" s="11" t="s">
        <v>4519</v>
      </c>
      <c r="D837" t="s">
        <v>4495</v>
      </c>
      <c r="E837" s="3"/>
      <c r="F837" s="15"/>
      <c r="G837" s="15"/>
      <c r="H837" s="3" t="s">
        <v>2800</v>
      </c>
      <c r="I837" s="147"/>
      <c r="J837" s="165">
        <v>3433</v>
      </c>
      <c r="K837" s="15" t="s">
        <v>701</v>
      </c>
      <c r="L837" s="15" t="s">
        <v>730</v>
      </c>
      <c r="M837" s="13">
        <v>45057</v>
      </c>
      <c r="N837" s="86">
        <v>10000</v>
      </c>
      <c r="O837" s="28"/>
      <c r="Q837" s="141"/>
      <c r="R837" s="191">
        <v>10000</v>
      </c>
    </row>
    <row r="838" spans="1:18" s="1" customFormat="1" ht="15.75" customHeight="1" x14ac:dyDescent="0.3">
      <c r="A838" s="128" t="s">
        <v>2801</v>
      </c>
      <c r="B838" s="9" t="s">
        <v>2802</v>
      </c>
      <c r="C838" s="11" t="s">
        <v>4519</v>
      </c>
      <c r="D838" t="s">
        <v>4495</v>
      </c>
      <c r="E838" s="3"/>
      <c r="F838" s="15"/>
      <c r="G838" s="15"/>
      <c r="H838" s="3" t="s">
        <v>2803</v>
      </c>
      <c r="I838" s="147"/>
      <c r="J838" s="165">
        <v>3433</v>
      </c>
      <c r="K838" s="15" t="s">
        <v>701</v>
      </c>
      <c r="L838" s="15" t="s">
        <v>730</v>
      </c>
      <c r="M838" s="13">
        <v>45057</v>
      </c>
      <c r="N838" s="86">
        <v>5000</v>
      </c>
      <c r="O838" s="28"/>
      <c r="Q838" s="141"/>
      <c r="R838" s="191">
        <v>5000</v>
      </c>
    </row>
    <row r="839" spans="1:18" s="1" customFormat="1" ht="15.75" customHeight="1" x14ac:dyDescent="0.3">
      <c r="A839" s="128" t="s">
        <v>2804</v>
      </c>
      <c r="B839" s="9" t="s">
        <v>2805</v>
      </c>
      <c r="C839" s="11" t="s">
        <v>4490</v>
      </c>
      <c r="D839" t="s">
        <v>4492</v>
      </c>
      <c r="E839"/>
      <c r="F839" t="s">
        <v>2806</v>
      </c>
      <c r="G839" t="s">
        <v>4643</v>
      </c>
      <c r="H839" s="3" t="s">
        <v>2807</v>
      </c>
      <c r="I839" s="147"/>
      <c r="J839" s="165">
        <v>4078</v>
      </c>
      <c r="K839" s="15" t="s">
        <v>2808</v>
      </c>
      <c r="L839" s="15" t="s">
        <v>834</v>
      </c>
      <c r="M839" s="13">
        <v>45061</v>
      </c>
      <c r="N839" s="86">
        <v>253000</v>
      </c>
      <c r="O839" s="28" t="s">
        <v>20</v>
      </c>
      <c r="P839" s="1" t="s">
        <v>78</v>
      </c>
      <c r="Q839" s="141"/>
      <c r="R839" s="191">
        <v>253000</v>
      </c>
    </row>
    <row r="840" spans="1:18" s="1" customFormat="1" ht="15.75" customHeight="1" x14ac:dyDescent="0.3">
      <c r="A840" s="128" t="s">
        <v>2809</v>
      </c>
      <c r="B840" s="9" t="s">
        <v>2810</v>
      </c>
      <c r="C840" s="11" t="s">
        <v>4519</v>
      </c>
      <c r="D840" t="s">
        <v>4493</v>
      </c>
      <c r="E840" s="3"/>
      <c r="F840" s="15"/>
      <c r="G840" s="15"/>
      <c r="H840" s="3" t="s">
        <v>2811</v>
      </c>
      <c r="I840" s="147"/>
      <c r="J840" s="165">
        <v>2689</v>
      </c>
      <c r="K840" s="15" t="s">
        <v>701</v>
      </c>
      <c r="L840" s="15" t="s">
        <v>730</v>
      </c>
      <c r="M840" s="13">
        <v>45061</v>
      </c>
      <c r="N840" s="86">
        <v>3636</v>
      </c>
      <c r="O840" s="28" t="s">
        <v>20</v>
      </c>
      <c r="P840" s="1" t="s">
        <v>91</v>
      </c>
      <c r="Q840" s="141"/>
      <c r="R840" s="191">
        <v>3636</v>
      </c>
    </row>
    <row r="841" spans="1:18" s="1" customFormat="1" ht="15.75" customHeight="1" x14ac:dyDescent="0.3">
      <c r="A841" s="128" t="s">
        <v>2812</v>
      </c>
      <c r="B841" s="9" t="s">
        <v>2813</v>
      </c>
      <c r="C841" s="11" t="s">
        <v>4519</v>
      </c>
      <c r="D841" t="s">
        <v>4495</v>
      </c>
      <c r="E841" s="3"/>
      <c r="F841" s="15"/>
      <c r="G841" s="15"/>
      <c r="H841" s="3" t="s">
        <v>2814</v>
      </c>
      <c r="I841" s="147"/>
      <c r="J841" s="165">
        <v>199251</v>
      </c>
      <c r="K841" s="15" t="s">
        <v>2815</v>
      </c>
      <c r="L841" s="15" t="s">
        <v>2816</v>
      </c>
      <c r="M841" s="13">
        <v>45061</v>
      </c>
      <c r="N841" s="86">
        <v>3785.86</v>
      </c>
      <c r="O841" s="28"/>
      <c r="Q841" s="141"/>
      <c r="R841" s="191" t="s">
        <v>4898</v>
      </c>
    </row>
    <row r="842" spans="1:18" s="1" customFormat="1" ht="15.75" customHeight="1" x14ac:dyDescent="0.3">
      <c r="A842" s="128" t="s">
        <v>2817</v>
      </c>
      <c r="B842" s="9" t="s">
        <v>2818</v>
      </c>
      <c r="C842" s="11" t="s">
        <v>4487</v>
      </c>
      <c r="D842" t="s">
        <v>4494</v>
      </c>
      <c r="E842"/>
      <c r="F842" t="s">
        <v>2819</v>
      </c>
      <c r="G842" t="s">
        <v>4643</v>
      </c>
      <c r="H842" s="3" t="s">
        <v>2820</v>
      </c>
      <c r="I842" s="147"/>
      <c r="J842" s="165">
        <v>195890</v>
      </c>
      <c r="K842" s="15" t="s">
        <v>2821</v>
      </c>
      <c r="L842" s="11" t="s">
        <v>2093</v>
      </c>
      <c r="M842" s="13">
        <v>45069</v>
      </c>
      <c r="N842" s="86">
        <v>24000</v>
      </c>
      <c r="O842" s="28" t="s">
        <v>20</v>
      </c>
      <c r="P842" s="1" t="s">
        <v>78</v>
      </c>
      <c r="Q842" s="141"/>
      <c r="R842" s="191">
        <v>24000</v>
      </c>
    </row>
    <row r="843" spans="1:18" s="22" customFormat="1" ht="15.75" customHeight="1" x14ac:dyDescent="0.3">
      <c r="A843" s="128" t="s">
        <v>2822</v>
      </c>
      <c r="B843" s="9" t="s">
        <v>2823</v>
      </c>
      <c r="C843" s="11" t="s">
        <v>4487</v>
      </c>
      <c r="D843" t="s">
        <v>4494</v>
      </c>
      <c r="E843"/>
      <c r="F843" t="s">
        <v>2824</v>
      </c>
      <c r="G843" t="s">
        <v>4643</v>
      </c>
      <c r="H843" s="3" t="s">
        <v>2820</v>
      </c>
      <c r="I843" s="147"/>
      <c r="J843" s="165">
        <v>115705</v>
      </c>
      <c r="K843" s="15" t="s">
        <v>2821</v>
      </c>
      <c r="L843" s="11" t="s">
        <v>2825</v>
      </c>
      <c r="M843" s="13">
        <v>45070</v>
      </c>
      <c r="N843" s="86">
        <v>24000</v>
      </c>
      <c r="O843" s="28" t="s">
        <v>20</v>
      </c>
      <c r="P843" s="1" t="s">
        <v>44</v>
      </c>
      <c r="Q843" s="141"/>
      <c r="R843" s="191">
        <v>24000</v>
      </c>
    </row>
    <row r="844" spans="1:18" s="1" customFormat="1" ht="15.75" customHeight="1" x14ac:dyDescent="0.3">
      <c r="A844" s="128" t="s">
        <v>2826</v>
      </c>
      <c r="B844" s="9" t="s">
        <v>2827</v>
      </c>
      <c r="C844" s="11" t="s">
        <v>4519</v>
      </c>
      <c r="D844" t="s">
        <v>4493</v>
      </c>
      <c r="E844" s="3"/>
      <c r="F844" s="15"/>
      <c r="G844" s="15"/>
      <c r="H844" s="3" t="s">
        <v>2828</v>
      </c>
      <c r="I844" s="147"/>
      <c r="J844" s="165">
        <v>232138</v>
      </c>
      <c r="K844" s="15" t="s">
        <v>1089</v>
      </c>
      <c r="L844" s="15" t="s">
        <v>1090</v>
      </c>
      <c r="M844" s="13">
        <v>45071</v>
      </c>
      <c r="N844" s="86">
        <v>3474.48</v>
      </c>
      <c r="O844" s="28" t="s">
        <v>20</v>
      </c>
      <c r="P844" s="1" t="s">
        <v>78</v>
      </c>
      <c r="Q844" s="141"/>
      <c r="R844" s="191" t="s">
        <v>4899</v>
      </c>
    </row>
    <row r="845" spans="1:18" s="1" customFormat="1" ht="15.75" customHeight="1" x14ac:dyDescent="0.3">
      <c r="A845" s="128" t="s">
        <v>2829</v>
      </c>
      <c r="B845" s="9" t="s">
        <v>2830</v>
      </c>
      <c r="C845" s="11" t="s">
        <v>4519</v>
      </c>
      <c r="D845" t="s">
        <v>4495</v>
      </c>
      <c r="E845" s="3"/>
      <c r="F845" s="15"/>
      <c r="G845" s="15"/>
      <c r="H845" s="3" t="s">
        <v>2466</v>
      </c>
      <c r="I845" s="147"/>
      <c r="J845" s="165">
        <v>4305</v>
      </c>
      <c r="K845" s="15" t="s">
        <v>2697</v>
      </c>
      <c r="L845" s="15" t="s">
        <v>1693</v>
      </c>
      <c r="M845" s="13">
        <v>45071</v>
      </c>
      <c r="N845" s="86">
        <v>1699</v>
      </c>
      <c r="O845" s="28" t="s">
        <v>20</v>
      </c>
      <c r="Q845" s="141"/>
      <c r="R845" s="191">
        <v>1699</v>
      </c>
    </row>
    <row r="846" spans="1:18" s="1" customFormat="1" ht="15.75" customHeight="1" x14ac:dyDescent="0.3">
      <c r="A846" s="128" t="s">
        <v>2831</v>
      </c>
      <c r="B846" s="9" t="s">
        <v>2832</v>
      </c>
      <c r="C846" s="11" t="s">
        <v>4519</v>
      </c>
      <c r="D846" t="s">
        <v>4495</v>
      </c>
      <c r="E846" s="3"/>
      <c r="F846" s="15"/>
      <c r="G846" s="15"/>
      <c r="H846" s="3" t="s">
        <v>2469</v>
      </c>
      <c r="I846" s="147"/>
      <c r="J846" s="165">
        <v>4305</v>
      </c>
      <c r="K846" s="15" t="s">
        <v>2697</v>
      </c>
      <c r="L846" s="15" t="s">
        <v>1693</v>
      </c>
      <c r="M846" s="13">
        <v>45071</v>
      </c>
      <c r="N846" s="86">
        <v>1899</v>
      </c>
      <c r="O846" s="28"/>
      <c r="Q846" s="141"/>
      <c r="R846" s="191">
        <v>1899</v>
      </c>
    </row>
    <row r="847" spans="1:18" s="1" customFormat="1" ht="15.75" customHeight="1" x14ac:dyDescent="0.3">
      <c r="A847" s="128" t="s">
        <v>2833</v>
      </c>
      <c r="B847" s="9" t="s">
        <v>2834</v>
      </c>
      <c r="C847" s="11" t="s">
        <v>4519</v>
      </c>
      <c r="D847" t="s">
        <v>4495</v>
      </c>
      <c r="E847" s="3"/>
      <c r="F847" s="15"/>
      <c r="G847" s="15"/>
      <c r="H847" s="3" t="s">
        <v>2466</v>
      </c>
      <c r="I847" s="147"/>
      <c r="J847" s="165">
        <v>3201</v>
      </c>
      <c r="K847" s="15" t="s">
        <v>2697</v>
      </c>
      <c r="L847" s="15" t="s">
        <v>1693</v>
      </c>
      <c r="M847" s="13">
        <v>45072</v>
      </c>
      <c r="N847" s="86">
        <v>1938</v>
      </c>
      <c r="O847" s="28"/>
      <c r="Q847" s="141"/>
      <c r="R847" s="191">
        <v>1938</v>
      </c>
    </row>
    <row r="848" spans="1:18" s="1" customFormat="1" ht="15.75" customHeight="1" x14ac:dyDescent="0.3">
      <c r="A848" s="128" t="s">
        <v>2835</v>
      </c>
      <c r="B848" s="9" t="s">
        <v>2836</v>
      </c>
      <c r="C848" s="11" t="s">
        <v>4519</v>
      </c>
      <c r="D848" t="s">
        <v>4495</v>
      </c>
      <c r="E848" s="3"/>
      <c r="F848" s="15"/>
      <c r="G848" s="15"/>
      <c r="H848" s="3" t="s">
        <v>2466</v>
      </c>
      <c r="I848" s="147"/>
      <c r="J848" s="165">
        <v>3201</v>
      </c>
      <c r="K848" s="15" t="s">
        <v>2697</v>
      </c>
      <c r="L848" s="15" t="s">
        <v>1693</v>
      </c>
      <c r="M848" s="13">
        <v>45072</v>
      </c>
      <c r="N848" s="86">
        <v>1938</v>
      </c>
      <c r="O848" s="28"/>
      <c r="Q848" s="141"/>
      <c r="R848" s="191">
        <v>1938</v>
      </c>
    </row>
    <row r="849" spans="1:18" s="1" customFormat="1" ht="15.75" customHeight="1" x14ac:dyDescent="0.3">
      <c r="A849" s="128" t="s">
        <v>2837</v>
      </c>
      <c r="B849" s="9" t="s">
        <v>2838</v>
      </c>
      <c r="C849" s="11" t="s">
        <v>4519</v>
      </c>
      <c r="D849" t="s">
        <v>4495</v>
      </c>
      <c r="E849" s="3"/>
      <c r="F849" s="15"/>
      <c r="G849" s="15"/>
      <c r="H849" s="3" t="s">
        <v>2466</v>
      </c>
      <c r="I849" s="147"/>
      <c r="J849" s="165">
        <v>3201</v>
      </c>
      <c r="K849" s="15" t="s">
        <v>2697</v>
      </c>
      <c r="L849" s="15" t="s">
        <v>1693</v>
      </c>
      <c r="M849" s="13">
        <v>45072</v>
      </c>
      <c r="N849" s="86">
        <v>1938</v>
      </c>
      <c r="O849" s="28"/>
      <c r="Q849" s="141"/>
      <c r="R849" s="191">
        <v>1938</v>
      </c>
    </row>
    <row r="850" spans="1:18" s="1" customFormat="1" ht="15" customHeight="1" x14ac:dyDescent="0.3">
      <c r="A850" s="128" t="s">
        <v>2839</v>
      </c>
      <c r="B850" s="9" t="s">
        <v>2840</v>
      </c>
      <c r="C850" s="11" t="s">
        <v>4519</v>
      </c>
      <c r="D850" t="s">
        <v>4495</v>
      </c>
      <c r="E850" s="3"/>
      <c r="F850" s="15"/>
      <c r="G850" s="15"/>
      <c r="H850" s="3" t="s">
        <v>2466</v>
      </c>
      <c r="I850" s="147"/>
      <c r="J850" s="165">
        <v>3201</v>
      </c>
      <c r="K850" s="15" t="s">
        <v>2697</v>
      </c>
      <c r="L850" s="15" t="s">
        <v>1693</v>
      </c>
      <c r="M850" s="13">
        <v>45072</v>
      </c>
      <c r="N850" s="86">
        <v>1938</v>
      </c>
      <c r="O850" s="28"/>
      <c r="Q850" s="141"/>
      <c r="R850" s="191">
        <v>1938</v>
      </c>
    </row>
    <row r="851" spans="1:18" s="1" customFormat="1" ht="15.75" customHeight="1" x14ac:dyDescent="0.3">
      <c r="A851" s="128" t="s">
        <v>2841</v>
      </c>
      <c r="B851" s="9" t="s">
        <v>2842</v>
      </c>
      <c r="C851" s="11" t="s">
        <v>4519</v>
      </c>
      <c r="D851" t="s">
        <v>4495</v>
      </c>
      <c r="E851" s="3"/>
      <c r="F851" s="15"/>
      <c r="G851" s="15"/>
      <c r="H851" s="3" t="s">
        <v>2466</v>
      </c>
      <c r="I851" s="147"/>
      <c r="J851" s="165">
        <v>3201</v>
      </c>
      <c r="K851" s="15" t="s">
        <v>2697</v>
      </c>
      <c r="L851" s="15" t="s">
        <v>1693</v>
      </c>
      <c r="M851" s="13">
        <v>45072</v>
      </c>
      <c r="N851" s="86">
        <v>1938</v>
      </c>
      <c r="O851" s="28"/>
      <c r="Q851" s="141"/>
      <c r="R851" s="191">
        <v>1938</v>
      </c>
    </row>
    <row r="852" spans="1:18" s="1" customFormat="1" ht="15.75" customHeight="1" x14ac:dyDescent="0.3">
      <c r="A852" s="128" t="s">
        <v>2843</v>
      </c>
      <c r="B852" s="9" t="s">
        <v>2844</v>
      </c>
      <c r="C852" s="11" t="s">
        <v>4519</v>
      </c>
      <c r="D852" t="s">
        <v>4495</v>
      </c>
      <c r="E852" s="3"/>
      <c r="F852" s="15"/>
      <c r="G852" s="15"/>
      <c r="H852" s="3" t="s">
        <v>2466</v>
      </c>
      <c r="I852" s="147"/>
      <c r="J852" s="165">
        <v>3201</v>
      </c>
      <c r="K852" s="15" t="s">
        <v>2697</v>
      </c>
      <c r="L852" s="15" t="s">
        <v>1693</v>
      </c>
      <c r="M852" s="13">
        <v>45072</v>
      </c>
      <c r="N852" s="86">
        <v>1938</v>
      </c>
      <c r="O852" s="28"/>
      <c r="Q852" s="141"/>
      <c r="R852" s="191">
        <v>1938</v>
      </c>
    </row>
    <row r="853" spans="1:18" s="1" customFormat="1" ht="15.75" customHeight="1" x14ac:dyDescent="0.3">
      <c r="A853" s="128" t="s">
        <v>2845</v>
      </c>
      <c r="B853" s="9" t="s">
        <v>2846</v>
      </c>
      <c r="C853" s="11" t="s">
        <v>4519</v>
      </c>
      <c r="D853" t="s">
        <v>4495</v>
      </c>
      <c r="E853" s="3"/>
      <c r="F853" s="15"/>
      <c r="G853" s="15"/>
      <c r="H853" s="3" t="s">
        <v>2466</v>
      </c>
      <c r="I853" s="147"/>
      <c r="J853" s="165">
        <v>3201</v>
      </c>
      <c r="K853" s="15" t="s">
        <v>2697</v>
      </c>
      <c r="L853" s="15" t="s">
        <v>1693</v>
      </c>
      <c r="M853" s="13">
        <v>45072</v>
      </c>
      <c r="N853" s="86">
        <v>1938</v>
      </c>
      <c r="O853" s="28"/>
      <c r="Q853" s="141"/>
      <c r="R853" s="191">
        <v>1938</v>
      </c>
    </row>
    <row r="854" spans="1:18" s="1" customFormat="1" ht="15.75" customHeight="1" x14ac:dyDescent="0.3">
      <c r="A854" s="128" t="s">
        <v>2847</v>
      </c>
      <c r="B854" s="9" t="s">
        <v>2848</v>
      </c>
      <c r="C854" s="11" t="s">
        <v>4519</v>
      </c>
      <c r="D854" t="s">
        <v>4495</v>
      </c>
      <c r="E854" s="3"/>
      <c r="F854" s="15"/>
      <c r="G854" s="15"/>
      <c r="H854" s="3" t="s">
        <v>2466</v>
      </c>
      <c r="I854" s="147"/>
      <c r="J854" s="165">
        <v>3201</v>
      </c>
      <c r="K854" s="15" t="s">
        <v>2697</v>
      </c>
      <c r="L854" s="15" t="s">
        <v>1693</v>
      </c>
      <c r="M854" s="13">
        <v>45072</v>
      </c>
      <c r="N854" s="86">
        <v>1938</v>
      </c>
      <c r="O854" s="28"/>
      <c r="Q854" s="141"/>
      <c r="R854" s="191">
        <v>1938</v>
      </c>
    </row>
    <row r="855" spans="1:18" s="1" customFormat="1" ht="15.75" customHeight="1" x14ac:dyDescent="0.3">
      <c r="A855" s="128" t="s">
        <v>2849</v>
      </c>
      <c r="B855" s="9" t="s">
        <v>2850</v>
      </c>
      <c r="C855" s="11" t="s">
        <v>4519</v>
      </c>
      <c r="D855" t="s">
        <v>4495</v>
      </c>
      <c r="E855" s="3"/>
      <c r="F855" s="15"/>
      <c r="G855" s="15"/>
      <c r="H855" s="3" t="s">
        <v>2466</v>
      </c>
      <c r="I855" s="147"/>
      <c r="J855" s="165">
        <v>3201</v>
      </c>
      <c r="K855" s="15" t="s">
        <v>2697</v>
      </c>
      <c r="L855" s="15" t="s">
        <v>1693</v>
      </c>
      <c r="M855" s="13">
        <v>45072</v>
      </c>
      <c r="N855" s="86">
        <v>1938</v>
      </c>
      <c r="O855" s="28"/>
      <c r="Q855" s="141"/>
      <c r="R855" s="191">
        <v>1938</v>
      </c>
    </row>
    <row r="856" spans="1:18" s="1" customFormat="1" ht="15.75" customHeight="1" x14ac:dyDescent="0.3">
      <c r="A856" s="128" t="s">
        <v>2851</v>
      </c>
      <c r="B856" s="9" t="s">
        <v>2852</v>
      </c>
      <c r="C856" s="11" t="s">
        <v>4519</v>
      </c>
      <c r="D856" t="s">
        <v>4495</v>
      </c>
      <c r="E856" s="3"/>
      <c r="F856" s="15"/>
      <c r="G856" s="15"/>
      <c r="H856" s="3" t="s">
        <v>2466</v>
      </c>
      <c r="I856" s="147"/>
      <c r="J856" s="165">
        <v>3201</v>
      </c>
      <c r="K856" s="15" t="s">
        <v>2697</v>
      </c>
      <c r="L856" s="15" t="s">
        <v>1693</v>
      </c>
      <c r="M856" s="13">
        <v>45072</v>
      </c>
      <c r="N856" s="86">
        <v>1938</v>
      </c>
      <c r="O856" s="28"/>
      <c r="Q856" s="141"/>
      <c r="R856" s="191">
        <v>1938</v>
      </c>
    </row>
    <row r="857" spans="1:18" s="1" customFormat="1" ht="15.75" customHeight="1" x14ac:dyDescent="0.3">
      <c r="A857" s="128" t="s">
        <v>2853</v>
      </c>
      <c r="B857" s="9" t="s">
        <v>2854</v>
      </c>
      <c r="C857" s="11" t="s">
        <v>4519</v>
      </c>
      <c r="D857" t="s">
        <v>4495</v>
      </c>
      <c r="E857" s="3"/>
      <c r="F857" s="15"/>
      <c r="G857" s="15"/>
      <c r="H857" s="3" t="s">
        <v>2466</v>
      </c>
      <c r="I857" s="147"/>
      <c r="J857" s="165">
        <v>3201</v>
      </c>
      <c r="K857" s="15" t="s">
        <v>2697</v>
      </c>
      <c r="L857" s="15" t="s">
        <v>1693</v>
      </c>
      <c r="M857" s="13">
        <v>45072</v>
      </c>
      <c r="N857" s="86">
        <v>1938</v>
      </c>
      <c r="O857" s="28"/>
      <c r="Q857" s="141"/>
      <c r="R857" s="191">
        <v>1938</v>
      </c>
    </row>
    <row r="858" spans="1:18" s="1" customFormat="1" ht="15" customHeight="1" x14ac:dyDescent="0.3">
      <c r="A858" s="128" t="s">
        <v>2855</v>
      </c>
      <c r="B858" s="9" t="s">
        <v>2856</v>
      </c>
      <c r="C858" s="11" t="s">
        <v>4519</v>
      </c>
      <c r="D858" t="s">
        <v>4495</v>
      </c>
      <c r="E858" s="3"/>
      <c r="F858" s="15"/>
      <c r="G858" s="15"/>
      <c r="H858" s="3" t="s">
        <v>2466</v>
      </c>
      <c r="I858" s="147"/>
      <c r="J858" s="165">
        <v>3201</v>
      </c>
      <c r="K858" s="15" t="s">
        <v>2697</v>
      </c>
      <c r="L858" s="15" t="s">
        <v>1693</v>
      </c>
      <c r="M858" s="13">
        <v>45072</v>
      </c>
      <c r="N858" s="86">
        <v>1938</v>
      </c>
      <c r="O858" s="28"/>
      <c r="P858" s="1" t="s">
        <v>66</v>
      </c>
      <c r="Q858" s="141"/>
      <c r="R858" s="191">
        <v>1938</v>
      </c>
    </row>
    <row r="859" spans="1:18" s="1" customFormat="1" ht="15" customHeight="1" x14ac:dyDescent="0.3">
      <c r="A859" s="128" t="s">
        <v>2857</v>
      </c>
      <c r="B859" s="9" t="s">
        <v>2858</v>
      </c>
      <c r="C859" s="11" t="s">
        <v>4519</v>
      </c>
      <c r="D859" t="s">
        <v>4495</v>
      </c>
      <c r="E859" s="3"/>
      <c r="F859" s="15"/>
      <c r="G859" s="15"/>
      <c r="H859" s="3" t="s">
        <v>2466</v>
      </c>
      <c r="I859" s="147"/>
      <c r="J859" s="165">
        <v>3201</v>
      </c>
      <c r="K859" s="15" t="s">
        <v>2697</v>
      </c>
      <c r="L859" s="15" t="s">
        <v>1693</v>
      </c>
      <c r="M859" s="13">
        <v>45072</v>
      </c>
      <c r="N859" s="86">
        <v>1938</v>
      </c>
      <c r="O859" s="28"/>
      <c r="P859" s="1" t="s">
        <v>66</v>
      </c>
      <c r="Q859" s="141"/>
      <c r="R859" s="191">
        <v>1938</v>
      </c>
    </row>
    <row r="860" spans="1:18" s="1" customFormat="1" ht="15" customHeight="1" x14ac:dyDescent="0.3">
      <c r="A860" s="128" t="s">
        <v>2859</v>
      </c>
      <c r="B860" s="9" t="s">
        <v>2860</v>
      </c>
      <c r="C860" s="11" t="s">
        <v>4519</v>
      </c>
      <c r="D860" t="s">
        <v>4495</v>
      </c>
      <c r="E860" s="3"/>
      <c r="F860" s="15"/>
      <c r="G860" s="15"/>
      <c r="H860" s="3" t="s">
        <v>2466</v>
      </c>
      <c r="I860" s="147"/>
      <c r="J860" s="165">
        <v>3201</v>
      </c>
      <c r="K860" s="15" t="s">
        <v>2697</v>
      </c>
      <c r="L860" s="15" t="s">
        <v>1693</v>
      </c>
      <c r="M860" s="13">
        <v>45072</v>
      </c>
      <c r="N860" s="86">
        <v>1938</v>
      </c>
      <c r="O860" s="28"/>
      <c r="Q860" s="141"/>
      <c r="R860" s="191">
        <v>1938</v>
      </c>
    </row>
    <row r="861" spans="1:18" s="1" customFormat="1" ht="15" customHeight="1" x14ac:dyDescent="0.3">
      <c r="A861" s="128" t="s">
        <v>2861</v>
      </c>
      <c r="B861" s="9" t="s">
        <v>2862</v>
      </c>
      <c r="C861" s="11" t="s">
        <v>4518</v>
      </c>
      <c r="D861" t="s">
        <v>4492</v>
      </c>
      <c r="E861" s="3"/>
      <c r="F861" s="10"/>
      <c r="G861" s="10"/>
      <c r="H861" s="3" t="s">
        <v>2863</v>
      </c>
      <c r="I861"/>
      <c r="J861" s="165">
        <v>874</v>
      </c>
      <c r="K861" s="15" t="s">
        <v>546</v>
      </c>
      <c r="L861" s="11" t="s">
        <v>547</v>
      </c>
      <c r="M861" s="13">
        <v>45075</v>
      </c>
      <c r="N861" s="86">
        <v>5670</v>
      </c>
      <c r="O861" s="28" t="s">
        <v>20</v>
      </c>
      <c r="P861" s="1" t="s">
        <v>91</v>
      </c>
      <c r="Q861" s="141"/>
      <c r="R861" s="191">
        <v>5670</v>
      </c>
    </row>
    <row r="862" spans="1:18" s="1" customFormat="1" ht="15" customHeight="1" x14ac:dyDescent="0.3">
      <c r="A862" s="128" t="s">
        <v>2864</v>
      </c>
      <c r="B862" s="9" t="s">
        <v>2865</v>
      </c>
      <c r="C862" s="11" t="s">
        <v>4519</v>
      </c>
      <c r="D862" t="s">
        <v>4492</v>
      </c>
      <c r="E862" s="3"/>
      <c r="F862" s="15"/>
      <c r="G862" s="15"/>
      <c r="H862" s="3" t="s">
        <v>2866</v>
      </c>
      <c r="I862"/>
      <c r="J862" s="165">
        <v>3216</v>
      </c>
      <c r="K862" s="15" t="s">
        <v>2697</v>
      </c>
      <c r="L862" s="15" t="s">
        <v>1693</v>
      </c>
      <c r="M862" s="13">
        <v>45082</v>
      </c>
      <c r="N862" s="86">
        <v>2179</v>
      </c>
      <c r="O862" s="28"/>
      <c r="Q862" s="141"/>
      <c r="R862" s="191">
        <v>2179</v>
      </c>
    </row>
    <row r="863" spans="1:18" s="1" customFormat="1" ht="15" customHeight="1" x14ac:dyDescent="0.3">
      <c r="A863" s="128" t="s">
        <v>2867</v>
      </c>
      <c r="B863" s="9" t="s">
        <v>2868</v>
      </c>
      <c r="C863" s="11" t="s">
        <v>4519</v>
      </c>
      <c r="D863" t="s">
        <v>4492</v>
      </c>
      <c r="E863" s="3"/>
      <c r="F863" s="15"/>
      <c r="G863" s="15"/>
      <c r="H863" s="3" t="s">
        <v>2869</v>
      </c>
      <c r="I863"/>
      <c r="J863" s="165">
        <v>3216</v>
      </c>
      <c r="K863" s="15" t="s">
        <v>2697</v>
      </c>
      <c r="L863" s="15" t="s">
        <v>1693</v>
      </c>
      <c r="M863" s="13">
        <v>45082</v>
      </c>
      <c r="N863" s="86">
        <v>2259</v>
      </c>
      <c r="O863" s="28"/>
      <c r="Q863" s="141"/>
      <c r="R863" s="191">
        <v>2259</v>
      </c>
    </row>
    <row r="864" spans="1:18" s="1" customFormat="1" ht="15" customHeight="1" x14ac:dyDescent="0.3">
      <c r="A864" s="128" t="s">
        <v>2870</v>
      </c>
      <c r="B864" s="9" t="s">
        <v>2871</v>
      </c>
      <c r="C864" s="11" t="s">
        <v>4518</v>
      </c>
      <c r="D864" t="s">
        <v>4493</v>
      </c>
      <c r="E864" s="3"/>
      <c r="F864" s="10"/>
      <c r="G864" s="10"/>
      <c r="H864" s="3" t="s">
        <v>2872</v>
      </c>
      <c r="I864"/>
      <c r="J864" s="165">
        <v>116922</v>
      </c>
      <c r="K864" s="15" t="s">
        <v>2691</v>
      </c>
      <c r="L864" s="11" t="s">
        <v>684</v>
      </c>
      <c r="M864" s="13">
        <v>45086</v>
      </c>
      <c r="N864" s="86">
        <v>1627.1</v>
      </c>
      <c r="O864" s="28"/>
      <c r="Q864" s="141"/>
      <c r="R864" s="191" t="s">
        <v>4900</v>
      </c>
    </row>
    <row r="865" spans="1:18" s="1" customFormat="1" ht="15.75" customHeight="1" x14ac:dyDescent="0.3">
      <c r="A865" s="131" t="s">
        <v>2873</v>
      </c>
      <c r="B865" s="9" t="s">
        <v>2873</v>
      </c>
      <c r="C865" s="11" t="s">
        <v>4518</v>
      </c>
      <c r="D865" t="s">
        <v>4495</v>
      </c>
      <c r="E865" s="3"/>
      <c r="F865" s="10"/>
      <c r="G865" s="10"/>
      <c r="H865" s="3" t="s">
        <v>2874</v>
      </c>
      <c r="I865"/>
      <c r="J865" s="166">
        <v>6352</v>
      </c>
      <c r="K865" s="3" t="s">
        <v>2875</v>
      </c>
      <c r="L865" s="3" t="s">
        <v>2876</v>
      </c>
      <c r="M865" s="29">
        <v>45925</v>
      </c>
      <c r="N865" s="86">
        <v>18000</v>
      </c>
      <c r="O865" s="28"/>
      <c r="P865" s="1" t="s">
        <v>66</v>
      </c>
      <c r="Q865" s="141"/>
      <c r="R865" s="191">
        <v>18000</v>
      </c>
    </row>
    <row r="866" spans="1:18" s="1" customFormat="1" ht="15.75" customHeight="1" x14ac:dyDescent="0.3">
      <c r="A866" s="64" t="s">
        <v>2877</v>
      </c>
      <c r="B866" s="9" t="s">
        <v>2878</v>
      </c>
      <c r="C866" s="11" t="s">
        <v>4489</v>
      </c>
      <c r="D866" t="s">
        <v>4495</v>
      </c>
      <c r="E866" s="3"/>
      <c r="F866" s="15"/>
      <c r="G866" s="15"/>
      <c r="H866" s="3" t="s">
        <v>2879</v>
      </c>
      <c r="I866"/>
      <c r="J866" s="165">
        <v>2120</v>
      </c>
      <c r="K866" s="15" t="s">
        <v>701</v>
      </c>
      <c r="L866" s="15" t="s">
        <v>730</v>
      </c>
      <c r="M866" s="13">
        <v>45099</v>
      </c>
      <c r="N866" s="86">
        <v>2285.1</v>
      </c>
      <c r="O866" s="28"/>
      <c r="Q866" s="141"/>
      <c r="R866" s="191" t="s">
        <v>4901</v>
      </c>
    </row>
    <row r="867" spans="1:18" ht="15.75" customHeight="1" x14ac:dyDescent="0.3">
      <c r="A867" s="128" t="s">
        <v>2880</v>
      </c>
      <c r="B867" s="9" t="s">
        <v>2881</v>
      </c>
      <c r="C867" s="11" t="s">
        <v>4489</v>
      </c>
      <c r="D867" t="s">
        <v>4499</v>
      </c>
      <c r="E867" s="3"/>
      <c r="F867" s="15"/>
      <c r="G867" s="15"/>
      <c r="H867" s="3" t="s">
        <v>2882</v>
      </c>
      <c r="I867"/>
      <c r="J867" s="165">
        <v>6674</v>
      </c>
      <c r="K867" s="15" t="s">
        <v>2883</v>
      </c>
      <c r="L867" s="11" t="s">
        <v>2884</v>
      </c>
      <c r="M867" s="13">
        <v>45099</v>
      </c>
      <c r="N867" s="86">
        <v>5019.17</v>
      </c>
      <c r="O867" s="28" t="s">
        <v>20</v>
      </c>
      <c r="P867" s="1" t="s">
        <v>66</v>
      </c>
      <c r="Q867" s="141"/>
      <c r="R867" s="191" t="s">
        <v>4902</v>
      </c>
    </row>
    <row r="868" spans="1:18" ht="15.75" customHeight="1" x14ac:dyDescent="0.3">
      <c r="A868" s="128" t="s">
        <v>2885</v>
      </c>
      <c r="B868" s="9" t="s">
        <v>2886</v>
      </c>
      <c r="C868" s="11" t="s">
        <v>4489</v>
      </c>
      <c r="D868" t="s">
        <v>4499</v>
      </c>
      <c r="E868" s="3"/>
      <c r="F868" s="15"/>
      <c r="G868" s="15"/>
      <c r="H868" s="3" t="s">
        <v>2887</v>
      </c>
      <c r="I868"/>
      <c r="J868" s="165">
        <v>5605</v>
      </c>
      <c r="K868" s="15" t="s">
        <v>1683</v>
      </c>
      <c r="L868" s="15" t="s">
        <v>1684</v>
      </c>
      <c r="M868" s="13">
        <v>45099</v>
      </c>
      <c r="N868" s="86">
        <v>12665</v>
      </c>
      <c r="O868" s="28"/>
      <c r="P868" s="1"/>
      <c r="Q868" s="141"/>
      <c r="R868" s="191">
        <v>12665</v>
      </c>
    </row>
    <row r="869" spans="1:18" ht="15.75" customHeight="1" x14ac:dyDescent="0.3">
      <c r="A869" s="128" t="s">
        <v>2888</v>
      </c>
      <c r="B869" s="9" t="s">
        <v>2889</v>
      </c>
      <c r="C869" s="11" t="s">
        <v>4489</v>
      </c>
      <c r="D869" t="s">
        <v>4495</v>
      </c>
      <c r="E869"/>
      <c r="F869" t="s">
        <v>4695</v>
      </c>
      <c r="G869" t="s">
        <v>4557</v>
      </c>
      <c r="H869" s="3" t="s">
        <v>2890</v>
      </c>
      <c r="I869"/>
      <c r="J869" s="174"/>
      <c r="K869" s="15"/>
      <c r="L869" s="11"/>
      <c r="M869" s="13"/>
      <c r="N869" s="86">
        <v>55000</v>
      </c>
      <c r="O869" s="28" t="s">
        <v>20</v>
      </c>
      <c r="P869" s="1"/>
      <c r="Q869" s="141"/>
      <c r="R869" s="191">
        <v>55000</v>
      </c>
    </row>
    <row r="870" spans="1:18" ht="15.75" customHeight="1" x14ac:dyDescent="0.3">
      <c r="A870" s="128" t="s">
        <v>2891</v>
      </c>
      <c r="B870" s="9" t="s">
        <v>2892</v>
      </c>
      <c r="C870" s="11" t="s">
        <v>4522</v>
      </c>
      <c r="D870" t="s">
        <v>4499</v>
      </c>
      <c r="E870" s="3"/>
      <c r="F870" s="15"/>
      <c r="G870" s="15"/>
      <c r="H870" s="3" t="s">
        <v>2887</v>
      </c>
      <c r="I870"/>
      <c r="J870" s="165">
        <v>5605</v>
      </c>
      <c r="K870" s="15" t="s">
        <v>1683</v>
      </c>
      <c r="L870" s="15" t="s">
        <v>1684</v>
      </c>
      <c r="M870" s="13">
        <v>45099</v>
      </c>
      <c r="N870" s="86">
        <v>12665</v>
      </c>
      <c r="O870" s="28"/>
      <c r="P870" s="1"/>
      <c r="Q870" s="141"/>
      <c r="R870" s="191">
        <v>12665</v>
      </c>
    </row>
    <row r="871" spans="1:18" ht="15.75" customHeight="1" x14ac:dyDescent="0.3">
      <c r="A871" s="131" t="s">
        <v>2893</v>
      </c>
      <c r="B871" s="9" t="s">
        <v>2893</v>
      </c>
      <c r="C871" s="11" t="s">
        <v>4490</v>
      </c>
      <c r="D871" t="s">
        <v>4492</v>
      </c>
      <c r="E871" s="3"/>
      <c r="F871" s="15"/>
      <c r="G871" s="15"/>
      <c r="H871" s="3" t="s">
        <v>2894</v>
      </c>
      <c r="I871" s="160" t="s">
        <v>4557</v>
      </c>
      <c r="J871" s="165"/>
      <c r="K871" s="15"/>
      <c r="L871" s="15"/>
      <c r="M871" s="13"/>
      <c r="N871" s="86">
        <v>152500</v>
      </c>
      <c r="O871" s="28"/>
      <c r="P871" s="1" t="s">
        <v>91</v>
      </c>
      <c r="Q871" s="141"/>
      <c r="R871" s="191">
        <v>152500</v>
      </c>
    </row>
    <row r="872" spans="1:18" ht="15.75" customHeight="1" x14ac:dyDescent="0.3">
      <c r="A872" s="128" t="s">
        <v>2895</v>
      </c>
      <c r="B872" s="9" t="s">
        <v>2896</v>
      </c>
      <c r="C872" s="11" t="s">
        <v>4487</v>
      </c>
      <c r="D872" t="s">
        <v>4495</v>
      </c>
      <c r="E872"/>
      <c r="F872" t="s">
        <v>2897</v>
      </c>
      <c r="G872" t="s">
        <v>4557</v>
      </c>
      <c r="H872" s="3" t="s">
        <v>2898</v>
      </c>
      <c r="I872"/>
      <c r="J872" s="165">
        <v>207765</v>
      </c>
      <c r="K872" s="15" t="s">
        <v>2899</v>
      </c>
      <c r="L872" s="11" t="s">
        <v>2900</v>
      </c>
      <c r="M872" s="13">
        <v>45099</v>
      </c>
      <c r="N872" s="86">
        <v>53500</v>
      </c>
      <c r="O872" s="28" t="s">
        <v>20</v>
      </c>
      <c r="P872" s="1"/>
      <c r="Q872" s="141"/>
      <c r="R872" s="191">
        <v>53500</v>
      </c>
    </row>
    <row r="873" spans="1:18" ht="15.75" customHeight="1" x14ac:dyDescent="0.3">
      <c r="A873" s="131" t="s">
        <v>2901</v>
      </c>
      <c r="B873" s="9" t="s">
        <v>2901</v>
      </c>
      <c r="C873" s="11" t="s">
        <v>4488</v>
      </c>
      <c r="D873" t="s">
        <v>4501</v>
      </c>
      <c r="E873"/>
      <c r="F873" t="s">
        <v>4625</v>
      </c>
      <c r="G873"/>
      <c r="H873" s="3" t="s">
        <v>2902</v>
      </c>
      <c r="I873"/>
      <c r="J873" s="165">
        <v>90184</v>
      </c>
      <c r="K873" s="14"/>
      <c r="L873" s="11"/>
      <c r="M873" s="29">
        <v>45565</v>
      </c>
      <c r="N873" s="86">
        <v>7026858.8899999997</v>
      </c>
      <c r="O873" s="25"/>
      <c r="P873" s="1"/>
      <c r="Q873" s="141"/>
      <c r="R873" s="191" t="s">
        <v>4903</v>
      </c>
    </row>
    <row r="874" spans="1:18" ht="15.75" customHeight="1" x14ac:dyDescent="0.3">
      <c r="A874" s="128" t="s">
        <v>2903</v>
      </c>
      <c r="B874" s="9" t="s">
        <v>2904</v>
      </c>
      <c r="C874" s="11" t="s">
        <v>4519</v>
      </c>
      <c r="D874" t="s">
        <v>4492</v>
      </c>
      <c r="E874" s="3"/>
      <c r="F874" s="15"/>
      <c r="G874" s="15"/>
      <c r="H874" s="3" t="s">
        <v>2905</v>
      </c>
      <c r="I874"/>
      <c r="J874" s="165">
        <v>12396</v>
      </c>
      <c r="K874" s="15" t="s">
        <v>1339</v>
      </c>
      <c r="L874" s="15" t="s">
        <v>188</v>
      </c>
      <c r="M874" s="13">
        <v>45103</v>
      </c>
      <c r="N874" s="86">
        <v>1890</v>
      </c>
      <c r="O874" s="28" t="s">
        <v>20</v>
      </c>
      <c r="P874" s="1" t="s">
        <v>91</v>
      </c>
      <c r="Q874" s="141"/>
      <c r="R874" s="191">
        <v>1890</v>
      </c>
    </row>
    <row r="875" spans="1:18" ht="15.75" customHeight="1" x14ac:dyDescent="0.3">
      <c r="A875" s="128" t="s">
        <v>2906</v>
      </c>
      <c r="B875" s="9" t="s">
        <v>2907</v>
      </c>
      <c r="C875" s="11" t="s">
        <v>4490</v>
      </c>
      <c r="D875" t="s">
        <v>4492</v>
      </c>
      <c r="E875"/>
      <c r="F875" t="s">
        <v>2908</v>
      </c>
      <c r="G875" t="s">
        <v>4643</v>
      </c>
      <c r="H875" s="3" t="s">
        <v>2510</v>
      </c>
      <c r="I875"/>
      <c r="J875" s="165">
        <v>153860</v>
      </c>
      <c r="K875" s="15" t="s">
        <v>176</v>
      </c>
      <c r="L875" s="15" t="s">
        <v>1015</v>
      </c>
      <c r="M875" s="13">
        <v>45106</v>
      </c>
      <c r="N875" s="86">
        <v>1450000</v>
      </c>
      <c r="O875" s="28" t="s">
        <v>20</v>
      </c>
      <c r="P875" s="1" t="s">
        <v>78</v>
      </c>
      <c r="Q875" s="141"/>
      <c r="R875" s="191">
        <v>1450000</v>
      </c>
    </row>
    <row r="876" spans="1:18" ht="15.75" customHeight="1" x14ac:dyDescent="0.3">
      <c r="A876" s="128" t="s">
        <v>2909</v>
      </c>
      <c r="B876" s="9" t="s">
        <v>2910</v>
      </c>
      <c r="C876" s="11" t="s">
        <v>4490</v>
      </c>
      <c r="D876" t="s">
        <v>4492</v>
      </c>
      <c r="E876"/>
      <c r="F876">
        <v>58</v>
      </c>
      <c r="G876" t="s">
        <v>4557</v>
      </c>
      <c r="H876" s="3" t="s">
        <v>2911</v>
      </c>
      <c r="I876"/>
      <c r="J876" s="165">
        <v>5922</v>
      </c>
      <c r="K876" s="15" t="s">
        <v>1275</v>
      </c>
      <c r="L876" s="15" t="s">
        <v>1526</v>
      </c>
      <c r="M876" s="13">
        <v>45112</v>
      </c>
      <c r="N876" s="86">
        <v>335000</v>
      </c>
      <c r="O876" s="28" t="s">
        <v>20</v>
      </c>
      <c r="P876" s="1" t="s">
        <v>78</v>
      </c>
      <c r="Q876" s="141"/>
      <c r="R876" s="191">
        <v>335000</v>
      </c>
    </row>
    <row r="877" spans="1:18" ht="15.75" customHeight="1" x14ac:dyDescent="0.3">
      <c r="A877" s="128" t="s">
        <v>2912</v>
      </c>
      <c r="B877" s="9" t="s">
        <v>2913</v>
      </c>
      <c r="C877" s="11" t="s">
        <v>4489</v>
      </c>
      <c r="D877" t="s">
        <v>4494</v>
      </c>
      <c r="E877" s="3"/>
      <c r="F877" s="15"/>
      <c r="G877" s="15"/>
      <c r="H877" s="3" t="s">
        <v>2914</v>
      </c>
      <c r="I877"/>
      <c r="J877" s="165">
        <v>10718</v>
      </c>
      <c r="K877" s="15" t="s">
        <v>2915</v>
      </c>
      <c r="L877" s="15" t="s">
        <v>2655</v>
      </c>
      <c r="M877" s="13">
        <v>45114</v>
      </c>
      <c r="N877" s="86">
        <v>750</v>
      </c>
      <c r="O877" s="28"/>
      <c r="P877" s="1"/>
      <c r="Q877" s="141"/>
      <c r="R877" s="191">
        <v>750</v>
      </c>
    </row>
    <row r="878" spans="1:18" ht="15.75" customHeight="1" x14ac:dyDescent="0.3">
      <c r="A878" s="128" t="s">
        <v>2916</v>
      </c>
      <c r="B878" s="9" t="s">
        <v>2917</v>
      </c>
      <c r="C878" s="11" t="s">
        <v>4489</v>
      </c>
      <c r="D878" t="s">
        <v>4493</v>
      </c>
      <c r="E878" s="3"/>
      <c r="F878" s="15"/>
      <c r="G878" s="15"/>
      <c r="H878" s="3" t="s">
        <v>2914</v>
      </c>
      <c r="I878"/>
      <c r="J878" s="165">
        <v>10719</v>
      </c>
      <c r="K878" s="15" t="s">
        <v>2915</v>
      </c>
      <c r="L878" s="15" t="s">
        <v>2655</v>
      </c>
      <c r="M878" s="13">
        <v>45114</v>
      </c>
      <c r="N878" s="86">
        <v>750</v>
      </c>
      <c r="O878" s="28"/>
      <c r="P878" s="1"/>
      <c r="Q878" s="141"/>
      <c r="R878" s="191">
        <v>750</v>
      </c>
    </row>
    <row r="879" spans="1:18" ht="15.75" customHeight="1" x14ac:dyDescent="0.3">
      <c r="A879" s="128" t="s">
        <v>2918</v>
      </c>
      <c r="B879" s="9" t="s">
        <v>2919</v>
      </c>
      <c r="C879" s="11" t="s">
        <v>4489</v>
      </c>
      <c r="D879" t="s">
        <v>4494</v>
      </c>
      <c r="E879" s="3"/>
      <c r="F879" s="10"/>
      <c r="G879" s="10"/>
      <c r="H879" s="3" t="s">
        <v>2653</v>
      </c>
      <c r="I879"/>
      <c r="J879" s="165">
        <v>10700</v>
      </c>
      <c r="K879" s="15" t="s">
        <v>2915</v>
      </c>
      <c r="L879" s="15" t="s">
        <v>2655</v>
      </c>
      <c r="M879" s="13">
        <v>45117</v>
      </c>
      <c r="N879" s="86">
        <v>8900</v>
      </c>
      <c r="O879" s="28" t="s">
        <v>20</v>
      </c>
      <c r="P879" s="1" t="s">
        <v>44</v>
      </c>
      <c r="Q879" s="141"/>
      <c r="R879" s="191">
        <v>8900</v>
      </c>
    </row>
    <row r="880" spans="1:18" ht="15.75" customHeight="1" x14ac:dyDescent="0.3">
      <c r="A880" s="128" t="s">
        <v>2920</v>
      </c>
      <c r="B880" s="9" t="s">
        <v>2921</v>
      </c>
      <c r="C880" s="11" t="s">
        <v>4489</v>
      </c>
      <c r="D880" t="s">
        <v>4495</v>
      </c>
      <c r="E880" s="3"/>
      <c r="F880" s="15"/>
      <c r="G880" s="15"/>
      <c r="H880" s="3" t="s">
        <v>2922</v>
      </c>
      <c r="I880"/>
      <c r="J880" s="165">
        <v>283</v>
      </c>
      <c r="K880" s="15" t="s">
        <v>2923</v>
      </c>
      <c r="L880" s="15" t="s">
        <v>2924</v>
      </c>
      <c r="M880" s="13">
        <v>45117</v>
      </c>
      <c r="N880" s="86">
        <v>58000</v>
      </c>
      <c r="O880" s="28"/>
      <c r="P880" s="1"/>
      <c r="Q880" s="141"/>
      <c r="R880" s="191">
        <v>58000</v>
      </c>
    </row>
    <row r="881" spans="1:18" ht="15.75" customHeight="1" x14ac:dyDescent="0.3">
      <c r="A881" s="128" t="s">
        <v>2925</v>
      </c>
      <c r="B881" s="9" t="s">
        <v>2926</v>
      </c>
      <c r="C881" s="11" t="s">
        <v>4519</v>
      </c>
      <c r="D881" t="s">
        <v>4494</v>
      </c>
      <c r="E881" s="3"/>
      <c r="F881" s="15"/>
      <c r="G881" s="15"/>
      <c r="H881" s="3" t="s">
        <v>2927</v>
      </c>
      <c r="I881"/>
      <c r="J881" s="165">
        <v>235565</v>
      </c>
      <c r="K881" s="15" t="s">
        <v>1089</v>
      </c>
      <c r="L881" s="15" t="s">
        <v>2928</v>
      </c>
      <c r="M881" s="13">
        <v>45118</v>
      </c>
      <c r="N881" s="86">
        <v>6850.12</v>
      </c>
      <c r="O881" s="28" t="s">
        <v>20</v>
      </c>
      <c r="P881" s="1" t="s">
        <v>44</v>
      </c>
      <c r="Q881" s="141"/>
      <c r="R881" s="191" t="s">
        <v>4904</v>
      </c>
    </row>
    <row r="882" spans="1:18" ht="15.75" customHeight="1" x14ac:dyDescent="0.3">
      <c r="A882" s="136" t="s">
        <v>2929</v>
      </c>
      <c r="B882" s="9" t="s">
        <v>2930</v>
      </c>
      <c r="C882" s="3" t="s">
        <v>4518</v>
      </c>
      <c r="D882" t="s">
        <v>4493</v>
      </c>
      <c r="E882"/>
      <c r="F882"/>
      <c r="G882" t="s">
        <v>4642</v>
      </c>
      <c r="H882" s="3" t="s">
        <v>489</v>
      </c>
      <c r="I882"/>
      <c r="J882" s="165">
        <v>1665</v>
      </c>
      <c r="K882" s="14" t="s">
        <v>2758</v>
      </c>
      <c r="L882" s="15" t="s">
        <v>2759</v>
      </c>
      <c r="M882" s="29">
        <v>45120</v>
      </c>
      <c r="N882" s="86">
        <v>1739</v>
      </c>
      <c r="O882" s="28" t="s">
        <v>20</v>
      </c>
      <c r="P882" s="1" t="s">
        <v>44</v>
      </c>
      <c r="Q882" s="141"/>
      <c r="R882" s="191">
        <v>1739</v>
      </c>
    </row>
    <row r="883" spans="1:18" ht="15.75" customHeight="1" x14ac:dyDescent="0.3">
      <c r="A883" s="128" t="s">
        <v>2931</v>
      </c>
      <c r="B883" s="9" t="s">
        <v>2932</v>
      </c>
      <c r="C883" s="11" t="s">
        <v>4519</v>
      </c>
      <c r="D883" t="s">
        <v>4492</v>
      </c>
      <c r="E883" s="3"/>
      <c r="F883" s="15"/>
      <c r="G883" s="15"/>
      <c r="H883" s="3" t="s">
        <v>2933</v>
      </c>
      <c r="I883"/>
      <c r="J883" s="165">
        <v>3227</v>
      </c>
      <c r="K883" s="15" t="s">
        <v>2697</v>
      </c>
      <c r="L883" s="15" t="s">
        <v>1693</v>
      </c>
      <c r="M883" s="13">
        <v>45120</v>
      </c>
      <c r="N883" s="86">
        <v>1359</v>
      </c>
      <c r="O883" s="28" t="s">
        <v>20</v>
      </c>
      <c r="P883" s="1"/>
      <c r="Q883" s="141"/>
      <c r="R883" s="191">
        <v>1359</v>
      </c>
    </row>
    <row r="884" spans="1:18" ht="15.75" customHeight="1" x14ac:dyDescent="0.3">
      <c r="A884" s="128" t="s">
        <v>2934</v>
      </c>
      <c r="B884" s="9" t="s">
        <v>2935</v>
      </c>
      <c r="C884" s="11" t="s">
        <v>4489</v>
      </c>
      <c r="D884" t="s">
        <v>4494</v>
      </c>
      <c r="E884"/>
      <c r="F884"/>
      <c r="G884"/>
      <c r="H884" s="3" t="s">
        <v>1615</v>
      </c>
      <c r="I884"/>
      <c r="J884" s="165">
        <v>119900</v>
      </c>
      <c r="K884" s="15" t="s">
        <v>2691</v>
      </c>
      <c r="L884" s="11" t="s">
        <v>684</v>
      </c>
      <c r="M884" s="13">
        <v>45124</v>
      </c>
      <c r="N884" s="86">
        <v>2587.2199999999998</v>
      </c>
      <c r="O884" s="28"/>
      <c r="P884" s="1"/>
      <c r="Q884" s="141"/>
      <c r="R884" s="191" t="s">
        <v>4905</v>
      </c>
    </row>
    <row r="885" spans="1:18" ht="15.75" customHeight="1" x14ac:dyDescent="0.3">
      <c r="A885" s="128" t="s">
        <v>2936</v>
      </c>
      <c r="B885" s="9" t="s">
        <v>2937</v>
      </c>
      <c r="C885" s="11" t="s">
        <v>4489</v>
      </c>
      <c r="D885" t="s">
        <v>4494</v>
      </c>
      <c r="E885"/>
      <c r="F885"/>
      <c r="G885"/>
      <c r="H885" s="3" t="s">
        <v>1615</v>
      </c>
      <c r="I885"/>
      <c r="J885" s="165">
        <v>119900</v>
      </c>
      <c r="K885" s="15" t="s">
        <v>2691</v>
      </c>
      <c r="L885" s="11" t="s">
        <v>684</v>
      </c>
      <c r="M885" s="13">
        <v>45124</v>
      </c>
      <c r="N885" s="86">
        <v>2587.2199999999998</v>
      </c>
      <c r="O885" s="28"/>
      <c r="P885" s="1"/>
      <c r="Q885" s="141"/>
      <c r="R885" s="191" t="s">
        <v>4905</v>
      </c>
    </row>
    <row r="886" spans="1:18" ht="15.75" customHeight="1" x14ac:dyDescent="0.3">
      <c r="A886" s="128" t="s">
        <v>2938</v>
      </c>
      <c r="B886" s="9" t="s">
        <v>2939</v>
      </c>
      <c r="C886" s="11" t="s">
        <v>4490</v>
      </c>
      <c r="D886" t="s">
        <v>4493</v>
      </c>
      <c r="E886"/>
      <c r="F886" t="s">
        <v>2940</v>
      </c>
      <c r="G886"/>
      <c r="H886" s="3" t="s">
        <v>1639</v>
      </c>
      <c r="I886"/>
      <c r="J886" s="165">
        <v>153862</v>
      </c>
      <c r="K886" s="15" t="s">
        <v>176</v>
      </c>
      <c r="L886" s="11" t="s">
        <v>1015</v>
      </c>
      <c r="M886" s="13">
        <v>45125</v>
      </c>
      <c r="N886" s="86">
        <v>900000</v>
      </c>
      <c r="O886" s="28" t="s">
        <v>20</v>
      </c>
      <c r="P886" s="1" t="s">
        <v>78</v>
      </c>
      <c r="Q886" s="141"/>
      <c r="R886" s="191">
        <v>900000</v>
      </c>
    </row>
    <row r="887" spans="1:18" ht="15.75" customHeight="1" x14ac:dyDescent="0.3">
      <c r="A887" s="128" t="s">
        <v>2941</v>
      </c>
      <c r="B887" s="9" t="s">
        <v>2942</v>
      </c>
      <c r="C887" s="11" t="s">
        <v>4490</v>
      </c>
      <c r="D887" t="s">
        <v>4495</v>
      </c>
      <c r="E887"/>
      <c r="F887" t="s">
        <v>2943</v>
      </c>
      <c r="G887"/>
      <c r="H887" s="3" t="s">
        <v>2944</v>
      </c>
      <c r="I887"/>
      <c r="J887" s="165">
        <v>153861</v>
      </c>
      <c r="K887" s="15" t="s">
        <v>176</v>
      </c>
      <c r="L887" s="11" t="s">
        <v>1015</v>
      </c>
      <c r="M887" s="13">
        <v>45125</v>
      </c>
      <c r="N887" s="86">
        <v>1600000</v>
      </c>
      <c r="O887" s="28" t="s">
        <v>20</v>
      </c>
      <c r="P887" s="1" t="s">
        <v>78</v>
      </c>
      <c r="Q887" s="141"/>
      <c r="R887" s="191">
        <v>1600000</v>
      </c>
    </row>
    <row r="888" spans="1:18" ht="15.75" customHeight="1" x14ac:dyDescent="0.3">
      <c r="A888" s="128" t="s">
        <v>2945</v>
      </c>
      <c r="B888" s="9" t="s">
        <v>2946</v>
      </c>
      <c r="C888" s="11" t="s">
        <v>4520</v>
      </c>
      <c r="D888" t="s">
        <v>4492</v>
      </c>
      <c r="E888" s="3"/>
      <c r="F888" s="15"/>
      <c r="G888" s="15"/>
      <c r="H888" s="3" t="s">
        <v>2558</v>
      </c>
      <c r="I888"/>
      <c r="J888" s="165">
        <v>5330248</v>
      </c>
      <c r="K888" s="15" t="s">
        <v>2304</v>
      </c>
      <c r="L888" s="15" t="s">
        <v>2305</v>
      </c>
      <c r="M888" s="13">
        <v>45127</v>
      </c>
      <c r="N888" s="86">
        <v>2367.02</v>
      </c>
      <c r="O888" s="28"/>
      <c r="P888" s="1"/>
      <c r="Q888" s="141"/>
      <c r="R888" s="191" t="s">
        <v>4906</v>
      </c>
    </row>
    <row r="889" spans="1:18" ht="15.75" customHeight="1" x14ac:dyDescent="0.3">
      <c r="A889" s="128" t="s">
        <v>2947</v>
      </c>
      <c r="B889" s="9" t="s">
        <v>2948</v>
      </c>
      <c r="C889" s="11" t="s">
        <v>4489</v>
      </c>
      <c r="D889" t="s">
        <v>4495</v>
      </c>
      <c r="E889" s="132"/>
      <c r="F889" s="15"/>
      <c r="G889" s="15"/>
      <c r="H889" s="3" t="s">
        <v>2949</v>
      </c>
      <c r="I889"/>
      <c r="J889" s="165">
        <v>1860</v>
      </c>
      <c r="K889" s="15" t="s">
        <v>852</v>
      </c>
      <c r="L889" s="15" t="s">
        <v>848</v>
      </c>
      <c r="M889" s="13">
        <v>45127</v>
      </c>
      <c r="N889" s="86">
        <v>68700</v>
      </c>
      <c r="O889" s="28"/>
      <c r="P889" s="1"/>
      <c r="Q889" s="141"/>
      <c r="R889" s="191">
        <v>68700</v>
      </c>
    </row>
    <row r="890" spans="1:18" ht="15.75" customHeight="1" x14ac:dyDescent="0.3">
      <c r="A890" s="128" t="s">
        <v>2950</v>
      </c>
      <c r="B890" s="9" t="s">
        <v>2951</v>
      </c>
      <c r="C890" s="11" t="s">
        <v>4490</v>
      </c>
      <c r="D890" t="s">
        <v>4495</v>
      </c>
      <c r="E890" s="160" t="s">
        <v>2952</v>
      </c>
      <c r="F890" t="s">
        <v>4696</v>
      </c>
      <c r="G890" t="s">
        <v>4675</v>
      </c>
      <c r="H890" s="3" t="s">
        <v>2953</v>
      </c>
      <c r="I890" t="s">
        <v>4558</v>
      </c>
      <c r="J890" s="165">
        <v>8370</v>
      </c>
      <c r="K890" s="15" t="s">
        <v>2731</v>
      </c>
      <c r="L890" s="15" t="s">
        <v>834</v>
      </c>
      <c r="M890" s="13">
        <v>45128</v>
      </c>
      <c r="N890" s="86">
        <v>110000</v>
      </c>
      <c r="O890" s="28" t="s">
        <v>20</v>
      </c>
      <c r="P890" s="1" t="s">
        <v>66</v>
      </c>
      <c r="Q890" s="141"/>
      <c r="R890" s="191">
        <v>110000</v>
      </c>
    </row>
    <row r="891" spans="1:18" ht="15.75" customHeight="1" x14ac:dyDescent="0.3">
      <c r="A891" s="128" t="s">
        <v>2954</v>
      </c>
      <c r="B891" s="9" t="s">
        <v>2955</v>
      </c>
      <c r="C891" s="11" t="s">
        <v>4490</v>
      </c>
      <c r="D891" t="s">
        <v>4493</v>
      </c>
      <c r="E891"/>
      <c r="F891" t="s">
        <v>2956</v>
      </c>
      <c r="G891" t="s">
        <v>4643</v>
      </c>
      <c r="H891" s="3" t="s">
        <v>2957</v>
      </c>
      <c r="I891"/>
      <c r="J891" s="165">
        <v>4209</v>
      </c>
      <c r="K891" s="15" t="s">
        <v>2958</v>
      </c>
      <c r="L891" s="15" t="s">
        <v>834</v>
      </c>
      <c r="M891" s="13">
        <v>45131</v>
      </c>
      <c r="N891" s="86">
        <v>250000</v>
      </c>
      <c r="O891" s="28" t="s">
        <v>20</v>
      </c>
      <c r="P891" s="1" t="s">
        <v>78</v>
      </c>
      <c r="Q891" s="141"/>
      <c r="R891" s="191">
        <v>250000</v>
      </c>
    </row>
    <row r="892" spans="1:18" ht="15.75" customHeight="1" x14ac:dyDescent="0.3">
      <c r="A892" s="128" t="s">
        <v>2959</v>
      </c>
      <c r="B892" s="9" t="s">
        <v>2960</v>
      </c>
      <c r="C892" s="11" t="s">
        <v>4490</v>
      </c>
      <c r="D892" t="s">
        <v>4493</v>
      </c>
      <c r="E892"/>
      <c r="F892" t="s">
        <v>2961</v>
      </c>
      <c r="G892" t="s">
        <v>4643</v>
      </c>
      <c r="H892" s="3" t="s">
        <v>2957</v>
      </c>
      <c r="I892"/>
      <c r="J892" s="165">
        <v>4209</v>
      </c>
      <c r="K892" s="15" t="s">
        <v>2958</v>
      </c>
      <c r="L892" s="15" t="s">
        <v>834</v>
      </c>
      <c r="M892" s="13">
        <v>45131</v>
      </c>
      <c r="N892" s="86">
        <v>250000</v>
      </c>
      <c r="O892" s="28" t="s">
        <v>20</v>
      </c>
      <c r="P892" s="1" t="s">
        <v>78</v>
      </c>
      <c r="Q892" s="141"/>
      <c r="R892" s="191">
        <v>250000</v>
      </c>
    </row>
    <row r="893" spans="1:18" ht="15.75" customHeight="1" x14ac:dyDescent="0.3">
      <c r="A893" s="128" t="s">
        <v>2962</v>
      </c>
      <c r="B893" s="9" t="s">
        <v>2963</v>
      </c>
      <c r="C893" s="11" t="s">
        <v>4490</v>
      </c>
      <c r="D893" t="s">
        <v>4493</v>
      </c>
      <c r="E893"/>
      <c r="F893" t="s">
        <v>2964</v>
      </c>
      <c r="G893" t="s">
        <v>4643</v>
      </c>
      <c r="H893" s="3" t="s">
        <v>2957</v>
      </c>
      <c r="I893"/>
      <c r="J893" s="165">
        <v>4209</v>
      </c>
      <c r="K893" s="15" t="s">
        <v>2808</v>
      </c>
      <c r="L893" s="15" t="s">
        <v>834</v>
      </c>
      <c r="M893" s="13">
        <v>45131</v>
      </c>
      <c r="N893" s="86">
        <v>250000</v>
      </c>
      <c r="O893" s="28" t="s">
        <v>20</v>
      </c>
      <c r="P893" s="1" t="s">
        <v>91</v>
      </c>
      <c r="Q893" s="141"/>
      <c r="R893" s="191">
        <v>250000</v>
      </c>
    </row>
    <row r="894" spans="1:18" ht="15.75" customHeight="1" x14ac:dyDescent="0.3">
      <c r="A894" s="128" t="s">
        <v>2965</v>
      </c>
      <c r="B894" s="9" t="s">
        <v>2966</v>
      </c>
      <c r="C894" s="11" t="s">
        <v>4519</v>
      </c>
      <c r="D894" t="s">
        <v>4495</v>
      </c>
      <c r="E894" s="3"/>
      <c r="F894" s="15"/>
      <c r="G894" s="15"/>
      <c r="H894" s="3" t="s">
        <v>2967</v>
      </c>
      <c r="I894"/>
      <c r="J894" s="165">
        <v>6195</v>
      </c>
      <c r="K894" s="15" t="s">
        <v>2968</v>
      </c>
      <c r="L894" s="15" t="s">
        <v>2969</v>
      </c>
      <c r="M894" s="13">
        <v>45131</v>
      </c>
      <c r="N894" s="86">
        <v>2999</v>
      </c>
      <c r="O894" s="28" t="s">
        <v>20</v>
      </c>
      <c r="P894" s="1" t="s">
        <v>66</v>
      </c>
      <c r="Q894" s="141"/>
      <c r="R894" s="191">
        <v>2999</v>
      </c>
    </row>
    <row r="895" spans="1:18" ht="15.75" customHeight="1" x14ac:dyDescent="0.3">
      <c r="A895" s="128" t="s">
        <v>2970</v>
      </c>
      <c r="B895" s="9" t="s">
        <v>2971</v>
      </c>
      <c r="C895" s="11" t="s">
        <v>4519</v>
      </c>
      <c r="D895" t="s">
        <v>4495</v>
      </c>
      <c r="E895" s="3"/>
      <c r="F895" s="15"/>
      <c r="G895" s="15"/>
      <c r="H895" s="3" t="s">
        <v>2972</v>
      </c>
      <c r="I895"/>
      <c r="J895" s="165">
        <v>13112</v>
      </c>
      <c r="K895" s="15" t="s">
        <v>1339</v>
      </c>
      <c r="L895" s="15" t="s">
        <v>188</v>
      </c>
      <c r="M895" s="13">
        <v>45133</v>
      </c>
      <c r="N895" s="86">
        <v>4299.8999999999996</v>
      </c>
      <c r="O895" s="28" t="s">
        <v>20</v>
      </c>
      <c r="P895" s="1"/>
      <c r="Q895" s="141"/>
      <c r="R895" s="191" t="s">
        <v>4907</v>
      </c>
    </row>
    <row r="896" spans="1:18" ht="15.75" customHeight="1" x14ac:dyDescent="0.3">
      <c r="A896" s="128" t="s">
        <v>2973</v>
      </c>
      <c r="B896" s="9" t="s">
        <v>2974</v>
      </c>
      <c r="C896" s="11" t="s">
        <v>4489</v>
      </c>
      <c r="D896" t="s">
        <v>4499</v>
      </c>
      <c r="E896" s="160"/>
      <c r="F896" t="s">
        <v>4697</v>
      </c>
      <c r="G896" t="s">
        <v>4623</v>
      </c>
      <c r="H896" s="3" t="s">
        <v>2975</v>
      </c>
      <c r="I896"/>
      <c r="J896" s="165">
        <v>136019</v>
      </c>
      <c r="K896" s="15" t="s">
        <v>2705</v>
      </c>
      <c r="L896" s="15" t="s">
        <v>2706</v>
      </c>
      <c r="M896" s="13">
        <v>45135</v>
      </c>
      <c r="N896" s="86">
        <v>102500</v>
      </c>
      <c r="O896" s="28" t="s">
        <v>20</v>
      </c>
      <c r="P896" s="1"/>
      <c r="Q896" s="141"/>
      <c r="R896" s="191">
        <v>102500</v>
      </c>
    </row>
    <row r="897" spans="1:18" ht="15.75" customHeight="1" x14ac:dyDescent="0.3">
      <c r="A897" s="128" t="s">
        <v>2976</v>
      </c>
      <c r="B897" s="9" t="s">
        <v>2977</v>
      </c>
      <c r="C897" s="11" t="s">
        <v>4489</v>
      </c>
      <c r="D897" t="s">
        <v>4499</v>
      </c>
      <c r="E897"/>
      <c r="F897" t="s">
        <v>4698</v>
      </c>
      <c r="G897" t="s">
        <v>4623</v>
      </c>
      <c r="H897" s="3" t="s">
        <v>2978</v>
      </c>
      <c r="I897"/>
      <c r="J897" s="165">
        <v>136019</v>
      </c>
      <c r="K897" s="15" t="s">
        <v>2705</v>
      </c>
      <c r="L897" s="15" t="s">
        <v>2706</v>
      </c>
      <c r="M897" s="13">
        <v>45135</v>
      </c>
      <c r="N897" s="86">
        <v>150278.85</v>
      </c>
      <c r="O897" s="28" t="s">
        <v>20</v>
      </c>
      <c r="P897" s="1"/>
      <c r="Q897" s="141"/>
      <c r="R897" s="191" t="s">
        <v>4908</v>
      </c>
    </row>
    <row r="898" spans="1:18" ht="15.75" customHeight="1" x14ac:dyDescent="0.3">
      <c r="A898" s="128" t="s">
        <v>2979</v>
      </c>
      <c r="B898" s="9" t="s">
        <v>2980</v>
      </c>
      <c r="C898" s="11" t="s">
        <v>4490</v>
      </c>
      <c r="D898" t="s">
        <v>4493</v>
      </c>
      <c r="E898"/>
      <c r="F898" t="s">
        <v>2981</v>
      </c>
      <c r="G898" t="s">
        <v>4643</v>
      </c>
      <c r="H898" s="3" t="s">
        <v>2982</v>
      </c>
      <c r="I898" s="160"/>
      <c r="J898" s="165">
        <v>1357442</v>
      </c>
      <c r="K898" s="15" t="s">
        <v>2983</v>
      </c>
      <c r="L898" s="15" t="s">
        <v>2984</v>
      </c>
      <c r="M898" s="13">
        <v>45139</v>
      </c>
      <c r="N898" s="86">
        <v>180000</v>
      </c>
      <c r="O898" s="28" t="s">
        <v>20</v>
      </c>
      <c r="P898" s="1" t="s">
        <v>44</v>
      </c>
      <c r="Q898" s="141"/>
      <c r="R898" s="191">
        <v>180000</v>
      </c>
    </row>
    <row r="899" spans="1:18" ht="15.75" customHeight="1" x14ac:dyDescent="0.3">
      <c r="A899" s="128" t="s">
        <v>2985</v>
      </c>
      <c r="B899" s="9" t="s">
        <v>2986</v>
      </c>
      <c r="C899" s="11" t="s">
        <v>4490</v>
      </c>
      <c r="D899" t="s">
        <v>4493</v>
      </c>
      <c r="E899"/>
      <c r="F899" t="s">
        <v>2987</v>
      </c>
      <c r="G899" t="s">
        <v>4643</v>
      </c>
      <c r="H899" s="3" t="s">
        <v>2982</v>
      </c>
      <c r="I899" s="160"/>
      <c r="J899" s="165">
        <v>1357472</v>
      </c>
      <c r="K899" s="15" t="s">
        <v>2983</v>
      </c>
      <c r="L899" s="15" t="s">
        <v>2984</v>
      </c>
      <c r="M899" s="13">
        <v>45139</v>
      </c>
      <c r="N899" s="86">
        <v>180000</v>
      </c>
      <c r="O899" s="28" t="s">
        <v>20</v>
      </c>
      <c r="P899" s="1" t="s">
        <v>44</v>
      </c>
      <c r="Q899" s="141"/>
      <c r="R899" s="191">
        <v>180000</v>
      </c>
    </row>
    <row r="900" spans="1:18" ht="15.75" customHeight="1" x14ac:dyDescent="0.3">
      <c r="A900" s="128" t="s">
        <v>2988</v>
      </c>
      <c r="B900" s="9" t="s">
        <v>2989</v>
      </c>
      <c r="C900" s="11" t="s">
        <v>4490</v>
      </c>
      <c r="D900" t="s">
        <v>4495</v>
      </c>
      <c r="E900"/>
      <c r="F900" t="s">
        <v>2990</v>
      </c>
      <c r="G900"/>
      <c r="H900" s="3" t="s">
        <v>2991</v>
      </c>
      <c r="I900"/>
      <c r="J900" s="165">
        <v>4447</v>
      </c>
      <c r="K900" s="15" t="s">
        <v>1683</v>
      </c>
      <c r="L900" s="15" t="s">
        <v>1684</v>
      </c>
      <c r="M900" s="13">
        <v>45142</v>
      </c>
      <c r="N900" s="86">
        <v>400000</v>
      </c>
      <c r="O900" s="28" t="s">
        <v>20</v>
      </c>
      <c r="P900" s="1" t="s">
        <v>66</v>
      </c>
      <c r="Q900" s="141"/>
      <c r="R900" s="191">
        <v>400000</v>
      </c>
    </row>
    <row r="901" spans="1:18" ht="15.75" customHeight="1" x14ac:dyDescent="0.3">
      <c r="A901" s="128" t="s">
        <v>2992</v>
      </c>
      <c r="B901" s="9" t="s">
        <v>2993</v>
      </c>
      <c r="C901" s="11" t="s">
        <v>4490</v>
      </c>
      <c r="D901" t="s">
        <v>4495</v>
      </c>
      <c r="E901"/>
      <c r="F901" t="s">
        <v>2994</v>
      </c>
      <c r="G901" t="s">
        <v>4643</v>
      </c>
      <c r="H901" s="3" t="s">
        <v>2995</v>
      </c>
      <c r="I901" t="s">
        <v>4559</v>
      </c>
      <c r="J901" s="165">
        <v>146574</v>
      </c>
      <c r="K901" s="15" t="s">
        <v>176</v>
      </c>
      <c r="L901" s="11" t="s">
        <v>1015</v>
      </c>
      <c r="M901" s="13">
        <v>45145</v>
      </c>
      <c r="N901" s="86">
        <v>2300000</v>
      </c>
      <c r="O901" s="28" t="s">
        <v>20</v>
      </c>
      <c r="P901" s="1" t="s">
        <v>44</v>
      </c>
      <c r="Q901" s="141"/>
      <c r="R901" s="191">
        <v>2300000</v>
      </c>
    </row>
    <row r="902" spans="1:18" ht="15.75" customHeight="1" x14ac:dyDescent="0.3">
      <c r="A902" s="128" t="s">
        <v>2996</v>
      </c>
      <c r="B902" s="9" t="s">
        <v>2997</v>
      </c>
      <c r="C902" s="11" t="s">
        <v>4490</v>
      </c>
      <c r="D902" t="s">
        <v>4493</v>
      </c>
      <c r="E902"/>
      <c r="F902" t="s">
        <v>2998</v>
      </c>
      <c r="G902" t="s">
        <v>4643</v>
      </c>
      <c r="H902" s="3" t="s">
        <v>2995</v>
      </c>
      <c r="I902"/>
      <c r="J902" s="165">
        <v>146573</v>
      </c>
      <c r="K902" s="15" t="s">
        <v>176</v>
      </c>
      <c r="L902" s="11" t="s">
        <v>1015</v>
      </c>
      <c r="M902" s="13">
        <v>45146</v>
      </c>
      <c r="N902" s="86">
        <v>2300000</v>
      </c>
      <c r="O902" s="28" t="s">
        <v>20</v>
      </c>
      <c r="P902" s="1" t="s">
        <v>78</v>
      </c>
      <c r="Q902" s="141"/>
      <c r="R902" s="191">
        <v>2300000</v>
      </c>
    </row>
    <row r="903" spans="1:18" ht="15.75" customHeight="1" x14ac:dyDescent="0.3">
      <c r="A903" s="128" t="s">
        <v>2999</v>
      </c>
      <c r="B903" s="9" t="s">
        <v>3000</v>
      </c>
      <c r="C903" s="11" t="s">
        <v>4489</v>
      </c>
      <c r="D903" t="s">
        <v>4495</v>
      </c>
      <c r="E903" s="3"/>
      <c r="F903" s="15"/>
      <c r="G903" s="15"/>
      <c r="H903" s="3" t="s">
        <v>2526</v>
      </c>
      <c r="I903"/>
      <c r="J903" s="165">
        <v>8329</v>
      </c>
      <c r="K903" s="15" t="s">
        <v>3001</v>
      </c>
      <c r="L903" s="15" t="s">
        <v>2528</v>
      </c>
      <c r="M903" s="13">
        <v>45146</v>
      </c>
      <c r="N903" s="86">
        <v>39639.71</v>
      </c>
      <c r="O903" s="28"/>
      <c r="P903" s="1"/>
      <c r="Q903" s="141"/>
      <c r="R903" s="191" t="s">
        <v>5042</v>
      </c>
    </row>
    <row r="904" spans="1:18" ht="15.75" customHeight="1" x14ac:dyDescent="0.3">
      <c r="A904" s="128" t="s">
        <v>3002</v>
      </c>
      <c r="B904" s="9" t="s">
        <v>3003</v>
      </c>
      <c r="C904" s="3" t="s">
        <v>4520</v>
      </c>
      <c r="D904" t="s">
        <v>4499</v>
      </c>
      <c r="E904" s="3"/>
      <c r="F904" s="15"/>
      <c r="G904" s="15"/>
      <c r="H904" s="3" t="s">
        <v>3004</v>
      </c>
      <c r="I904"/>
      <c r="J904" s="165">
        <v>14541</v>
      </c>
      <c r="K904" s="15" t="s">
        <v>3005</v>
      </c>
      <c r="L904" s="15" t="s">
        <v>3006</v>
      </c>
      <c r="M904" s="13">
        <v>45147</v>
      </c>
      <c r="N904" s="86">
        <v>2200</v>
      </c>
      <c r="O904" s="28" t="s">
        <v>20</v>
      </c>
      <c r="P904" s="1" t="s">
        <v>66</v>
      </c>
      <c r="Q904" s="141"/>
      <c r="R904" s="191">
        <v>2200</v>
      </c>
    </row>
    <row r="905" spans="1:18" ht="15.75" customHeight="1" x14ac:dyDescent="0.3">
      <c r="A905" s="128" t="s">
        <v>3007</v>
      </c>
      <c r="B905" s="9" t="s">
        <v>3008</v>
      </c>
      <c r="C905" s="11" t="s">
        <v>4520</v>
      </c>
      <c r="D905" t="s">
        <v>4496</v>
      </c>
      <c r="E905" s="3"/>
      <c r="F905" s="10"/>
      <c r="G905" s="10"/>
      <c r="H905" s="3" t="s">
        <v>3009</v>
      </c>
      <c r="I905"/>
      <c r="J905" s="165">
        <v>12693</v>
      </c>
      <c r="K905" s="15" t="s">
        <v>3010</v>
      </c>
      <c r="L905" s="15" t="s">
        <v>3011</v>
      </c>
      <c r="M905" s="13">
        <v>45147</v>
      </c>
      <c r="N905" s="86">
        <v>7998</v>
      </c>
      <c r="O905" s="28"/>
      <c r="P905" s="1"/>
      <c r="Q905" s="141"/>
      <c r="R905" s="191">
        <v>7998</v>
      </c>
    </row>
    <row r="906" spans="1:18" ht="15.75" customHeight="1" x14ac:dyDescent="0.3">
      <c r="A906" s="128" t="s">
        <v>3012</v>
      </c>
      <c r="B906" s="9" t="s">
        <v>3013</v>
      </c>
      <c r="C906" s="11" t="s">
        <v>4519</v>
      </c>
      <c r="D906" t="s">
        <v>4492</v>
      </c>
      <c r="E906" s="3"/>
      <c r="F906" s="15"/>
      <c r="G906" s="15"/>
      <c r="H906" s="3" t="s">
        <v>3014</v>
      </c>
      <c r="I906"/>
      <c r="J906" s="165">
        <v>79904</v>
      </c>
      <c r="K906" s="15" t="s">
        <v>1548</v>
      </c>
      <c r="L906" s="15" t="s">
        <v>556</v>
      </c>
      <c r="M906" s="13">
        <v>45154</v>
      </c>
      <c r="N906" s="86">
        <v>2854</v>
      </c>
      <c r="O906" s="28" t="s">
        <v>20</v>
      </c>
      <c r="P906" s="1" t="s">
        <v>91</v>
      </c>
      <c r="Q906" s="141"/>
      <c r="R906" s="191">
        <v>2854</v>
      </c>
    </row>
    <row r="907" spans="1:18" ht="15.75" customHeight="1" x14ac:dyDescent="0.3">
      <c r="A907" s="128" t="s">
        <v>3015</v>
      </c>
      <c r="B907" s="9" t="s">
        <v>3016</v>
      </c>
      <c r="C907" s="11" t="s">
        <v>4490</v>
      </c>
      <c r="D907" t="s">
        <v>4492</v>
      </c>
      <c r="E907" s="160"/>
      <c r="F907"/>
      <c r="G907" t="s">
        <v>4644</v>
      </c>
      <c r="H907" s="3" t="s">
        <v>3017</v>
      </c>
      <c r="I907"/>
      <c r="J907" s="165">
        <v>354</v>
      </c>
      <c r="K907" s="15" t="s">
        <v>3018</v>
      </c>
      <c r="L907" s="15" t="s">
        <v>3019</v>
      </c>
      <c r="M907" s="13">
        <v>45155</v>
      </c>
      <c r="N907" s="86">
        <v>113000</v>
      </c>
      <c r="O907" s="28" t="s">
        <v>20</v>
      </c>
      <c r="P907" s="1" t="s">
        <v>91</v>
      </c>
      <c r="Q907" s="141"/>
      <c r="R907" s="191">
        <v>113000</v>
      </c>
    </row>
    <row r="908" spans="1:18" ht="15.75" customHeight="1" x14ac:dyDescent="0.3">
      <c r="A908" s="128" t="s">
        <v>3020</v>
      </c>
      <c r="B908" s="9" t="s">
        <v>3021</v>
      </c>
      <c r="C908" s="11" t="s">
        <v>4518</v>
      </c>
      <c r="D908" t="s">
        <v>4492</v>
      </c>
      <c r="E908"/>
      <c r="F908"/>
      <c r="G908"/>
      <c r="H908" s="3" t="s">
        <v>489</v>
      </c>
      <c r="I908"/>
      <c r="J908" s="165">
        <v>121752</v>
      </c>
      <c r="K908" s="15" t="s">
        <v>2691</v>
      </c>
      <c r="L908" s="11" t="s">
        <v>684</v>
      </c>
      <c r="M908" s="13">
        <v>45159</v>
      </c>
      <c r="N908" s="86">
        <v>1804.26</v>
      </c>
      <c r="O908" s="28" t="s">
        <v>20</v>
      </c>
      <c r="P908" s="1" t="s">
        <v>91</v>
      </c>
      <c r="Q908" s="141"/>
      <c r="R908" s="191" t="s">
        <v>4909</v>
      </c>
    </row>
    <row r="909" spans="1:18" ht="15.75" customHeight="1" x14ac:dyDescent="0.3">
      <c r="A909" s="132" t="s">
        <v>3022</v>
      </c>
      <c r="B909" s="9" t="s">
        <v>3022</v>
      </c>
      <c r="C909" s="11" t="s">
        <v>4489</v>
      </c>
      <c r="D909" t="s">
        <v>4494</v>
      </c>
      <c r="E909" s="3"/>
      <c r="F909" s="14"/>
      <c r="G909" s="14"/>
      <c r="H909" s="3" t="s">
        <v>3023</v>
      </c>
      <c r="I909"/>
      <c r="J909" s="166">
        <v>5344</v>
      </c>
      <c r="K909" s="3" t="s">
        <v>3024</v>
      </c>
      <c r="L909" s="15" t="s">
        <v>3025</v>
      </c>
      <c r="M909" s="29">
        <v>45729</v>
      </c>
      <c r="N909" s="86">
        <v>6520</v>
      </c>
      <c r="O909" s="28"/>
      <c r="P909" s="1" t="s">
        <v>44</v>
      </c>
      <c r="Q909" s="141"/>
      <c r="R909" s="191">
        <v>6520</v>
      </c>
    </row>
    <row r="910" spans="1:18" ht="15.75" customHeight="1" x14ac:dyDescent="0.3">
      <c r="A910" s="128" t="s">
        <v>3026</v>
      </c>
      <c r="B910" s="9" t="s">
        <v>3027</v>
      </c>
      <c r="C910" s="11" t="s">
        <v>4489</v>
      </c>
      <c r="D910" t="s">
        <v>4495</v>
      </c>
      <c r="E910" s="3"/>
      <c r="F910" s="15"/>
      <c r="G910" s="15"/>
      <c r="H910" s="3" t="s">
        <v>3028</v>
      </c>
      <c r="I910"/>
      <c r="J910" s="165">
        <v>878953</v>
      </c>
      <c r="K910" s="15" t="s">
        <v>3029</v>
      </c>
      <c r="L910" s="15" t="s">
        <v>1838</v>
      </c>
      <c r="M910" s="13">
        <v>45160</v>
      </c>
      <c r="N910" s="86">
        <v>13650</v>
      </c>
      <c r="O910" s="28"/>
      <c r="P910" s="1"/>
      <c r="Q910" s="141"/>
      <c r="R910" s="191">
        <v>13650</v>
      </c>
    </row>
    <row r="911" spans="1:18" ht="15.75" customHeight="1" x14ac:dyDescent="0.3">
      <c r="A911" s="128" t="s">
        <v>3030</v>
      </c>
      <c r="B911" s="9" t="s">
        <v>3031</v>
      </c>
      <c r="C911" s="11" t="s">
        <v>4489</v>
      </c>
      <c r="D911" t="s">
        <v>4492</v>
      </c>
      <c r="E911" s="3"/>
      <c r="F911" s="15"/>
      <c r="G911" s="15"/>
      <c r="H911" s="3" t="s">
        <v>3032</v>
      </c>
      <c r="I911"/>
      <c r="J911" s="165">
        <v>1503</v>
      </c>
      <c r="K911" s="15" t="s">
        <v>3033</v>
      </c>
      <c r="L911" s="15" t="s">
        <v>3034</v>
      </c>
      <c r="M911" s="13">
        <v>45170</v>
      </c>
      <c r="N911" s="86">
        <v>3210.8</v>
      </c>
      <c r="O911" s="28" t="s">
        <v>20</v>
      </c>
      <c r="P911" s="1"/>
      <c r="Q911" s="141"/>
      <c r="R911" s="191" t="s">
        <v>4910</v>
      </c>
    </row>
    <row r="912" spans="1:18" ht="15.75" customHeight="1" x14ac:dyDescent="0.3">
      <c r="A912" s="128" t="s">
        <v>3035</v>
      </c>
      <c r="B912" s="9" t="s">
        <v>3036</v>
      </c>
      <c r="C912" s="11" t="s">
        <v>4489</v>
      </c>
      <c r="D912" t="s">
        <v>4499</v>
      </c>
      <c r="E912" s="3"/>
      <c r="F912" s="15"/>
      <c r="G912" s="15"/>
      <c r="H912" s="3" t="s">
        <v>3037</v>
      </c>
      <c r="I912"/>
      <c r="J912" s="165">
        <v>270</v>
      </c>
      <c r="K912" s="15" t="s">
        <v>3038</v>
      </c>
      <c r="L912" s="15" t="s">
        <v>3039</v>
      </c>
      <c r="M912" s="13">
        <v>45177</v>
      </c>
      <c r="N912" s="86">
        <v>16321.5</v>
      </c>
      <c r="O912" s="28"/>
      <c r="P912" s="1"/>
      <c r="Q912" s="141"/>
      <c r="R912" s="191" t="s">
        <v>4911</v>
      </c>
    </row>
    <row r="913" spans="1:18" ht="15.75" customHeight="1" x14ac:dyDescent="0.3">
      <c r="A913" s="128" t="s">
        <v>3040</v>
      </c>
      <c r="B913" s="9" t="s">
        <v>3041</v>
      </c>
      <c r="C913" s="11" t="s">
        <v>4519</v>
      </c>
      <c r="D913" t="s">
        <v>4495</v>
      </c>
      <c r="E913" s="3"/>
      <c r="F913" s="15"/>
      <c r="G913" s="15"/>
      <c r="H913" s="3" t="s">
        <v>3042</v>
      </c>
      <c r="I913"/>
      <c r="J913" s="165">
        <v>8404</v>
      </c>
      <c r="K913" s="15" t="s">
        <v>2968</v>
      </c>
      <c r="L913" s="15" t="s">
        <v>2969</v>
      </c>
      <c r="M913" s="13">
        <v>45180</v>
      </c>
      <c r="N913" s="86">
        <v>1899</v>
      </c>
      <c r="O913" s="28"/>
      <c r="P913" s="1"/>
      <c r="Q913" s="141"/>
      <c r="R913" s="191">
        <v>1899</v>
      </c>
    </row>
    <row r="914" spans="1:18" ht="15.75" customHeight="1" x14ac:dyDescent="0.3">
      <c r="A914" s="128" t="s">
        <v>3043</v>
      </c>
      <c r="B914" s="9" t="s">
        <v>3044</v>
      </c>
      <c r="C914" s="11" t="s">
        <v>4519</v>
      </c>
      <c r="D914" t="s">
        <v>4495</v>
      </c>
      <c r="E914" s="3"/>
      <c r="F914" s="15"/>
      <c r="G914" s="15"/>
      <c r="H914" s="3" t="s">
        <v>3045</v>
      </c>
      <c r="I914"/>
      <c r="J914" s="165">
        <v>8404</v>
      </c>
      <c r="K914" s="15" t="s">
        <v>2968</v>
      </c>
      <c r="L914" s="15" t="s">
        <v>2969</v>
      </c>
      <c r="M914" s="13">
        <v>45180</v>
      </c>
      <c r="N914" s="86">
        <v>3134</v>
      </c>
      <c r="O914" s="28"/>
      <c r="P914" s="1"/>
      <c r="Q914" s="141"/>
      <c r="R914" s="191">
        <v>3134</v>
      </c>
    </row>
    <row r="915" spans="1:18" ht="15.75" customHeight="1" x14ac:dyDescent="0.3">
      <c r="A915" s="128" t="s">
        <v>3046</v>
      </c>
      <c r="B915" s="9" t="s">
        <v>3047</v>
      </c>
      <c r="C915" s="11" t="s">
        <v>4519</v>
      </c>
      <c r="D915" t="s">
        <v>4495</v>
      </c>
      <c r="E915" s="3"/>
      <c r="F915" s="15"/>
      <c r="G915" s="15"/>
      <c r="H915" s="3" t="s">
        <v>3048</v>
      </c>
      <c r="I915"/>
      <c r="J915" s="165">
        <v>8404</v>
      </c>
      <c r="K915" s="15" t="s">
        <v>2968</v>
      </c>
      <c r="L915" s="15" t="s">
        <v>2969</v>
      </c>
      <c r="M915" s="13">
        <v>45180</v>
      </c>
      <c r="N915" s="86">
        <v>8661.4699999999993</v>
      </c>
      <c r="O915" s="28"/>
      <c r="P915" s="1"/>
      <c r="Q915" s="141"/>
      <c r="R915" s="191" t="s">
        <v>4912</v>
      </c>
    </row>
    <row r="916" spans="1:18" ht="15.75" customHeight="1" x14ac:dyDescent="0.3">
      <c r="A916" s="128" t="s">
        <v>3049</v>
      </c>
      <c r="B916" s="9" t="s">
        <v>3050</v>
      </c>
      <c r="C916" s="11" t="s">
        <v>4489</v>
      </c>
      <c r="D916" t="s">
        <v>4494</v>
      </c>
      <c r="E916" s="3"/>
      <c r="F916" s="15"/>
      <c r="G916" s="15"/>
      <c r="H916" s="3" t="s">
        <v>3051</v>
      </c>
      <c r="I916"/>
      <c r="J916" s="165">
        <v>177</v>
      </c>
      <c r="K916" s="15" t="s">
        <v>3052</v>
      </c>
      <c r="L916" s="15" t="s">
        <v>3053</v>
      </c>
      <c r="M916" s="13">
        <v>45187</v>
      </c>
      <c r="N916" s="86">
        <v>22717</v>
      </c>
      <c r="O916" s="28"/>
      <c r="P916" s="1"/>
      <c r="Q916" s="141"/>
      <c r="R916" s="191">
        <v>22717</v>
      </c>
    </row>
    <row r="917" spans="1:18" ht="15.75" customHeight="1" x14ac:dyDescent="0.3">
      <c r="A917" s="128" t="s">
        <v>3054</v>
      </c>
      <c r="B917" s="9" t="s">
        <v>3055</v>
      </c>
      <c r="C917" s="11" t="s">
        <v>4519</v>
      </c>
      <c r="D917" t="s">
        <v>4492</v>
      </c>
      <c r="E917" s="3"/>
      <c r="F917" s="15"/>
      <c r="G917" s="15"/>
      <c r="H917" s="3" t="s">
        <v>2466</v>
      </c>
      <c r="I917"/>
      <c r="J917" s="165">
        <v>14952</v>
      </c>
      <c r="K917" s="15" t="s">
        <v>1339</v>
      </c>
      <c r="L917" s="15" t="s">
        <v>188</v>
      </c>
      <c r="M917" s="13">
        <v>45188</v>
      </c>
      <c r="N917" s="86">
        <v>1899</v>
      </c>
      <c r="O917" s="28"/>
      <c r="P917" s="1"/>
      <c r="Q917" s="141"/>
      <c r="R917" s="191">
        <v>1899</v>
      </c>
    </row>
    <row r="918" spans="1:18" ht="15.75" customHeight="1" x14ac:dyDescent="0.3">
      <c r="A918" s="128" t="s">
        <v>3056</v>
      </c>
      <c r="B918" s="9" t="s">
        <v>3057</v>
      </c>
      <c r="C918" s="11" t="s">
        <v>4489</v>
      </c>
      <c r="D918" t="s">
        <v>4495</v>
      </c>
      <c r="E918"/>
      <c r="F918"/>
      <c r="G918"/>
      <c r="H918" s="3" t="s">
        <v>3058</v>
      </c>
      <c r="I918"/>
      <c r="J918" s="165">
        <v>123744</v>
      </c>
      <c r="K918" s="15" t="s">
        <v>2691</v>
      </c>
      <c r="L918" s="11" t="s">
        <v>684</v>
      </c>
      <c r="M918" s="13">
        <v>45189</v>
      </c>
      <c r="N918" s="86">
        <v>3617.66</v>
      </c>
      <c r="O918" s="28" t="s">
        <v>20</v>
      </c>
      <c r="P918" s="1" t="s">
        <v>66</v>
      </c>
      <c r="Q918" s="141"/>
      <c r="R918" s="191" t="s">
        <v>4913</v>
      </c>
    </row>
    <row r="919" spans="1:18" ht="15.75" customHeight="1" x14ac:dyDescent="0.3">
      <c r="A919" s="128" t="s">
        <v>3059</v>
      </c>
      <c r="B919" s="9" t="s">
        <v>3060</v>
      </c>
      <c r="C919" s="11" t="s">
        <v>4490</v>
      </c>
      <c r="D919" t="s">
        <v>4495</v>
      </c>
      <c r="E919"/>
      <c r="F919" t="s">
        <v>3061</v>
      </c>
      <c r="G919" t="s">
        <v>4617</v>
      </c>
      <c r="H919" s="3" t="s">
        <v>2574</v>
      </c>
      <c r="I919" t="s">
        <v>3061</v>
      </c>
      <c r="J919" s="165">
        <v>1406</v>
      </c>
      <c r="K919" s="15" t="s">
        <v>2575</v>
      </c>
      <c r="L919" s="15" t="s">
        <v>3062</v>
      </c>
      <c r="M919" s="13">
        <v>45195</v>
      </c>
      <c r="N919" s="86">
        <v>540000</v>
      </c>
      <c r="O919" s="28" t="s">
        <v>20</v>
      </c>
      <c r="P919" s="1"/>
      <c r="Q919" s="141"/>
      <c r="R919" s="191">
        <v>540000</v>
      </c>
    </row>
    <row r="920" spans="1:18" ht="15.75" customHeight="1" x14ac:dyDescent="0.3">
      <c r="A920" s="128" t="s">
        <v>3063</v>
      </c>
      <c r="B920" s="9" t="s">
        <v>3064</v>
      </c>
      <c r="C920" s="11" t="s">
        <v>4518</v>
      </c>
      <c r="D920" t="s">
        <v>4495</v>
      </c>
      <c r="E920" s="3"/>
      <c r="F920" s="15"/>
      <c r="G920" s="15"/>
      <c r="H920" s="3" t="s">
        <v>3032</v>
      </c>
      <c r="I920"/>
      <c r="J920" s="165">
        <v>16094</v>
      </c>
      <c r="K920" s="15" t="s">
        <v>3065</v>
      </c>
      <c r="L920" s="15" t="s">
        <v>3066</v>
      </c>
      <c r="M920" s="13">
        <v>45199</v>
      </c>
      <c r="N920" s="86">
        <v>3141</v>
      </c>
      <c r="O920" s="28" t="s">
        <v>20</v>
      </c>
      <c r="P920" s="1"/>
      <c r="Q920" s="141"/>
      <c r="R920" s="191">
        <v>3141</v>
      </c>
    </row>
    <row r="921" spans="1:18" ht="15.75" customHeight="1" x14ac:dyDescent="0.3">
      <c r="A921" s="128" t="s">
        <v>3067</v>
      </c>
      <c r="B921" s="9" t="s">
        <v>3068</v>
      </c>
      <c r="C921" s="11" t="s">
        <v>4487</v>
      </c>
      <c r="D921" t="s">
        <v>4495</v>
      </c>
      <c r="E921" t="s">
        <v>3069</v>
      </c>
      <c r="F921" t="s">
        <v>3070</v>
      </c>
      <c r="G921" t="s">
        <v>4699</v>
      </c>
      <c r="H921" s="3" t="s">
        <v>3071</v>
      </c>
      <c r="I921"/>
      <c r="J921" s="165">
        <v>33490</v>
      </c>
      <c r="K921" s="15" t="s">
        <v>3072</v>
      </c>
      <c r="L921" s="11" t="s">
        <v>3073</v>
      </c>
      <c r="M921" s="13">
        <v>45199</v>
      </c>
      <c r="N921" s="86">
        <v>540500</v>
      </c>
      <c r="O921" s="28" t="s">
        <v>20</v>
      </c>
      <c r="P921" s="1" t="s">
        <v>66</v>
      </c>
      <c r="Q921" s="141"/>
      <c r="R921" s="191">
        <v>540500</v>
      </c>
    </row>
    <row r="922" spans="1:18" ht="15.75" customHeight="1" x14ac:dyDescent="0.3">
      <c r="A922" s="128" t="s">
        <v>3074</v>
      </c>
      <c r="B922" s="9" t="s">
        <v>3075</v>
      </c>
      <c r="C922" s="11" t="s">
        <v>4519</v>
      </c>
      <c r="D922" t="s">
        <v>4494</v>
      </c>
      <c r="E922" s="3"/>
      <c r="F922" s="15"/>
      <c r="G922" s="15"/>
      <c r="H922" s="3" t="s">
        <v>2469</v>
      </c>
      <c r="I922"/>
      <c r="J922" s="165">
        <v>81323</v>
      </c>
      <c r="K922" s="15" t="s">
        <v>1548</v>
      </c>
      <c r="L922" s="15" t="s">
        <v>556</v>
      </c>
      <c r="M922" s="13">
        <v>45202</v>
      </c>
      <c r="N922" s="86">
        <v>1876.64</v>
      </c>
      <c r="O922" s="28"/>
      <c r="P922" s="1"/>
      <c r="Q922" s="141"/>
      <c r="R922" s="191" t="s">
        <v>4914</v>
      </c>
    </row>
    <row r="923" spans="1:18" ht="15.75" customHeight="1" x14ac:dyDescent="0.3">
      <c r="A923" s="128" t="s">
        <v>3076</v>
      </c>
      <c r="B923" s="9" t="s">
        <v>3077</v>
      </c>
      <c r="C923" s="11" t="s">
        <v>4519</v>
      </c>
      <c r="D923" t="s">
        <v>4494</v>
      </c>
      <c r="E923" s="3"/>
      <c r="F923" s="15"/>
      <c r="G923" s="15"/>
      <c r="H923" s="3" t="s">
        <v>2466</v>
      </c>
      <c r="I923"/>
      <c r="J923" s="165">
        <v>81323</v>
      </c>
      <c r="K923" s="15" t="s">
        <v>1548</v>
      </c>
      <c r="L923" s="15" t="s">
        <v>556</v>
      </c>
      <c r="M923" s="13">
        <v>45202</v>
      </c>
      <c r="N923" s="86">
        <v>2116.36</v>
      </c>
      <c r="O923" s="28"/>
      <c r="P923" s="1"/>
      <c r="Q923" s="141"/>
      <c r="R923" s="191" t="s">
        <v>4915</v>
      </c>
    </row>
    <row r="924" spans="1:18" ht="15.75" customHeight="1" x14ac:dyDescent="0.3">
      <c r="A924" s="128" t="s">
        <v>3078</v>
      </c>
      <c r="B924" s="9" t="s">
        <v>3079</v>
      </c>
      <c r="C924" s="11" t="s">
        <v>4489</v>
      </c>
      <c r="D924" t="s">
        <v>4501</v>
      </c>
      <c r="E924" s="3"/>
      <c r="F924" s="15"/>
      <c r="G924" s="15"/>
      <c r="H924" s="3" t="s">
        <v>3080</v>
      </c>
      <c r="I924"/>
      <c r="J924" s="165">
        <v>11472</v>
      </c>
      <c r="K924" s="15" t="s">
        <v>3081</v>
      </c>
      <c r="L924" s="15" t="s">
        <v>3082</v>
      </c>
      <c r="M924" s="13">
        <v>45203</v>
      </c>
      <c r="N924" s="86">
        <v>32861.07</v>
      </c>
      <c r="O924" s="28"/>
      <c r="P924" s="1" t="s">
        <v>66</v>
      </c>
      <c r="Q924" s="141"/>
      <c r="R924" s="191" t="s">
        <v>4916</v>
      </c>
    </row>
    <row r="925" spans="1:18" ht="15.75" customHeight="1" x14ac:dyDescent="0.3">
      <c r="A925" s="128" t="s">
        <v>3083</v>
      </c>
      <c r="B925" s="9" t="s">
        <v>3084</v>
      </c>
      <c r="C925" s="11" t="s">
        <v>4489</v>
      </c>
      <c r="D925" t="s">
        <v>4495</v>
      </c>
      <c r="E925"/>
      <c r="F925"/>
      <c r="G925" t="s">
        <v>4557</v>
      </c>
      <c r="H925" s="3" t="s">
        <v>3085</v>
      </c>
      <c r="I925"/>
      <c r="J925" s="165">
        <v>751</v>
      </c>
      <c r="K925" s="15" t="s">
        <v>3086</v>
      </c>
      <c r="L925" s="15" t="s">
        <v>3087</v>
      </c>
      <c r="M925" s="13">
        <v>45203</v>
      </c>
      <c r="N925" s="86">
        <v>17500</v>
      </c>
      <c r="O925" s="28" t="s">
        <v>20</v>
      </c>
      <c r="P925" s="1" t="s">
        <v>91</v>
      </c>
      <c r="Q925" s="141"/>
      <c r="R925" s="191">
        <v>17500</v>
      </c>
    </row>
    <row r="926" spans="1:18" ht="15.75" customHeight="1" x14ac:dyDescent="0.3">
      <c r="A926" s="128" t="s">
        <v>3088</v>
      </c>
      <c r="B926" s="9" t="s">
        <v>3089</v>
      </c>
      <c r="C926" s="11" t="s">
        <v>4487</v>
      </c>
      <c r="D926" t="s">
        <v>4495</v>
      </c>
      <c r="E926"/>
      <c r="F926" t="s">
        <v>3090</v>
      </c>
      <c r="G926"/>
      <c r="H926" s="3" t="s">
        <v>1177</v>
      </c>
      <c r="I926"/>
      <c r="J926" s="165">
        <v>202382</v>
      </c>
      <c r="K926" s="15" t="s">
        <v>2821</v>
      </c>
      <c r="L926" s="11" t="s">
        <v>2093</v>
      </c>
      <c r="M926" s="13">
        <v>45205</v>
      </c>
      <c r="N926" s="86">
        <v>16900</v>
      </c>
      <c r="O926" s="28" t="s">
        <v>20</v>
      </c>
      <c r="P926" s="1"/>
      <c r="Q926" s="141"/>
      <c r="R926" s="191">
        <v>16900</v>
      </c>
    </row>
    <row r="927" spans="1:18" ht="15.75" customHeight="1" x14ac:dyDescent="0.3">
      <c r="A927" s="128" t="s">
        <v>3091</v>
      </c>
      <c r="B927" s="9" t="s">
        <v>3092</v>
      </c>
      <c r="C927" s="11" t="s">
        <v>4519</v>
      </c>
      <c r="D927" t="s">
        <v>4495</v>
      </c>
      <c r="E927" s="3"/>
      <c r="F927" s="15"/>
      <c r="G927" s="15"/>
      <c r="H927" s="3" t="s">
        <v>3093</v>
      </c>
      <c r="I927"/>
      <c r="J927" s="165">
        <v>15765</v>
      </c>
      <c r="K927" s="15" t="s">
        <v>1339</v>
      </c>
      <c r="L927" s="15" t="s">
        <v>188</v>
      </c>
      <c r="M927" s="13">
        <v>45208</v>
      </c>
      <c r="N927" s="86">
        <v>1999.9</v>
      </c>
      <c r="O927" s="28" t="s">
        <v>20</v>
      </c>
      <c r="P927" s="1"/>
      <c r="Q927" s="141"/>
      <c r="R927" s="191" t="s">
        <v>4917</v>
      </c>
    </row>
    <row r="928" spans="1:18" ht="15.75" customHeight="1" x14ac:dyDescent="0.3">
      <c r="A928" s="128" t="s">
        <v>3094</v>
      </c>
      <c r="B928" s="9" t="s">
        <v>3095</v>
      </c>
      <c r="C928" s="11" t="s">
        <v>4520</v>
      </c>
      <c r="D928" t="s">
        <v>4494</v>
      </c>
      <c r="E928" s="3"/>
      <c r="F928" s="15"/>
      <c r="G928" s="15"/>
      <c r="H928" s="3" t="s">
        <v>2664</v>
      </c>
      <c r="I928"/>
      <c r="J928" s="165">
        <v>469646</v>
      </c>
      <c r="K928" s="15" t="s">
        <v>3096</v>
      </c>
      <c r="L928" s="15" t="s">
        <v>3097</v>
      </c>
      <c r="M928" s="13">
        <v>45209</v>
      </c>
      <c r="N928" s="86">
        <v>1734.7</v>
      </c>
      <c r="O928" s="28" t="s">
        <v>20</v>
      </c>
      <c r="P928" s="1" t="s">
        <v>78</v>
      </c>
      <c r="Q928" s="141"/>
      <c r="R928" s="191" t="s">
        <v>4918</v>
      </c>
    </row>
    <row r="929" spans="1:18" ht="15.75" customHeight="1" x14ac:dyDescent="0.3">
      <c r="A929" s="128" t="s">
        <v>3098</v>
      </c>
      <c r="B929" s="9" t="s">
        <v>3099</v>
      </c>
      <c r="C929" s="11" t="s">
        <v>4518</v>
      </c>
      <c r="D929" t="s">
        <v>4492</v>
      </c>
      <c r="E929" s="3"/>
      <c r="F929" s="15"/>
      <c r="G929" s="15"/>
      <c r="H929" s="3" t="s">
        <v>3100</v>
      </c>
      <c r="I929"/>
      <c r="J929" s="165">
        <v>262</v>
      </c>
      <c r="K929" s="15" t="s">
        <v>2545</v>
      </c>
      <c r="L929" s="15" t="s">
        <v>2546</v>
      </c>
      <c r="M929" s="13">
        <v>45215</v>
      </c>
      <c r="N929" s="86">
        <v>25000</v>
      </c>
      <c r="O929" s="28" t="s">
        <v>20</v>
      </c>
      <c r="P929" s="1"/>
      <c r="Q929" s="141"/>
      <c r="R929" s="191">
        <v>25000</v>
      </c>
    </row>
    <row r="930" spans="1:18" ht="15.75" customHeight="1" x14ac:dyDescent="0.3">
      <c r="A930" s="128" t="s">
        <v>3101</v>
      </c>
      <c r="B930" s="9" t="s">
        <v>3102</v>
      </c>
      <c r="C930" s="11" t="s">
        <v>4518</v>
      </c>
      <c r="D930" t="s">
        <v>4495</v>
      </c>
      <c r="E930" s="3"/>
      <c r="F930" s="15"/>
      <c r="G930" s="15"/>
      <c r="H930" s="3" t="s">
        <v>3103</v>
      </c>
      <c r="I930"/>
      <c r="J930" s="165">
        <v>261</v>
      </c>
      <c r="K930" s="15" t="s">
        <v>2545</v>
      </c>
      <c r="L930" s="15" t="s">
        <v>2546</v>
      </c>
      <c r="M930" s="13">
        <v>45215</v>
      </c>
      <c r="N930" s="86">
        <v>25000</v>
      </c>
      <c r="O930" s="28"/>
      <c r="P930" s="1"/>
      <c r="Q930" s="141"/>
      <c r="R930" s="191">
        <v>25000</v>
      </c>
    </row>
    <row r="931" spans="1:18" ht="15.75" customHeight="1" x14ac:dyDescent="0.3">
      <c r="A931" s="128" t="s">
        <v>3104</v>
      </c>
      <c r="B931" s="9" t="s">
        <v>3105</v>
      </c>
      <c r="C931" s="11" t="s">
        <v>4490</v>
      </c>
      <c r="D931" t="s">
        <v>4492</v>
      </c>
      <c r="E931" s="160"/>
      <c r="F931"/>
      <c r="G931" t="s">
        <v>4644</v>
      </c>
      <c r="H931" s="3" t="s">
        <v>3106</v>
      </c>
      <c r="I931"/>
      <c r="J931" s="165">
        <v>116096</v>
      </c>
      <c r="K931" s="15" t="s">
        <v>1137</v>
      </c>
      <c r="L931" s="15" t="s">
        <v>1138</v>
      </c>
      <c r="M931" s="13">
        <v>45215</v>
      </c>
      <c r="N931" s="86">
        <v>128000</v>
      </c>
      <c r="O931" s="28" t="s">
        <v>20</v>
      </c>
      <c r="P931" s="1" t="s">
        <v>78</v>
      </c>
      <c r="Q931" s="141"/>
      <c r="R931" s="191">
        <v>128000</v>
      </c>
    </row>
    <row r="932" spans="1:18" ht="15.75" customHeight="1" x14ac:dyDescent="0.3">
      <c r="A932" s="128" t="s">
        <v>3107</v>
      </c>
      <c r="B932" s="9" t="s">
        <v>3108</v>
      </c>
      <c r="C932" s="11" t="s">
        <v>4489</v>
      </c>
      <c r="D932" t="s">
        <v>4495</v>
      </c>
      <c r="E932" s="3"/>
      <c r="F932" s="15"/>
      <c r="G932" s="15"/>
      <c r="H932" s="3" t="s">
        <v>3109</v>
      </c>
      <c r="I932"/>
      <c r="J932" s="165">
        <v>274</v>
      </c>
      <c r="K932" s="15" t="s">
        <v>3038</v>
      </c>
      <c r="L932" s="15" t="s">
        <v>3039</v>
      </c>
      <c r="M932" s="13">
        <v>45219</v>
      </c>
      <c r="N932" s="86">
        <v>7235.4</v>
      </c>
      <c r="O932" s="28"/>
      <c r="P932" s="1"/>
      <c r="Q932" s="141"/>
      <c r="R932" s="191" t="s">
        <v>4919</v>
      </c>
    </row>
    <row r="933" spans="1:18" ht="15.75" customHeight="1" x14ac:dyDescent="0.3">
      <c r="A933" s="128" t="s">
        <v>3110</v>
      </c>
      <c r="B933" s="9" t="s">
        <v>3111</v>
      </c>
      <c r="C933" s="11" t="s">
        <v>4489</v>
      </c>
      <c r="D933" t="s">
        <v>4493</v>
      </c>
      <c r="E933" s="3"/>
      <c r="F933" s="15"/>
      <c r="G933" s="15"/>
      <c r="H933" s="3" t="s">
        <v>1243</v>
      </c>
      <c r="I933"/>
      <c r="J933" s="165">
        <v>120986</v>
      </c>
      <c r="K933" s="15" t="s">
        <v>2821</v>
      </c>
      <c r="L933" s="15" t="s">
        <v>1244</v>
      </c>
      <c r="M933" s="13">
        <v>45229</v>
      </c>
      <c r="N933" s="86">
        <v>2850</v>
      </c>
      <c r="O933" s="28" t="s">
        <v>20</v>
      </c>
      <c r="P933" s="1" t="s">
        <v>78</v>
      </c>
      <c r="Q933" s="141"/>
      <c r="R933" s="191">
        <v>2850</v>
      </c>
    </row>
    <row r="934" spans="1:18" ht="15.75" customHeight="1" x14ac:dyDescent="0.3">
      <c r="A934" s="128" t="s">
        <v>3112</v>
      </c>
      <c r="B934" s="9" t="s">
        <v>3113</v>
      </c>
      <c r="C934" s="11" t="s">
        <v>4520</v>
      </c>
      <c r="D934" t="s">
        <v>4496</v>
      </c>
      <c r="E934" s="3"/>
      <c r="F934" s="10"/>
      <c r="G934" s="10"/>
      <c r="H934" s="3" t="s">
        <v>3114</v>
      </c>
      <c r="I934"/>
      <c r="J934" s="165">
        <v>320719</v>
      </c>
      <c r="K934" s="15" t="s">
        <v>3115</v>
      </c>
      <c r="L934" s="15" t="s">
        <v>3116</v>
      </c>
      <c r="M934" s="13">
        <v>45230</v>
      </c>
      <c r="N934" s="86">
        <v>8870</v>
      </c>
      <c r="O934" s="28"/>
      <c r="P934" s="1"/>
      <c r="Q934" s="141"/>
      <c r="R934" s="191">
        <v>8870</v>
      </c>
    </row>
    <row r="935" spans="1:18" ht="15.75" customHeight="1" x14ac:dyDescent="0.3">
      <c r="A935" s="128" t="s">
        <v>3117</v>
      </c>
      <c r="B935" s="9" t="s">
        <v>3118</v>
      </c>
      <c r="C935" s="11" t="s">
        <v>4490</v>
      </c>
      <c r="D935" t="s">
        <v>4495</v>
      </c>
      <c r="E935"/>
      <c r="F935"/>
      <c r="G935" t="s">
        <v>4618</v>
      </c>
      <c r="H935" s="3" t="s">
        <v>3119</v>
      </c>
      <c r="I935"/>
      <c r="J935" s="165">
        <v>4892</v>
      </c>
      <c r="K935" s="15" t="s">
        <v>1683</v>
      </c>
      <c r="L935" s="15" t="s">
        <v>1684</v>
      </c>
      <c r="M935" s="13">
        <v>45230</v>
      </c>
      <c r="N935" s="86">
        <v>345000</v>
      </c>
      <c r="O935" s="28" t="s">
        <v>20</v>
      </c>
      <c r="P935" s="1" t="s">
        <v>78</v>
      </c>
      <c r="Q935" s="141"/>
      <c r="R935" s="191">
        <v>345000</v>
      </c>
    </row>
    <row r="936" spans="1:18" ht="15.75" customHeight="1" x14ac:dyDescent="0.3">
      <c r="A936" s="128" t="s">
        <v>3120</v>
      </c>
      <c r="B936" s="9" t="s">
        <v>3121</v>
      </c>
      <c r="C936" s="11" t="s">
        <v>4490</v>
      </c>
      <c r="D936" t="s">
        <v>4495</v>
      </c>
      <c r="E936"/>
      <c r="F936" t="s">
        <v>3122</v>
      </c>
      <c r="G936"/>
      <c r="H936" s="3" t="s">
        <v>3123</v>
      </c>
      <c r="I936"/>
      <c r="J936" s="165">
        <v>124687</v>
      </c>
      <c r="K936" s="15" t="s">
        <v>3124</v>
      </c>
      <c r="L936" s="15" t="s">
        <v>2463</v>
      </c>
      <c r="M936" s="13">
        <v>45230</v>
      </c>
      <c r="N936" s="86">
        <v>265000</v>
      </c>
      <c r="O936" s="28" t="s">
        <v>20</v>
      </c>
      <c r="P936" s="1" t="s">
        <v>78</v>
      </c>
      <c r="Q936" s="141"/>
      <c r="R936" s="191">
        <v>265000</v>
      </c>
    </row>
    <row r="937" spans="1:18" ht="15.75" customHeight="1" x14ac:dyDescent="0.3">
      <c r="A937" s="128" t="s">
        <v>3125</v>
      </c>
      <c r="B937" s="9" t="s">
        <v>3126</v>
      </c>
      <c r="C937" s="11" t="s">
        <v>4489</v>
      </c>
      <c r="D937" t="s">
        <v>4499</v>
      </c>
      <c r="E937" s="3"/>
      <c r="F937" s="15"/>
      <c r="G937" s="15"/>
      <c r="H937" s="3" t="s">
        <v>3127</v>
      </c>
      <c r="I937"/>
      <c r="J937" s="165">
        <v>314</v>
      </c>
      <c r="K937" s="15" t="s">
        <v>3038</v>
      </c>
      <c r="L937" s="15" t="s">
        <v>3039</v>
      </c>
      <c r="M937" s="13">
        <v>45231</v>
      </c>
      <c r="N937" s="86">
        <v>7780</v>
      </c>
      <c r="O937" s="28"/>
      <c r="P937" s="1"/>
      <c r="Q937" s="141"/>
      <c r="R937" s="191">
        <v>7780</v>
      </c>
    </row>
    <row r="938" spans="1:18" ht="15.75" customHeight="1" x14ac:dyDescent="0.3">
      <c r="A938" s="128" t="s">
        <v>3128</v>
      </c>
      <c r="B938" s="9" t="s">
        <v>3129</v>
      </c>
      <c r="C938" s="11" t="s">
        <v>4519</v>
      </c>
      <c r="D938" t="s">
        <v>4492</v>
      </c>
      <c r="E938" s="3"/>
      <c r="F938" s="15"/>
      <c r="G938" s="15"/>
      <c r="H938" s="3" t="s">
        <v>3130</v>
      </c>
      <c r="I938"/>
      <c r="J938" s="165">
        <v>14083</v>
      </c>
      <c r="K938" s="15" t="s">
        <v>2968</v>
      </c>
      <c r="L938" s="15" t="s">
        <v>2969</v>
      </c>
      <c r="M938" s="13">
        <v>45231</v>
      </c>
      <c r="N938" s="86">
        <v>2799</v>
      </c>
      <c r="O938" s="28" t="s">
        <v>20</v>
      </c>
      <c r="P938" s="1" t="s">
        <v>91</v>
      </c>
      <c r="Q938" s="141"/>
      <c r="R938" s="191">
        <v>2799</v>
      </c>
    </row>
    <row r="939" spans="1:18" ht="15.75" customHeight="1" x14ac:dyDescent="0.3">
      <c r="A939" s="128" t="s">
        <v>3131</v>
      </c>
      <c r="B939" s="9" t="s">
        <v>3132</v>
      </c>
      <c r="C939" s="11" t="s">
        <v>4487</v>
      </c>
      <c r="D939" t="s">
        <v>4492</v>
      </c>
      <c r="E939"/>
      <c r="F939" t="s">
        <v>4700</v>
      </c>
      <c r="G939" t="s">
        <v>4643</v>
      </c>
      <c r="H939" s="3" t="s">
        <v>1177</v>
      </c>
      <c r="I939" t="s">
        <v>4560</v>
      </c>
      <c r="J939" s="165">
        <v>121150</v>
      </c>
      <c r="K939" s="15" t="s">
        <v>2821</v>
      </c>
      <c r="L939" s="15" t="s">
        <v>1244</v>
      </c>
      <c r="M939" s="13">
        <v>45233</v>
      </c>
      <c r="N939" s="86">
        <v>16900</v>
      </c>
      <c r="O939" s="28" t="s">
        <v>20</v>
      </c>
      <c r="P939" s="1" t="s">
        <v>91</v>
      </c>
      <c r="Q939" s="141"/>
      <c r="R939" s="191">
        <v>16900</v>
      </c>
    </row>
    <row r="940" spans="1:18" ht="15.75" customHeight="1" x14ac:dyDescent="0.3">
      <c r="A940" s="137" t="s">
        <v>3133</v>
      </c>
      <c r="B940" s="83" t="s">
        <v>3134</v>
      </c>
      <c r="C940" s="54" t="s">
        <v>4489</v>
      </c>
      <c r="D940" t="s">
        <v>4494</v>
      </c>
      <c r="E940" s="54"/>
      <c r="F940" s="56"/>
      <c r="G940" s="56"/>
      <c r="H940" s="54" t="s">
        <v>489</v>
      </c>
      <c r="I940"/>
      <c r="J940" s="172">
        <v>126565</v>
      </c>
      <c r="K940" s="56" t="s">
        <v>2691</v>
      </c>
      <c r="L940" s="54" t="s">
        <v>684</v>
      </c>
      <c r="M940" s="57">
        <v>45240</v>
      </c>
      <c r="N940" s="93">
        <v>1799.22</v>
      </c>
      <c r="O940" s="82"/>
      <c r="P940" s="85"/>
      <c r="Q940" s="141"/>
      <c r="R940" s="196" t="s">
        <v>4920</v>
      </c>
    </row>
    <row r="941" spans="1:18" ht="15.75" customHeight="1" x14ac:dyDescent="0.3">
      <c r="A941" s="128" t="s">
        <v>3135</v>
      </c>
      <c r="B941" s="9" t="s">
        <v>3136</v>
      </c>
      <c r="C941" s="11" t="s">
        <v>4489</v>
      </c>
      <c r="D941" t="s">
        <v>4492</v>
      </c>
      <c r="E941" s="3"/>
      <c r="F941" s="15"/>
      <c r="G941" s="15"/>
      <c r="H941" s="3" t="s">
        <v>3137</v>
      </c>
      <c r="I941"/>
      <c r="J941" s="165">
        <v>2812</v>
      </c>
      <c r="K941" s="15" t="s">
        <v>951</v>
      </c>
      <c r="L941" s="15" t="s">
        <v>952</v>
      </c>
      <c r="M941" s="13">
        <v>45243</v>
      </c>
      <c r="N941" s="86">
        <v>23000</v>
      </c>
      <c r="O941" s="28" t="s">
        <v>20</v>
      </c>
      <c r="P941" s="1"/>
      <c r="Q941" s="141"/>
      <c r="R941" s="191">
        <v>23000</v>
      </c>
    </row>
    <row r="942" spans="1:18" ht="15.75" customHeight="1" x14ac:dyDescent="0.3">
      <c r="A942" s="128" t="s">
        <v>3138</v>
      </c>
      <c r="B942" s="9" t="s">
        <v>3139</v>
      </c>
      <c r="C942" s="11" t="s">
        <v>4519</v>
      </c>
      <c r="D942" t="s">
        <v>4494</v>
      </c>
      <c r="E942" s="3"/>
      <c r="F942" s="15"/>
      <c r="G942" s="15"/>
      <c r="H942" s="3" t="s">
        <v>3014</v>
      </c>
      <c r="I942"/>
      <c r="J942" s="165">
        <v>82394</v>
      </c>
      <c r="K942" s="15" t="s">
        <v>1548</v>
      </c>
      <c r="L942" s="15" t="s">
        <v>556</v>
      </c>
      <c r="M942" s="13">
        <v>45246</v>
      </c>
      <c r="N942" s="86">
        <v>2880</v>
      </c>
      <c r="O942" s="28" t="s">
        <v>20</v>
      </c>
      <c r="P942" s="1" t="s">
        <v>44</v>
      </c>
      <c r="Q942" s="141"/>
      <c r="R942" s="191">
        <v>2880</v>
      </c>
    </row>
    <row r="943" spans="1:18" ht="15.75" customHeight="1" x14ac:dyDescent="0.3">
      <c r="A943" s="128" t="s">
        <v>3140</v>
      </c>
      <c r="B943" s="9" t="s">
        <v>3141</v>
      </c>
      <c r="C943" s="11" t="s">
        <v>4489</v>
      </c>
      <c r="D943" t="s">
        <v>4492</v>
      </c>
      <c r="E943" s="3"/>
      <c r="F943" s="15"/>
      <c r="G943" s="15"/>
      <c r="H943" s="3" t="s">
        <v>3142</v>
      </c>
      <c r="I943"/>
      <c r="J943" s="165">
        <v>2864</v>
      </c>
      <c r="K943" s="15" t="s">
        <v>3143</v>
      </c>
      <c r="L943" s="15" t="s">
        <v>843</v>
      </c>
      <c r="M943" s="13">
        <v>45247</v>
      </c>
      <c r="N943" s="86">
        <v>28000</v>
      </c>
      <c r="O943" s="28" t="s">
        <v>20</v>
      </c>
      <c r="P943" s="1"/>
      <c r="Q943" s="141"/>
      <c r="R943" s="191">
        <v>28000</v>
      </c>
    </row>
    <row r="944" spans="1:18" ht="15.75" customHeight="1" x14ac:dyDescent="0.3">
      <c r="A944" s="128" t="s">
        <v>3144</v>
      </c>
      <c r="B944" s="9" t="s">
        <v>3145</v>
      </c>
      <c r="C944" s="11" t="s">
        <v>4487</v>
      </c>
      <c r="D944" t="s">
        <v>4495</v>
      </c>
      <c r="E944" t="s">
        <v>3146</v>
      </c>
      <c r="F944" t="s">
        <v>3147</v>
      </c>
      <c r="G944" t="s">
        <v>4623</v>
      </c>
      <c r="H944" s="3" t="s">
        <v>3148</v>
      </c>
      <c r="I944"/>
      <c r="J944" s="165">
        <v>2094138</v>
      </c>
      <c r="K944" s="15" t="s">
        <v>3149</v>
      </c>
      <c r="L944" s="11" t="s">
        <v>1998</v>
      </c>
      <c r="M944" s="13">
        <v>45247</v>
      </c>
      <c r="N944" s="86">
        <v>359500</v>
      </c>
      <c r="O944" s="28" t="s">
        <v>20</v>
      </c>
      <c r="P944" s="1"/>
      <c r="Q944" s="141"/>
      <c r="R944" s="191">
        <v>359500</v>
      </c>
    </row>
    <row r="945" spans="1:18" ht="15.75" customHeight="1" x14ac:dyDescent="0.3">
      <c r="A945" s="128" t="s">
        <v>3150</v>
      </c>
      <c r="B945" s="9" t="s">
        <v>3151</v>
      </c>
      <c r="C945" s="11" t="s">
        <v>4518</v>
      </c>
      <c r="D945" t="s">
        <v>4495</v>
      </c>
      <c r="E945" s="3"/>
      <c r="F945" s="15"/>
      <c r="G945" s="15"/>
      <c r="H945" s="3" t="s">
        <v>3152</v>
      </c>
      <c r="I945"/>
      <c r="J945" s="165">
        <v>902803</v>
      </c>
      <c r="K945" s="15" t="s">
        <v>2780</v>
      </c>
      <c r="L945" s="15" t="s">
        <v>892</v>
      </c>
      <c r="M945" s="13">
        <v>45251</v>
      </c>
      <c r="N945" s="86">
        <v>6700</v>
      </c>
      <c r="O945" s="28" t="s">
        <v>20</v>
      </c>
      <c r="P945" s="1" t="s">
        <v>66</v>
      </c>
      <c r="Q945" s="141"/>
      <c r="R945" s="191">
        <v>6700</v>
      </c>
    </row>
    <row r="946" spans="1:18" ht="15.75" customHeight="1" x14ac:dyDescent="0.3">
      <c r="A946" s="128" t="s">
        <v>3153</v>
      </c>
      <c r="B946" s="9" t="s">
        <v>3154</v>
      </c>
      <c r="C946" s="11" t="s">
        <v>4519</v>
      </c>
      <c r="D946" t="s">
        <v>4494</v>
      </c>
      <c r="E946" s="3"/>
      <c r="F946" s="15"/>
      <c r="G946" s="15"/>
      <c r="H946" s="3" t="s">
        <v>3155</v>
      </c>
      <c r="I946"/>
      <c r="J946" s="165">
        <v>23707</v>
      </c>
      <c r="K946" s="15" t="s">
        <v>3156</v>
      </c>
      <c r="L946" s="15" t="s">
        <v>124</v>
      </c>
      <c r="M946" s="13">
        <v>45253</v>
      </c>
      <c r="N946" s="86">
        <v>5629</v>
      </c>
      <c r="O946" s="28" t="s">
        <v>20</v>
      </c>
      <c r="P946" s="1" t="s">
        <v>44</v>
      </c>
      <c r="Q946" s="141"/>
      <c r="R946" s="191">
        <v>5629</v>
      </c>
    </row>
    <row r="947" spans="1:18" ht="15.75" customHeight="1" x14ac:dyDescent="0.3">
      <c r="A947" s="128" t="s">
        <v>3157</v>
      </c>
      <c r="B947" s="9" t="s">
        <v>3158</v>
      </c>
      <c r="C947" s="11" t="s">
        <v>4487</v>
      </c>
      <c r="D947" t="s">
        <v>4492</v>
      </c>
      <c r="E947" t="s">
        <v>3159</v>
      </c>
      <c r="F947" t="s">
        <v>3160</v>
      </c>
      <c r="G947" t="s">
        <v>4626</v>
      </c>
      <c r="H947" s="3" t="s">
        <v>3161</v>
      </c>
      <c r="I947" s="160"/>
      <c r="J947" s="165">
        <v>9381</v>
      </c>
      <c r="K947" s="15" t="s">
        <v>3162</v>
      </c>
      <c r="L947" s="11" t="s">
        <v>3163</v>
      </c>
      <c r="M947" s="13">
        <v>45254</v>
      </c>
      <c r="N947" s="86">
        <v>195000</v>
      </c>
      <c r="O947" s="28" t="s">
        <v>20</v>
      </c>
      <c r="P947" s="1"/>
      <c r="Q947" s="141"/>
      <c r="R947" s="191">
        <v>195000</v>
      </c>
    </row>
    <row r="948" spans="1:18" ht="15.75" customHeight="1" x14ac:dyDescent="0.3">
      <c r="A948" s="128" t="s">
        <v>3164</v>
      </c>
      <c r="B948" s="9" t="s">
        <v>3165</v>
      </c>
      <c r="C948" s="11" t="s">
        <v>4487</v>
      </c>
      <c r="D948" t="s">
        <v>4495</v>
      </c>
      <c r="E948" s="160" t="s">
        <v>3166</v>
      </c>
      <c r="F948" t="s">
        <v>3167</v>
      </c>
      <c r="G948" t="s">
        <v>4626</v>
      </c>
      <c r="H948" s="3" t="s">
        <v>3168</v>
      </c>
      <c r="I948"/>
      <c r="J948" s="165">
        <v>9383</v>
      </c>
      <c r="K948" s="15" t="s">
        <v>3162</v>
      </c>
      <c r="L948" s="11" t="s">
        <v>3163</v>
      </c>
      <c r="M948" s="13">
        <v>45257</v>
      </c>
      <c r="N948" s="86">
        <v>130000</v>
      </c>
      <c r="O948" s="28" t="s">
        <v>20</v>
      </c>
      <c r="P948" s="1"/>
      <c r="Q948" s="141"/>
      <c r="R948" s="191">
        <v>130000</v>
      </c>
    </row>
    <row r="949" spans="1:18" ht="15.75" customHeight="1" x14ac:dyDescent="0.3">
      <c r="A949" s="128" t="s">
        <v>3169</v>
      </c>
      <c r="B949" s="9" t="s">
        <v>3170</v>
      </c>
      <c r="C949" s="11" t="s">
        <v>4489</v>
      </c>
      <c r="D949" t="s">
        <v>4495</v>
      </c>
      <c r="E949"/>
      <c r="F949"/>
      <c r="G949" t="s">
        <v>4644</v>
      </c>
      <c r="H949" s="3" t="s">
        <v>3171</v>
      </c>
      <c r="I949"/>
      <c r="J949" s="165">
        <v>4626</v>
      </c>
      <c r="K949" s="15" t="s">
        <v>3172</v>
      </c>
      <c r="L949" s="15" t="s">
        <v>3173</v>
      </c>
      <c r="M949" s="13">
        <v>45261</v>
      </c>
      <c r="N949" s="86">
        <v>270000</v>
      </c>
      <c r="O949" s="28" t="s">
        <v>20</v>
      </c>
      <c r="P949" s="1"/>
      <c r="Q949" s="141"/>
      <c r="R949" s="191">
        <v>270000</v>
      </c>
    </row>
    <row r="950" spans="1:18" ht="15.75" customHeight="1" x14ac:dyDescent="0.3">
      <c r="A950" s="128" t="s">
        <v>3174</v>
      </c>
      <c r="B950" s="9" t="s">
        <v>3175</v>
      </c>
      <c r="C950" s="11" t="s">
        <v>4489</v>
      </c>
      <c r="D950" t="s">
        <v>4493</v>
      </c>
      <c r="E950"/>
      <c r="F950"/>
      <c r="G950" t="s">
        <v>4644</v>
      </c>
      <c r="H950" s="3" t="s">
        <v>3176</v>
      </c>
      <c r="I950"/>
      <c r="J950" s="165">
        <v>760</v>
      </c>
      <c r="K950" s="15" t="s">
        <v>3086</v>
      </c>
      <c r="L950" s="15" t="s">
        <v>3087</v>
      </c>
      <c r="M950" s="13">
        <v>45265</v>
      </c>
      <c r="N950" s="86">
        <v>17500</v>
      </c>
      <c r="O950" s="28" t="s">
        <v>20</v>
      </c>
      <c r="P950" s="1" t="s">
        <v>78</v>
      </c>
      <c r="Q950" s="141"/>
      <c r="R950" s="191">
        <v>17500</v>
      </c>
    </row>
    <row r="951" spans="1:18" ht="15.75" customHeight="1" x14ac:dyDescent="0.3">
      <c r="A951" s="128" t="s">
        <v>3177</v>
      </c>
      <c r="B951" s="9" t="s">
        <v>3178</v>
      </c>
      <c r="C951" s="11" t="s">
        <v>4519</v>
      </c>
      <c r="D951" t="s">
        <v>4494</v>
      </c>
      <c r="E951" s="3"/>
      <c r="F951" s="10"/>
      <c r="G951" s="10"/>
      <c r="H951" s="3" t="s">
        <v>3179</v>
      </c>
      <c r="I951"/>
      <c r="J951" s="165">
        <v>17886</v>
      </c>
      <c r="K951" s="15" t="s">
        <v>1339</v>
      </c>
      <c r="L951" s="15" t="s">
        <v>188</v>
      </c>
      <c r="M951" s="13">
        <v>45267</v>
      </c>
      <c r="N951" s="86">
        <v>1799.9</v>
      </c>
      <c r="O951" s="28"/>
      <c r="P951" s="1"/>
      <c r="Q951" s="141"/>
      <c r="R951" s="191" t="s">
        <v>4921</v>
      </c>
    </row>
    <row r="952" spans="1:18" ht="15.75" customHeight="1" x14ac:dyDescent="0.3">
      <c r="A952" s="128" t="s">
        <v>3180</v>
      </c>
      <c r="B952" s="9" t="s">
        <v>3181</v>
      </c>
      <c r="C952" s="11" t="s">
        <v>4519</v>
      </c>
      <c r="D952" t="s">
        <v>4497</v>
      </c>
      <c r="E952" s="3"/>
      <c r="F952" s="15"/>
      <c r="G952" s="15"/>
      <c r="H952" s="3" t="s">
        <v>3182</v>
      </c>
      <c r="I952"/>
      <c r="J952" s="165">
        <v>127666</v>
      </c>
      <c r="K952" s="15" t="s">
        <v>2691</v>
      </c>
      <c r="L952" s="11" t="s">
        <v>684</v>
      </c>
      <c r="M952" s="13">
        <v>45267</v>
      </c>
      <c r="N952" s="86">
        <v>2578.48</v>
      </c>
      <c r="O952" s="28"/>
      <c r="P952" s="1"/>
      <c r="Q952" s="141"/>
      <c r="R952" s="191" t="s">
        <v>4922</v>
      </c>
    </row>
    <row r="953" spans="1:18" ht="15.75" customHeight="1" x14ac:dyDescent="0.3">
      <c r="A953" s="128" t="s">
        <v>3183</v>
      </c>
      <c r="B953" s="9" t="s">
        <v>3184</v>
      </c>
      <c r="C953" s="11" t="s">
        <v>4519</v>
      </c>
      <c r="D953" t="s">
        <v>4497</v>
      </c>
      <c r="E953" s="3"/>
      <c r="F953" s="15"/>
      <c r="G953" s="15"/>
      <c r="H953" s="3" t="s">
        <v>3185</v>
      </c>
      <c r="I953"/>
      <c r="J953" s="165">
        <v>17442</v>
      </c>
      <c r="K953" s="15" t="s">
        <v>1339</v>
      </c>
      <c r="L953" s="15" t="s">
        <v>188</v>
      </c>
      <c r="M953" s="13">
        <v>45271</v>
      </c>
      <c r="N953" s="86">
        <v>599.9</v>
      </c>
      <c r="O953" s="28"/>
      <c r="P953" s="1"/>
      <c r="Q953" s="141"/>
      <c r="R953" s="191" t="s">
        <v>4923</v>
      </c>
    </row>
    <row r="954" spans="1:18" ht="15.75" customHeight="1" x14ac:dyDescent="0.3">
      <c r="A954" s="128" t="s">
        <v>3186</v>
      </c>
      <c r="B954" s="9" t="s">
        <v>3187</v>
      </c>
      <c r="C954" s="11" t="s">
        <v>4519</v>
      </c>
      <c r="D954" t="s">
        <v>4497</v>
      </c>
      <c r="E954" s="3"/>
      <c r="F954" s="15"/>
      <c r="G954" s="15"/>
      <c r="H954" s="3" t="s">
        <v>3188</v>
      </c>
      <c r="I954"/>
      <c r="J954" s="165">
        <v>17442</v>
      </c>
      <c r="K954" s="15" t="s">
        <v>1339</v>
      </c>
      <c r="L954" s="15" t="s">
        <v>188</v>
      </c>
      <c r="M954" s="13">
        <v>45271</v>
      </c>
      <c r="N954" s="86">
        <v>1899.05</v>
      </c>
      <c r="O954" s="28"/>
      <c r="P954" s="1"/>
      <c r="Q954" s="141"/>
      <c r="R954" s="191" t="s">
        <v>4924</v>
      </c>
    </row>
    <row r="955" spans="1:18" ht="15.75" customHeight="1" x14ac:dyDescent="0.3">
      <c r="A955" s="128" t="s">
        <v>3189</v>
      </c>
      <c r="B955" s="9" t="s">
        <v>3190</v>
      </c>
      <c r="C955" s="11" t="s">
        <v>4519</v>
      </c>
      <c r="D955" t="s">
        <v>4497</v>
      </c>
      <c r="E955" s="3"/>
      <c r="F955" s="15"/>
      <c r="G955" s="15"/>
      <c r="H955" s="3" t="s">
        <v>3188</v>
      </c>
      <c r="I955"/>
      <c r="J955" s="165">
        <v>17442</v>
      </c>
      <c r="K955" s="15" t="s">
        <v>1339</v>
      </c>
      <c r="L955" s="15" t="s">
        <v>188</v>
      </c>
      <c r="M955" s="13">
        <v>45271</v>
      </c>
      <c r="N955" s="86">
        <v>1899.05</v>
      </c>
      <c r="O955" s="28"/>
      <c r="P955" s="1"/>
      <c r="Q955" s="141"/>
      <c r="R955" s="191" t="s">
        <v>4924</v>
      </c>
    </row>
    <row r="956" spans="1:18" ht="15.75" customHeight="1" x14ac:dyDescent="0.3">
      <c r="A956" s="128" t="s">
        <v>3191</v>
      </c>
      <c r="B956" s="9" t="s">
        <v>3192</v>
      </c>
      <c r="C956" s="11" t="s">
        <v>4519</v>
      </c>
      <c r="D956" t="s">
        <v>4497</v>
      </c>
      <c r="E956" s="3"/>
      <c r="F956" s="15"/>
      <c r="G956" s="15"/>
      <c r="H956" s="3" t="s">
        <v>3188</v>
      </c>
      <c r="I956"/>
      <c r="J956" s="165">
        <v>17442</v>
      </c>
      <c r="K956" s="15" t="s">
        <v>1339</v>
      </c>
      <c r="L956" s="15" t="s">
        <v>188</v>
      </c>
      <c r="M956" s="13">
        <v>45271</v>
      </c>
      <c r="N956" s="86">
        <v>2399</v>
      </c>
      <c r="O956" s="28"/>
      <c r="P956" s="1"/>
      <c r="Q956" s="141"/>
      <c r="R956" s="191">
        <v>2399</v>
      </c>
    </row>
    <row r="957" spans="1:18" ht="15.75" customHeight="1" x14ac:dyDescent="0.3">
      <c r="A957" s="128" t="s">
        <v>3193</v>
      </c>
      <c r="B957" s="9" t="s">
        <v>3194</v>
      </c>
      <c r="C957" s="11" t="s">
        <v>4519</v>
      </c>
      <c r="D957" t="s">
        <v>4497</v>
      </c>
      <c r="E957" s="3"/>
      <c r="F957" s="15"/>
      <c r="G957" s="15"/>
      <c r="H957" s="3" t="s">
        <v>3195</v>
      </c>
      <c r="I957"/>
      <c r="J957" s="165">
        <v>3339</v>
      </c>
      <c r="K957" s="15" t="s">
        <v>2697</v>
      </c>
      <c r="L957" s="15" t="s">
        <v>1693</v>
      </c>
      <c r="M957" s="13">
        <v>45278</v>
      </c>
      <c r="N957" s="86">
        <v>4217.8</v>
      </c>
      <c r="O957" s="28"/>
      <c r="P957" s="1"/>
      <c r="Q957" s="141"/>
      <c r="R957" s="191" t="s">
        <v>4925</v>
      </c>
    </row>
    <row r="958" spans="1:18" ht="15.75" customHeight="1" x14ac:dyDescent="0.3">
      <c r="A958" s="128" t="s">
        <v>3196</v>
      </c>
      <c r="B958" s="9" t="s">
        <v>3197</v>
      </c>
      <c r="C958" s="11" t="s">
        <v>4519</v>
      </c>
      <c r="D958" t="s">
        <v>4497</v>
      </c>
      <c r="E958" s="3"/>
      <c r="F958" s="15"/>
      <c r="G958" s="15"/>
      <c r="H958" s="3" t="s">
        <v>3182</v>
      </c>
      <c r="I958"/>
      <c r="J958" s="165">
        <v>127666</v>
      </c>
      <c r="K958" s="15" t="s">
        <v>2691</v>
      </c>
      <c r="L958" s="11" t="s">
        <v>684</v>
      </c>
      <c r="M958" s="13">
        <v>45278</v>
      </c>
      <c r="N958" s="86">
        <v>2771.15</v>
      </c>
      <c r="O958" s="28"/>
      <c r="P958" s="1"/>
      <c r="Q958" s="141"/>
      <c r="R958" s="191" t="s">
        <v>4926</v>
      </c>
    </row>
    <row r="959" spans="1:18" ht="15.75" customHeight="1" x14ac:dyDescent="0.3">
      <c r="A959" s="128" t="s">
        <v>3198</v>
      </c>
      <c r="B959" s="9" t="s">
        <v>3199</v>
      </c>
      <c r="C959" s="11" t="s">
        <v>4489</v>
      </c>
      <c r="D959" t="s">
        <v>4495</v>
      </c>
      <c r="E959" s="3"/>
      <c r="F959" s="15"/>
      <c r="G959" s="15"/>
      <c r="H959" s="3" t="s">
        <v>3200</v>
      </c>
      <c r="I959"/>
      <c r="J959" s="165">
        <v>6502</v>
      </c>
      <c r="K959" s="15" t="s">
        <v>3201</v>
      </c>
      <c r="L959" s="15" t="s">
        <v>3202</v>
      </c>
      <c r="M959" s="13">
        <v>45279</v>
      </c>
      <c r="N959" s="86">
        <v>2871</v>
      </c>
      <c r="O959" s="28" t="s">
        <v>20</v>
      </c>
      <c r="P959" s="1" t="s">
        <v>44</v>
      </c>
      <c r="Q959" s="141"/>
      <c r="R959" s="191">
        <v>2871</v>
      </c>
    </row>
    <row r="960" spans="1:18" ht="15.75" customHeight="1" x14ac:dyDescent="0.3">
      <c r="A960" s="128" t="s">
        <v>3203</v>
      </c>
      <c r="B960" s="9" t="s">
        <v>3204</v>
      </c>
      <c r="C960" s="11" t="s">
        <v>4519</v>
      </c>
      <c r="D960" t="s">
        <v>4497</v>
      </c>
      <c r="E960" s="3"/>
      <c r="F960" s="15"/>
      <c r="G960" s="15"/>
      <c r="H960" s="3" t="s">
        <v>3205</v>
      </c>
      <c r="I960"/>
      <c r="J960" s="165">
        <v>16256</v>
      </c>
      <c r="K960" s="15" t="s">
        <v>2968</v>
      </c>
      <c r="L960" s="15" t="s">
        <v>2969</v>
      </c>
      <c r="M960" s="13">
        <v>45281</v>
      </c>
      <c r="N960" s="86">
        <v>3599</v>
      </c>
      <c r="O960" s="28"/>
      <c r="P960" s="1"/>
      <c r="Q960" s="141"/>
      <c r="R960" s="191">
        <v>3599</v>
      </c>
    </row>
    <row r="961" spans="1:18" ht="15.75" customHeight="1" x14ac:dyDescent="0.3">
      <c r="A961" s="128" t="s">
        <v>3206</v>
      </c>
      <c r="B961" s="9" t="s">
        <v>3207</v>
      </c>
      <c r="C961" s="11" t="s">
        <v>4519</v>
      </c>
      <c r="D961" t="s">
        <v>4497</v>
      </c>
      <c r="E961" s="3"/>
      <c r="F961" s="15"/>
      <c r="G961" s="15"/>
      <c r="H961" s="3" t="s">
        <v>3208</v>
      </c>
      <c r="I961"/>
      <c r="J961" s="165">
        <v>16256</v>
      </c>
      <c r="K961" s="15" t="s">
        <v>2968</v>
      </c>
      <c r="L961" s="15" t="s">
        <v>2969</v>
      </c>
      <c r="M961" s="13">
        <v>45281</v>
      </c>
      <c r="N961" s="86">
        <v>3324.05</v>
      </c>
      <c r="O961" s="28"/>
      <c r="P961" s="1"/>
      <c r="Q961" s="141"/>
      <c r="R961" s="191" t="s">
        <v>4927</v>
      </c>
    </row>
    <row r="962" spans="1:18" ht="15.75" customHeight="1" x14ac:dyDescent="0.3">
      <c r="A962" s="128" t="s">
        <v>3209</v>
      </c>
      <c r="B962" s="9" t="s">
        <v>3210</v>
      </c>
      <c r="C962" s="11" t="s">
        <v>4519</v>
      </c>
      <c r="D962" t="s">
        <v>4497</v>
      </c>
      <c r="E962" s="3"/>
      <c r="F962" s="15"/>
      <c r="G962" s="15"/>
      <c r="H962" s="3" t="s">
        <v>3211</v>
      </c>
      <c r="I962"/>
      <c r="J962" s="165">
        <v>16256</v>
      </c>
      <c r="K962" s="15" t="s">
        <v>2968</v>
      </c>
      <c r="L962" s="15" t="s">
        <v>2969</v>
      </c>
      <c r="M962" s="13">
        <v>45281</v>
      </c>
      <c r="N962" s="86">
        <v>2642.13</v>
      </c>
      <c r="O962" s="28"/>
      <c r="P962" s="1"/>
      <c r="Q962" s="141"/>
      <c r="R962" s="191" t="s">
        <v>4928</v>
      </c>
    </row>
    <row r="963" spans="1:18" ht="15.75" customHeight="1" x14ac:dyDescent="0.3">
      <c r="A963" s="128" t="s">
        <v>3212</v>
      </c>
      <c r="B963" s="9" t="s">
        <v>3213</v>
      </c>
      <c r="C963" s="11" t="s">
        <v>4490</v>
      </c>
      <c r="D963" t="s">
        <v>4495</v>
      </c>
      <c r="E963" t="s">
        <v>3214</v>
      </c>
      <c r="F963" t="s">
        <v>3215</v>
      </c>
      <c r="G963" t="s">
        <v>4631</v>
      </c>
      <c r="H963" s="3" t="s">
        <v>1406</v>
      </c>
      <c r="I963" t="s">
        <v>4561</v>
      </c>
      <c r="J963" s="165">
        <v>177543</v>
      </c>
      <c r="K963" s="15" t="s">
        <v>3216</v>
      </c>
      <c r="L963" s="15" t="s">
        <v>3217</v>
      </c>
      <c r="M963" s="13">
        <v>45287</v>
      </c>
      <c r="N963" s="86">
        <v>148000</v>
      </c>
      <c r="O963" s="28" t="s">
        <v>20</v>
      </c>
      <c r="P963" s="1" t="s">
        <v>66</v>
      </c>
      <c r="Q963" s="141"/>
      <c r="R963" s="191">
        <v>148000</v>
      </c>
    </row>
    <row r="964" spans="1:18" ht="15.75" customHeight="1" x14ac:dyDescent="0.3">
      <c r="A964" s="128" t="s">
        <v>3218</v>
      </c>
      <c r="B964" s="9" t="s">
        <v>3219</v>
      </c>
      <c r="C964" s="11" t="s">
        <v>4487</v>
      </c>
      <c r="D964" t="s">
        <v>4495</v>
      </c>
      <c r="E964" t="s">
        <v>3220</v>
      </c>
      <c r="F964" t="s">
        <v>3221</v>
      </c>
      <c r="G964"/>
      <c r="H964" s="3" t="s">
        <v>3222</v>
      </c>
      <c r="I964"/>
      <c r="J964" s="165">
        <v>985099</v>
      </c>
      <c r="K964" s="15" t="s">
        <v>3223</v>
      </c>
      <c r="L964" s="11" t="s">
        <v>3224</v>
      </c>
      <c r="M964" s="13">
        <v>45287</v>
      </c>
      <c r="N964" s="86">
        <v>950000</v>
      </c>
      <c r="O964" s="28" t="s">
        <v>20</v>
      </c>
      <c r="P964" s="1" t="s">
        <v>91</v>
      </c>
      <c r="Q964" s="141"/>
      <c r="R964" s="191">
        <v>950000</v>
      </c>
    </row>
    <row r="965" spans="1:18" ht="15.75" customHeight="1" x14ac:dyDescent="0.3">
      <c r="A965" s="140" t="s">
        <v>3225</v>
      </c>
      <c r="B965" s="16" t="s">
        <v>3226</v>
      </c>
      <c r="C965" s="18" t="s">
        <v>4519</v>
      </c>
      <c r="D965" t="s">
        <v>4497</v>
      </c>
      <c r="E965" s="19"/>
      <c r="F965" s="20"/>
      <c r="G965" s="20"/>
      <c r="H965" s="19" t="s">
        <v>3227</v>
      </c>
      <c r="I965"/>
      <c r="J965" s="177">
        <v>6798</v>
      </c>
      <c r="K965" s="20" t="s">
        <v>3228</v>
      </c>
      <c r="L965" s="20" t="s">
        <v>778</v>
      </c>
      <c r="M965" s="21">
        <v>45288</v>
      </c>
      <c r="N965" s="89">
        <v>2565.2800000000002</v>
      </c>
      <c r="O965" s="25"/>
      <c r="P965" s="24"/>
      <c r="Q965" s="141"/>
      <c r="R965" s="194" t="s">
        <v>4929</v>
      </c>
    </row>
    <row r="966" spans="1:18" ht="15.75" customHeight="1" x14ac:dyDescent="0.3">
      <c r="A966" s="128" t="s">
        <v>3229</v>
      </c>
      <c r="B966" s="9" t="s">
        <v>3230</v>
      </c>
      <c r="C966" s="11" t="s">
        <v>4519</v>
      </c>
      <c r="D966" t="s">
        <v>4497</v>
      </c>
      <c r="E966" s="3"/>
      <c r="F966" s="15"/>
      <c r="G966" s="15"/>
      <c r="H966" s="3" t="s">
        <v>3231</v>
      </c>
      <c r="I966"/>
      <c r="J966" s="165">
        <v>6798</v>
      </c>
      <c r="K966" s="15" t="s">
        <v>3228</v>
      </c>
      <c r="L966" s="15" t="s">
        <v>778</v>
      </c>
      <c r="M966" s="13">
        <v>45288</v>
      </c>
      <c r="N966" s="86">
        <v>7446.78</v>
      </c>
      <c r="O966" s="28"/>
      <c r="P966" s="1"/>
      <c r="Q966" s="141"/>
      <c r="R966" s="191" t="s">
        <v>4930</v>
      </c>
    </row>
    <row r="967" spans="1:18" ht="15.75" customHeight="1" x14ac:dyDescent="0.3">
      <c r="A967" s="128" t="s">
        <v>3232</v>
      </c>
      <c r="B967" s="9" t="s">
        <v>3233</v>
      </c>
      <c r="C967" s="11" t="s">
        <v>4522</v>
      </c>
      <c r="D967" t="s">
        <v>4494</v>
      </c>
      <c r="E967" s="3"/>
      <c r="F967" s="15"/>
      <c r="G967" s="15"/>
      <c r="H967" s="3" t="s">
        <v>3234</v>
      </c>
      <c r="I967"/>
      <c r="J967" s="165">
        <v>3874</v>
      </c>
      <c r="K967" s="15" t="s">
        <v>3024</v>
      </c>
      <c r="L967" s="15" t="s">
        <v>3025</v>
      </c>
      <c r="M967" s="29">
        <v>45925</v>
      </c>
      <c r="N967" s="86">
        <v>22500</v>
      </c>
      <c r="O967" s="28"/>
      <c r="P967" s="1"/>
      <c r="Q967" s="141"/>
      <c r="R967" s="191">
        <v>22500</v>
      </c>
    </row>
    <row r="968" spans="1:18" ht="15.75" customHeight="1" x14ac:dyDescent="0.3">
      <c r="A968" s="131" t="s">
        <v>3235</v>
      </c>
      <c r="B968" s="9" t="s">
        <v>3235</v>
      </c>
      <c r="C968" s="11" t="s">
        <v>4518</v>
      </c>
      <c r="D968" t="s">
        <v>4495</v>
      </c>
      <c r="E968" s="3"/>
      <c r="F968" s="15"/>
      <c r="G968" s="15"/>
      <c r="H968" s="3" t="s">
        <v>3236</v>
      </c>
      <c r="I968"/>
      <c r="J968" s="166">
        <v>6352</v>
      </c>
      <c r="K968" s="15" t="s">
        <v>2875</v>
      </c>
      <c r="L968" s="3" t="s">
        <v>2876</v>
      </c>
      <c r="M968" s="13">
        <v>45925</v>
      </c>
      <c r="N968" s="86">
        <v>18000</v>
      </c>
      <c r="O968" s="28"/>
      <c r="P968" s="1" t="s">
        <v>66</v>
      </c>
      <c r="Q968" s="141"/>
      <c r="R968" s="191">
        <v>18000</v>
      </c>
    </row>
    <row r="969" spans="1:18" ht="15.75" customHeight="1" x14ac:dyDescent="0.3">
      <c r="A969" s="128" t="s">
        <v>3237</v>
      </c>
      <c r="B969" s="9" t="s">
        <v>3238</v>
      </c>
      <c r="C969" s="11" t="s">
        <v>4489</v>
      </c>
      <c r="D969" t="s">
        <v>4492</v>
      </c>
      <c r="E969"/>
      <c r="F969"/>
      <c r="G969"/>
      <c r="H969" s="3" t="s">
        <v>3239</v>
      </c>
      <c r="I969"/>
      <c r="J969" s="165">
        <v>141361</v>
      </c>
      <c r="K969" s="15" t="s">
        <v>2116</v>
      </c>
      <c r="L969" s="15" t="s">
        <v>3240</v>
      </c>
      <c r="M969" s="13">
        <v>45288</v>
      </c>
      <c r="N969" s="86">
        <v>1385000</v>
      </c>
      <c r="O969" s="28"/>
      <c r="P969" s="1"/>
      <c r="Q969" s="141"/>
      <c r="R969" s="191">
        <v>1385000</v>
      </c>
    </row>
    <row r="970" spans="1:18" ht="15.75" customHeight="1" x14ac:dyDescent="0.3">
      <c r="A970" s="128" t="s">
        <v>3241</v>
      </c>
      <c r="B970" s="9" t="s">
        <v>3242</v>
      </c>
      <c r="C970" s="11" t="s">
        <v>4489</v>
      </c>
      <c r="D970" t="s">
        <v>4492</v>
      </c>
      <c r="E970"/>
      <c r="F970"/>
      <c r="G970"/>
      <c r="H970" s="3" t="s">
        <v>3243</v>
      </c>
      <c r="I970"/>
      <c r="J970" s="165">
        <v>141379</v>
      </c>
      <c r="K970" s="15" t="s">
        <v>2116</v>
      </c>
      <c r="L970" s="15" t="s">
        <v>3240</v>
      </c>
      <c r="M970" s="13">
        <v>45288</v>
      </c>
      <c r="N970" s="86">
        <v>1325000</v>
      </c>
      <c r="O970" s="28"/>
      <c r="P970" s="1"/>
      <c r="Q970" s="141"/>
      <c r="R970" s="191">
        <v>1325000</v>
      </c>
    </row>
    <row r="971" spans="1:18" ht="15.75" customHeight="1" x14ac:dyDescent="0.3">
      <c r="A971" s="128" t="s">
        <v>3244</v>
      </c>
      <c r="B971" s="9" t="s">
        <v>3245</v>
      </c>
      <c r="C971" s="11" t="s">
        <v>4489</v>
      </c>
      <c r="D971" t="s">
        <v>4492</v>
      </c>
      <c r="E971"/>
      <c r="F971"/>
      <c r="G971"/>
      <c r="H971" s="3" t="s">
        <v>3246</v>
      </c>
      <c r="I971"/>
      <c r="J971" s="165">
        <v>141382</v>
      </c>
      <c r="K971" s="15" t="s">
        <v>2116</v>
      </c>
      <c r="L971" s="15" t="s">
        <v>3240</v>
      </c>
      <c r="M971" s="13">
        <v>45288</v>
      </c>
      <c r="N971" s="86">
        <v>1320000</v>
      </c>
      <c r="O971" s="28"/>
      <c r="P971" s="1"/>
      <c r="Q971" s="141"/>
      <c r="R971" s="191">
        <v>1320000</v>
      </c>
    </row>
    <row r="972" spans="1:18" ht="15.75" customHeight="1" x14ac:dyDescent="0.3">
      <c r="A972" s="128" t="s">
        <v>3247</v>
      </c>
      <c r="B972" s="9" t="s">
        <v>3248</v>
      </c>
      <c r="C972" s="11" t="s">
        <v>4489</v>
      </c>
      <c r="D972" t="s">
        <v>4492</v>
      </c>
      <c r="E972"/>
      <c r="F972"/>
      <c r="G972"/>
      <c r="H972" s="3" t="s">
        <v>3249</v>
      </c>
      <c r="I972"/>
      <c r="J972" s="165">
        <v>141377</v>
      </c>
      <c r="K972" s="15" t="s">
        <v>2116</v>
      </c>
      <c r="L972" s="15" t="s">
        <v>3240</v>
      </c>
      <c r="M972" s="13">
        <v>45288</v>
      </c>
      <c r="N972" s="86">
        <v>1320000</v>
      </c>
      <c r="O972" s="28"/>
      <c r="P972" s="1"/>
      <c r="Q972" s="141"/>
      <c r="R972" s="191">
        <v>1320000</v>
      </c>
    </row>
    <row r="973" spans="1:18" ht="15.75" customHeight="1" x14ac:dyDescent="0.3">
      <c r="A973" s="128" t="s">
        <v>3250</v>
      </c>
      <c r="B973" s="9" t="s">
        <v>3251</v>
      </c>
      <c r="C973" s="11" t="s">
        <v>4489</v>
      </c>
      <c r="D973" t="s">
        <v>4492</v>
      </c>
      <c r="E973"/>
      <c r="F973"/>
      <c r="G973"/>
      <c r="H973" s="3" t="s">
        <v>3252</v>
      </c>
      <c r="I973"/>
      <c r="J973" s="165">
        <v>141393</v>
      </c>
      <c r="K973" s="15" t="s">
        <v>2116</v>
      </c>
      <c r="L973" s="15" t="s">
        <v>3240</v>
      </c>
      <c r="M973" s="13">
        <v>45288</v>
      </c>
      <c r="N973" s="86">
        <v>1420000</v>
      </c>
      <c r="O973" s="28"/>
      <c r="P973" s="1"/>
      <c r="Q973" s="141"/>
      <c r="R973" s="191">
        <v>1420000</v>
      </c>
    </row>
    <row r="974" spans="1:18" ht="15.75" customHeight="1" x14ac:dyDescent="0.3">
      <c r="A974" s="128" t="s">
        <v>3253</v>
      </c>
      <c r="B974" s="9" t="s">
        <v>3254</v>
      </c>
      <c r="C974" s="11" t="s">
        <v>4489</v>
      </c>
      <c r="D974" t="s">
        <v>4492</v>
      </c>
      <c r="E974"/>
      <c r="F974"/>
      <c r="G974"/>
      <c r="H974" s="3" t="s">
        <v>3255</v>
      </c>
      <c r="I974"/>
      <c r="J974" s="165">
        <v>141059</v>
      </c>
      <c r="K974" s="15" t="s">
        <v>2116</v>
      </c>
      <c r="L974" s="15" t="s">
        <v>3240</v>
      </c>
      <c r="M974" s="13">
        <v>45288</v>
      </c>
      <c r="N974" s="86">
        <v>1320000</v>
      </c>
      <c r="O974" s="28"/>
      <c r="P974" s="1"/>
      <c r="Q974" s="141"/>
      <c r="R974" s="191">
        <v>1320000</v>
      </c>
    </row>
    <row r="975" spans="1:18" ht="15.75" customHeight="1" x14ac:dyDescent="0.3">
      <c r="A975" s="128" t="s">
        <v>3256</v>
      </c>
      <c r="B975" s="9" t="s">
        <v>3257</v>
      </c>
      <c r="C975" s="11" t="s">
        <v>4489</v>
      </c>
      <c r="D975" t="s">
        <v>4492</v>
      </c>
      <c r="E975"/>
      <c r="F975"/>
      <c r="G975"/>
      <c r="H975" s="3" t="s">
        <v>3258</v>
      </c>
      <c r="I975"/>
      <c r="J975" s="165">
        <v>140983</v>
      </c>
      <c r="K975" s="15" t="s">
        <v>2116</v>
      </c>
      <c r="L975" s="15" t="s">
        <v>3240</v>
      </c>
      <c r="M975" s="13">
        <v>45288</v>
      </c>
      <c r="N975" s="86">
        <v>1320000</v>
      </c>
      <c r="O975" s="28"/>
      <c r="P975" s="1"/>
      <c r="Q975" s="141"/>
      <c r="R975" s="191">
        <v>1320000</v>
      </c>
    </row>
    <row r="976" spans="1:18" ht="15.75" customHeight="1" x14ac:dyDescent="0.3">
      <c r="A976" s="128" t="s">
        <v>3259</v>
      </c>
      <c r="B976" s="9" t="s">
        <v>3260</v>
      </c>
      <c r="C976" s="11" t="s">
        <v>4489</v>
      </c>
      <c r="D976" t="s">
        <v>4492</v>
      </c>
      <c r="E976"/>
      <c r="F976"/>
      <c r="G976"/>
      <c r="H976" s="3" t="s">
        <v>3261</v>
      </c>
      <c r="I976"/>
      <c r="J976" s="165">
        <v>141136</v>
      </c>
      <c r="K976" s="15" t="s">
        <v>2116</v>
      </c>
      <c r="L976" s="15" t="s">
        <v>3240</v>
      </c>
      <c r="M976" s="13">
        <v>45288</v>
      </c>
      <c r="N976" s="86">
        <v>1320000</v>
      </c>
      <c r="O976" s="28"/>
      <c r="P976" s="1"/>
      <c r="Q976" s="141"/>
      <c r="R976" s="191">
        <v>1320000</v>
      </c>
    </row>
    <row r="977" spans="1:18" ht="15.75" customHeight="1" x14ac:dyDescent="0.3">
      <c r="A977" s="128" t="s">
        <v>3262</v>
      </c>
      <c r="B977" s="9" t="s">
        <v>3263</v>
      </c>
      <c r="C977" s="11" t="s">
        <v>4489</v>
      </c>
      <c r="D977" t="s">
        <v>4492</v>
      </c>
      <c r="E977"/>
      <c r="F977"/>
      <c r="G977"/>
      <c r="H977" s="3" t="s">
        <v>3264</v>
      </c>
      <c r="I977"/>
      <c r="J977" s="165">
        <v>141097</v>
      </c>
      <c r="K977" s="15" t="s">
        <v>2116</v>
      </c>
      <c r="L977" s="15" t="s">
        <v>3240</v>
      </c>
      <c r="M977" s="13">
        <v>45288</v>
      </c>
      <c r="N977" s="86">
        <v>1750000</v>
      </c>
      <c r="O977" s="28"/>
      <c r="P977" s="1"/>
      <c r="Q977" s="141"/>
      <c r="R977" s="191">
        <v>1750000</v>
      </c>
    </row>
    <row r="978" spans="1:18" ht="15.75" customHeight="1" x14ac:dyDescent="0.3">
      <c r="A978" s="128" t="s">
        <v>3265</v>
      </c>
      <c r="B978" s="9" t="s">
        <v>3266</v>
      </c>
      <c r="C978" s="11" t="s">
        <v>4489</v>
      </c>
      <c r="D978" t="s">
        <v>4492</v>
      </c>
      <c r="E978"/>
      <c r="F978"/>
      <c r="G978"/>
      <c r="H978" s="3" t="s">
        <v>3267</v>
      </c>
      <c r="I978"/>
      <c r="J978" s="165">
        <v>141057</v>
      </c>
      <c r="K978" s="15" t="s">
        <v>2116</v>
      </c>
      <c r="L978" s="15" t="s">
        <v>3240</v>
      </c>
      <c r="M978" s="13">
        <v>45288</v>
      </c>
      <c r="N978" s="86">
        <v>1845000</v>
      </c>
      <c r="O978" s="28"/>
      <c r="P978" s="1"/>
      <c r="Q978" s="141"/>
      <c r="R978" s="191">
        <v>1845000</v>
      </c>
    </row>
    <row r="979" spans="1:18" ht="15.75" customHeight="1" x14ac:dyDescent="0.3">
      <c r="A979" s="128" t="s">
        <v>3268</v>
      </c>
      <c r="B979" s="9" t="s">
        <v>3269</v>
      </c>
      <c r="C979" s="11" t="s">
        <v>4487</v>
      </c>
      <c r="D979" t="s">
        <v>4502</v>
      </c>
      <c r="E979" t="s">
        <v>3270</v>
      </c>
      <c r="F979" t="s">
        <v>3271</v>
      </c>
      <c r="G979" t="s">
        <v>4701</v>
      </c>
      <c r="H979" s="3" t="s">
        <v>3272</v>
      </c>
      <c r="I979" t="s">
        <v>4562</v>
      </c>
      <c r="J979" s="165">
        <v>36865</v>
      </c>
      <c r="K979" s="15" t="s">
        <v>3273</v>
      </c>
      <c r="L979" s="11" t="s">
        <v>3274</v>
      </c>
      <c r="M979" s="13">
        <v>45288</v>
      </c>
      <c r="N979" s="90">
        <v>284322.2</v>
      </c>
      <c r="O979" s="28"/>
      <c r="P979" s="1"/>
      <c r="Q979" s="141"/>
      <c r="R979" s="193" t="s">
        <v>4931</v>
      </c>
    </row>
    <row r="980" spans="1:18" ht="15.75" customHeight="1" x14ac:dyDescent="0.3">
      <c r="A980" s="128" t="s">
        <v>3275</v>
      </c>
      <c r="B980" s="9" t="s">
        <v>3276</v>
      </c>
      <c r="C980" s="11" t="s">
        <v>4490</v>
      </c>
      <c r="D980" t="s">
        <v>4495</v>
      </c>
      <c r="E980"/>
      <c r="F980" t="s">
        <v>3277</v>
      </c>
      <c r="G980" t="s">
        <v>4643</v>
      </c>
      <c r="H980" s="3" t="s">
        <v>3278</v>
      </c>
      <c r="I980"/>
      <c r="J980" s="165">
        <v>153856</v>
      </c>
      <c r="K980" s="15" t="s">
        <v>176</v>
      </c>
      <c r="L980" s="11" t="s">
        <v>1015</v>
      </c>
      <c r="M980" s="13">
        <v>45290</v>
      </c>
      <c r="N980" s="90">
        <v>2220000</v>
      </c>
      <c r="O980" s="28" t="s">
        <v>20</v>
      </c>
      <c r="P980" s="1" t="s">
        <v>78</v>
      </c>
      <c r="Q980" s="141"/>
      <c r="R980" s="193">
        <v>2220000</v>
      </c>
    </row>
    <row r="981" spans="1:18" ht="15.75" customHeight="1" x14ac:dyDescent="0.3">
      <c r="A981" s="128" t="s">
        <v>3279</v>
      </c>
      <c r="B981" s="9" t="s">
        <v>3280</v>
      </c>
      <c r="C981" s="11" t="s">
        <v>4489</v>
      </c>
      <c r="D981" t="s">
        <v>4495</v>
      </c>
      <c r="E981"/>
      <c r="F981"/>
      <c r="G981"/>
      <c r="H981" s="3" t="s">
        <v>489</v>
      </c>
      <c r="I981"/>
      <c r="J981" s="165">
        <v>129519</v>
      </c>
      <c r="K981" s="11" t="s">
        <v>683</v>
      </c>
      <c r="L981" s="11" t="s">
        <v>684</v>
      </c>
      <c r="M981" s="13">
        <v>45289</v>
      </c>
      <c r="N981" s="90">
        <v>2167.4699999999998</v>
      </c>
      <c r="O981" s="28"/>
      <c r="P981" s="1"/>
      <c r="Q981" s="141"/>
      <c r="R981" s="193" t="s">
        <v>4932</v>
      </c>
    </row>
    <row r="982" spans="1:18" ht="15.75" customHeight="1" x14ac:dyDescent="0.3">
      <c r="A982" s="128" t="s">
        <v>3281</v>
      </c>
      <c r="B982" s="9" t="s">
        <v>3282</v>
      </c>
      <c r="C982" s="11" t="s">
        <v>4489</v>
      </c>
      <c r="D982" t="s">
        <v>4495</v>
      </c>
      <c r="E982"/>
      <c r="F982"/>
      <c r="G982"/>
      <c r="H982" s="3" t="s">
        <v>489</v>
      </c>
      <c r="I982"/>
      <c r="J982" s="165">
        <v>129519</v>
      </c>
      <c r="K982" s="11" t="s">
        <v>683</v>
      </c>
      <c r="L982" s="11" t="s">
        <v>3283</v>
      </c>
      <c r="M982" s="13">
        <v>45289</v>
      </c>
      <c r="N982" s="90">
        <v>2167.4699999999998</v>
      </c>
      <c r="O982" s="28"/>
      <c r="P982" s="1"/>
      <c r="Q982" s="141"/>
      <c r="R982" s="193" t="s">
        <v>4932</v>
      </c>
    </row>
    <row r="983" spans="1:18" ht="15.75" customHeight="1" x14ac:dyDescent="0.3">
      <c r="A983" s="128" t="s">
        <v>3284</v>
      </c>
      <c r="B983" s="9" t="s">
        <v>3285</v>
      </c>
      <c r="C983" s="11" t="s">
        <v>4518</v>
      </c>
      <c r="D983" t="s">
        <v>4495</v>
      </c>
      <c r="E983" s="3"/>
      <c r="F983" s="15"/>
      <c r="G983" s="15"/>
      <c r="H983" s="3" t="s">
        <v>3286</v>
      </c>
      <c r="I983"/>
      <c r="J983" s="165">
        <v>918384</v>
      </c>
      <c r="K983" s="3" t="s">
        <v>1854</v>
      </c>
      <c r="L983" s="11" t="s">
        <v>892</v>
      </c>
      <c r="M983" s="29">
        <v>45286</v>
      </c>
      <c r="N983" s="90">
        <v>18800</v>
      </c>
      <c r="O983" s="28" t="s">
        <v>20</v>
      </c>
      <c r="P983" s="1"/>
      <c r="Q983" s="141"/>
      <c r="R983" s="193">
        <v>18800</v>
      </c>
    </row>
    <row r="984" spans="1:18" ht="15.75" customHeight="1" x14ac:dyDescent="0.3">
      <c r="A984" s="128" t="s">
        <v>3287</v>
      </c>
      <c r="B984" s="9" t="s">
        <v>3288</v>
      </c>
      <c r="C984" s="11" t="s">
        <v>4489</v>
      </c>
      <c r="D984" t="s">
        <v>4492</v>
      </c>
      <c r="E984"/>
      <c r="F984"/>
      <c r="G984" t="s">
        <v>4644</v>
      </c>
      <c r="H984" s="3" t="s">
        <v>1445</v>
      </c>
      <c r="I984"/>
      <c r="J984" s="165">
        <v>130318</v>
      </c>
      <c r="K984" s="3" t="s">
        <v>683</v>
      </c>
      <c r="L984" s="11" t="s">
        <v>684</v>
      </c>
      <c r="M984" s="29">
        <v>45307</v>
      </c>
      <c r="N984" s="90">
        <v>3161.29</v>
      </c>
      <c r="O984" s="28"/>
      <c r="P984" s="1"/>
      <c r="Q984" s="141"/>
      <c r="R984" s="193" t="s">
        <v>4933</v>
      </c>
    </row>
    <row r="985" spans="1:18" ht="15.75" customHeight="1" x14ac:dyDescent="0.3">
      <c r="A985" s="128" t="s">
        <v>3289</v>
      </c>
      <c r="B985" s="9" t="s">
        <v>3290</v>
      </c>
      <c r="C985" s="11" t="s">
        <v>4489</v>
      </c>
      <c r="D985" t="s">
        <v>4492</v>
      </c>
      <c r="E985"/>
      <c r="F985"/>
      <c r="G985" t="s">
        <v>4642</v>
      </c>
      <c r="H985" s="3" t="s">
        <v>3291</v>
      </c>
      <c r="I985"/>
      <c r="J985" s="165">
        <v>187619</v>
      </c>
      <c r="K985" s="3" t="s">
        <v>1769</v>
      </c>
      <c r="L985" s="11" t="s">
        <v>1770</v>
      </c>
      <c r="M985" s="29">
        <v>45313</v>
      </c>
      <c r="N985" s="86">
        <v>3678.8</v>
      </c>
      <c r="O985" s="28" t="s">
        <v>20</v>
      </c>
      <c r="P985" s="1" t="s">
        <v>91</v>
      </c>
      <c r="Q985" s="141"/>
      <c r="R985" s="191" t="s">
        <v>4934</v>
      </c>
    </row>
    <row r="986" spans="1:18" ht="15.75" customHeight="1" x14ac:dyDescent="0.3">
      <c r="A986" s="131" t="s">
        <v>3292</v>
      </c>
      <c r="B986" s="9" t="s">
        <v>3292</v>
      </c>
      <c r="C986" s="3" t="s">
        <v>4518</v>
      </c>
      <c r="D986" t="s">
        <v>4495</v>
      </c>
      <c r="E986" s="3"/>
      <c r="F986" s="14"/>
      <c r="G986" s="14"/>
      <c r="H986" s="3" t="s">
        <v>3293</v>
      </c>
      <c r="I986"/>
      <c r="J986" s="166">
        <v>73700</v>
      </c>
      <c r="K986" s="3" t="s">
        <v>550</v>
      </c>
      <c r="L986" s="3" t="s">
        <v>551</v>
      </c>
      <c r="M986" s="29">
        <v>45803</v>
      </c>
      <c r="N986" s="86">
        <v>9454</v>
      </c>
      <c r="O986" s="28"/>
      <c r="P986" s="1"/>
      <c r="Q986" s="141"/>
      <c r="R986" s="191">
        <v>9454</v>
      </c>
    </row>
    <row r="987" spans="1:18" ht="15.75" customHeight="1" x14ac:dyDescent="0.3">
      <c r="A987" s="128" t="s">
        <v>3294</v>
      </c>
      <c r="B987" s="9" t="s">
        <v>3295</v>
      </c>
      <c r="C987" s="11" t="s">
        <v>4490</v>
      </c>
      <c r="D987" t="s">
        <v>4492</v>
      </c>
      <c r="E987"/>
      <c r="F987" t="s">
        <v>3296</v>
      </c>
      <c r="G987" t="s">
        <v>4644</v>
      </c>
      <c r="H987" s="3" t="s">
        <v>3278</v>
      </c>
      <c r="I987"/>
      <c r="J987" s="165">
        <v>153855</v>
      </c>
      <c r="K987" s="11" t="s">
        <v>176</v>
      </c>
      <c r="L987" s="11" t="s">
        <v>1015</v>
      </c>
      <c r="M987" s="29">
        <v>45290</v>
      </c>
      <c r="N987" s="86">
        <v>2220000</v>
      </c>
      <c r="O987" s="28" t="s">
        <v>20</v>
      </c>
      <c r="P987" s="1" t="s">
        <v>78</v>
      </c>
      <c r="Q987" s="141"/>
      <c r="R987" s="191">
        <v>2220000</v>
      </c>
    </row>
    <row r="988" spans="1:18" ht="15.75" customHeight="1" x14ac:dyDescent="0.3">
      <c r="A988" s="128" t="s">
        <v>3297</v>
      </c>
      <c r="B988" s="9" t="s">
        <v>3298</v>
      </c>
      <c r="C988" s="11" t="s">
        <v>4520</v>
      </c>
      <c r="D988" t="s">
        <v>4494</v>
      </c>
      <c r="E988" s="3"/>
      <c r="F988" s="10"/>
      <c r="G988" s="10"/>
      <c r="H988" s="3" t="s">
        <v>3299</v>
      </c>
      <c r="I988"/>
      <c r="J988" s="165">
        <v>57927</v>
      </c>
      <c r="K988" s="3" t="s">
        <v>1148</v>
      </c>
      <c r="L988" s="11" t="s">
        <v>588</v>
      </c>
      <c r="M988" s="29">
        <v>45328</v>
      </c>
      <c r="N988" s="86">
        <v>580</v>
      </c>
      <c r="O988" s="28" t="s">
        <v>20</v>
      </c>
      <c r="P988" s="1" t="s">
        <v>44</v>
      </c>
      <c r="Q988" s="141"/>
      <c r="R988" s="191">
        <v>580</v>
      </c>
    </row>
    <row r="989" spans="1:18" ht="15.75" customHeight="1" x14ac:dyDescent="0.3">
      <c r="A989" s="128" t="s">
        <v>3300</v>
      </c>
      <c r="B989" s="9" t="s">
        <v>3301</v>
      </c>
      <c r="C989" s="11" t="s">
        <v>4489</v>
      </c>
      <c r="D989" t="s">
        <v>4499</v>
      </c>
      <c r="E989" s="3"/>
      <c r="F989" s="15"/>
      <c r="G989" s="15"/>
      <c r="H989" s="3" t="s">
        <v>3302</v>
      </c>
      <c r="I989"/>
      <c r="J989" s="165">
        <v>27247</v>
      </c>
      <c r="K989" s="3" t="s">
        <v>3303</v>
      </c>
      <c r="L989" s="11" t="s">
        <v>3304</v>
      </c>
      <c r="M989" s="29">
        <v>45313</v>
      </c>
      <c r="N989" s="86">
        <v>4604.1499999999996</v>
      </c>
      <c r="O989" s="28"/>
      <c r="P989" s="1"/>
      <c r="Q989" s="141"/>
      <c r="R989" s="191" t="s">
        <v>4935</v>
      </c>
    </row>
    <row r="990" spans="1:18" ht="15.75" customHeight="1" x14ac:dyDescent="0.3">
      <c r="A990" s="128" t="s">
        <v>3305</v>
      </c>
      <c r="B990" s="9" t="s">
        <v>3306</v>
      </c>
      <c r="C990" s="11" t="s">
        <v>4489</v>
      </c>
      <c r="D990" t="s">
        <v>4495</v>
      </c>
      <c r="E990" s="3"/>
      <c r="F990" s="15"/>
      <c r="G990" s="15"/>
      <c r="H990" s="3" t="s">
        <v>3307</v>
      </c>
      <c r="I990"/>
      <c r="J990" s="165">
        <v>63539</v>
      </c>
      <c r="K990" s="3" t="s">
        <v>3308</v>
      </c>
      <c r="L990" s="11" t="s">
        <v>551</v>
      </c>
      <c r="M990" s="29">
        <v>45355</v>
      </c>
      <c r="N990" s="86">
        <v>2815.2</v>
      </c>
      <c r="O990" s="28"/>
      <c r="P990" s="1" t="s">
        <v>78</v>
      </c>
      <c r="Q990" s="141"/>
      <c r="R990" s="191" t="s">
        <v>4936</v>
      </c>
    </row>
    <row r="991" spans="1:18" ht="15.75" customHeight="1" x14ac:dyDescent="0.3">
      <c r="A991" s="128" t="s">
        <v>3309</v>
      </c>
      <c r="B991" s="9" t="s">
        <v>3310</v>
      </c>
      <c r="C991" s="11" t="s">
        <v>4490</v>
      </c>
      <c r="D991" t="s">
        <v>4495</v>
      </c>
      <c r="E991"/>
      <c r="F991" t="s">
        <v>3311</v>
      </c>
      <c r="G991" t="s">
        <v>4643</v>
      </c>
      <c r="H991" s="3" t="s">
        <v>3312</v>
      </c>
      <c r="I991" t="s">
        <v>4563</v>
      </c>
      <c r="J991" s="165">
        <v>153857</v>
      </c>
      <c r="K991" s="11" t="s">
        <v>176</v>
      </c>
      <c r="L991" s="11" t="s">
        <v>1015</v>
      </c>
      <c r="M991" s="29">
        <v>45290</v>
      </c>
      <c r="N991" s="86">
        <v>500000</v>
      </c>
      <c r="O991" s="28" t="s">
        <v>20</v>
      </c>
      <c r="P991" s="1" t="s">
        <v>66</v>
      </c>
      <c r="Q991" s="141"/>
      <c r="R991" s="191">
        <v>500000</v>
      </c>
    </row>
    <row r="992" spans="1:18" ht="15.75" customHeight="1" x14ac:dyDescent="0.3">
      <c r="A992" s="128" t="s">
        <v>3313</v>
      </c>
      <c r="B992" s="9" t="s">
        <v>3314</v>
      </c>
      <c r="C992" s="3" t="s">
        <v>4520</v>
      </c>
      <c r="D992" t="s">
        <v>4495</v>
      </c>
      <c r="E992" s="3"/>
      <c r="F992" s="15"/>
      <c r="G992" s="15"/>
      <c r="H992" s="3" t="s">
        <v>3315</v>
      </c>
      <c r="I992"/>
      <c r="J992" s="165">
        <v>1624</v>
      </c>
      <c r="K992" s="3" t="s">
        <v>3316</v>
      </c>
      <c r="L992" s="11" t="s">
        <v>3317</v>
      </c>
      <c r="M992" s="29">
        <v>45322</v>
      </c>
      <c r="N992" s="86">
        <v>5633.31</v>
      </c>
      <c r="O992" s="28" t="s">
        <v>20</v>
      </c>
      <c r="P992" s="1" t="s">
        <v>66</v>
      </c>
      <c r="Q992" s="141"/>
      <c r="R992" s="191" t="s">
        <v>4937</v>
      </c>
    </row>
    <row r="993" spans="1:18" ht="15.75" customHeight="1" x14ac:dyDescent="0.3">
      <c r="A993" s="128" t="s">
        <v>3318</v>
      </c>
      <c r="B993" s="9" t="s">
        <v>3319</v>
      </c>
      <c r="C993" s="11" t="s">
        <v>4487</v>
      </c>
      <c r="D993" t="s">
        <v>4497</v>
      </c>
      <c r="E993"/>
      <c r="F993" t="s">
        <v>3320</v>
      </c>
      <c r="G993"/>
      <c r="H993" s="3" t="s">
        <v>1177</v>
      </c>
      <c r="I993"/>
      <c r="J993" s="165">
        <v>123646</v>
      </c>
      <c r="K993" s="11" t="s">
        <v>664</v>
      </c>
      <c r="L993" s="11" t="s">
        <v>1244</v>
      </c>
      <c r="M993" s="13">
        <v>45310</v>
      </c>
      <c r="N993" s="86">
        <v>16900</v>
      </c>
      <c r="O993" s="28" t="s">
        <v>20</v>
      </c>
      <c r="P993" s="1" t="s">
        <v>44</v>
      </c>
      <c r="Q993" s="141"/>
      <c r="R993" s="191">
        <v>16900</v>
      </c>
    </row>
    <row r="994" spans="1:18" ht="15.75" customHeight="1" x14ac:dyDescent="0.3">
      <c r="A994" s="128" t="s">
        <v>3321</v>
      </c>
      <c r="B994" s="9" t="s">
        <v>3322</v>
      </c>
      <c r="C994" s="11" t="s">
        <v>4489</v>
      </c>
      <c r="D994" t="s">
        <v>4497</v>
      </c>
      <c r="E994" s="3"/>
      <c r="F994" s="15"/>
      <c r="G994" s="15"/>
      <c r="H994" s="3" t="s">
        <v>3323</v>
      </c>
      <c r="I994"/>
      <c r="J994" s="165">
        <v>3023</v>
      </c>
      <c r="K994" s="3" t="s">
        <v>3324</v>
      </c>
      <c r="L994" s="15" t="s">
        <v>2759</v>
      </c>
      <c r="M994" s="29">
        <v>45322</v>
      </c>
      <c r="N994" s="86">
        <v>1926.92</v>
      </c>
      <c r="O994" s="28"/>
      <c r="P994" s="1"/>
      <c r="Q994" s="141"/>
      <c r="R994" s="191" t="s">
        <v>4938</v>
      </c>
    </row>
    <row r="995" spans="1:18" ht="15.75" customHeight="1" x14ac:dyDescent="0.3">
      <c r="A995" s="157" t="s">
        <v>3325</v>
      </c>
      <c r="B995" s="9" t="s">
        <v>3326</v>
      </c>
      <c r="C995" s="11" t="s">
        <v>4487</v>
      </c>
      <c r="D995" t="s">
        <v>4496</v>
      </c>
      <c r="E995" t="s">
        <v>4702</v>
      </c>
      <c r="F995" t="s">
        <v>3327</v>
      </c>
      <c r="G995" t="s">
        <v>4623</v>
      </c>
      <c r="H995" s="3" t="s">
        <v>3328</v>
      </c>
      <c r="I995"/>
      <c r="J995" s="165">
        <v>84521</v>
      </c>
      <c r="K995" s="11" t="s">
        <v>2004</v>
      </c>
      <c r="L995" s="11" t="s">
        <v>3329</v>
      </c>
      <c r="M995" s="13">
        <v>45348</v>
      </c>
      <c r="N995" s="86">
        <v>325376.07</v>
      </c>
      <c r="O995" s="72"/>
      <c r="P995" s="1"/>
      <c r="Q995" s="141"/>
      <c r="R995" s="191" t="s">
        <v>4939</v>
      </c>
    </row>
    <row r="996" spans="1:18" ht="15.75" customHeight="1" x14ac:dyDescent="0.3">
      <c r="A996" s="131" t="s">
        <v>3330</v>
      </c>
      <c r="B996" s="9" t="s">
        <v>3330</v>
      </c>
      <c r="C996" s="11" t="s">
        <v>4487</v>
      </c>
      <c r="D996" t="s">
        <v>4496</v>
      </c>
      <c r="E996" t="s">
        <v>3331</v>
      </c>
      <c r="F996" t="s">
        <v>3332</v>
      </c>
      <c r="G996" t="s">
        <v>4626</v>
      </c>
      <c r="H996" s="3" t="s">
        <v>3333</v>
      </c>
      <c r="I996" t="s">
        <v>4564</v>
      </c>
      <c r="J996" s="166">
        <v>291767</v>
      </c>
      <c r="K996" s="3" t="s">
        <v>1748</v>
      </c>
      <c r="L996" s="11" t="s">
        <v>2270</v>
      </c>
      <c r="M996" s="29">
        <v>45905</v>
      </c>
      <c r="N996" s="86">
        <v>227897.74</v>
      </c>
      <c r="O996" s="28"/>
      <c r="P996" s="1" t="s">
        <v>106</v>
      </c>
      <c r="Q996" s="141"/>
      <c r="R996" s="191" t="s">
        <v>4940</v>
      </c>
    </row>
    <row r="997" spans="1:18" ht="15.75" customHeight="1" x14ac:dyDescent="0.3">
      <c r="A997" s="128" t="s">
        <v>3334</v>
      </c>
      <c r="B997" s="9" t="s">
        <v>3335</v>
      </c>
      <c r="C997" s="11" t="s">
        <v>4489</v>
      </c>
      <c r="D997" t="s">
        <v>4492</v>
      </c>
      <c r="E997"/>
      <c r="F997"/>
      <c r="G997" t="s">
        <v>4644</v>
      </c>
      <c r="H997" s="3" t="s">
        <v>3336</v>
      </c>
      <c r="I997"/>
      <c r="J997" s="165">
        <v>129755</v>
      </c>
      <c r="K997" s="3" t="s">
        <v>683</v>
      </c>
      <c r="L997" s="11" t="s">
        <v>684</v>
      </c>
      <c r="M997" s="29">
        <v>45296</v>
      </c>
      <c r="N997" s="86">
        <v>17442.11</v>
      </c>
      <c r="O997" s="73" t="s">
        <v>20</v>
      </c>
      <c r="P997" s="1"/>
      <c r="Q997" s="141"/>
      <c r="R997" s="191" t="s">
        <v>4941</v>
      </c>
    </row>
    <row r="998" spans="1:18" ht="15.75" hidden="1" customHeight="1" x14ac:dyDescent="0.3">
      <c r="A998" s="128" t="s">
        <v>3337</v>
      </c>
      <c r="B998" s="9" t="s">
        <v>3338</v>
      </c>
      <c r="C998" s="11" t="s">
        <v>4489</v>
      </c>
      <c r="D998" t="s">
        <v>4494</v>
      </c>
      <c r="E998" s="3"/>
      <c r="F998" s="15"/>
      <c r="G998" s="15"/>
      <c r="H998" s="3" t="s">
        <v>3339</v>
      </c>
      <c r="I998"/>
      <c r="J998" s="174"/>
      <c r="K998" s="11"/>
      <c r="L998" s="15"/>
      <c r="M998" s="13"/>
      <c r="N998" s="86"/>
      <c r="O998" s="28"/>
      <c r="P998" s="1"/>
      <c r="Q998" s="141"/>
      <c r="R998" s="191"/>
    </row>
    <row r="999" spans="1:18" ht="15.75" customHeight="1" x14ac:dyDescent="0.3">
      <c r="A999" s="128" t="s">
        <v>3340</v>
      </c>
      <c r="B999" s="9" t="s">
        <v>3341</v>
      </c>
      <c r="C999" s="11" t="s">
        <v>4489</v>
      </c>
      <c r="D999" t="s">
        <v>4497</v>
      </c>
      <c r="E999" s="3"/>
      <c r="F999" s="15"/>
      <c r="G999" s="15"/>
      <c r="H999" s="3" t="s">
        <v>3339</v>
      </c>
      <c r="I999"/>
      <c r="J999" s="174"/>
      <c r="K999" s="11"/>
      <c r="L999" s="15"/>
      <c r="M999" s="13"/>
      <c r="N999" s="86">
        <v>0</v>
      </c>
      <c r="O999" s="28"/>
      <c r="P999" s="1"/>
      <c r="Q999" s="141"/>
      <c r="R999" s="191">
        <v>0</v>
      </c>
    </row>
    <row r="1000" spans="1:18" ht="15.75" customHeight="1" x14ac:dyDescent="0.3">
      <c r="A1000" s="128" t="s">
        <v>3342</v>
      </c>
      <c r="B1000" s="9" t="s">
        <v>3343</v>
      </c>
      <c r="C1000" s="11" t="s">
        <v>4518</v>
      </c>
      <c r="D1000" t="s">
        <v>4495</v>
      </c>
      <c r="E1000"/>
      <c r="F1000"/>
      <c r="G1000"/>
      <c r="H1000" s="3" t="s">
        <v>3344</v>
      </c>
      <c r="I1000"/>
      <c r="J1000" s="166">
        <v>26844</v>
      </c>
      <c r="K1000" s="3" t="s">
        <v>3345</v>
      </c>
      <c r="L1000" s="11" t="s">
        <v>3346</v>
      </c>
      <c r="M1000" s="29">
        <v>45435</v>
      </c>
      <c r="N1000" s="86">
        <v>444138</v>
      </c>
      <c r="O1000" s="28" t="s">
        <v>20</v>
      </c>
      <c r="P1000" s="1"/>
      <c r="Q1000" s="141"/>
      <c r="R1000" s="191">
        <v>444138</v>
      </c>
    </row>
    <row r="1001" spans="1:18" ht="15.75" customHeight="1" x14ac:dyDescent="0.3">
      <c r="A1001" s="128" t="s">
        <v>3347</v>
      </c>
      <c r="B1001" s="9" t="s">
        <v>3348</v>
      </c>
      <c r="C1001" s="11" t="s">
        <v>4489</v>
      </c>
      <c r="D1001" t="s">
        <v>4494</v>
      </c>
      <c r="E1001" s="3"/>
      <c r="F1001" s="15"/>
      <c r="G1001" s="15"/>
      <c r="H1001" s="3" t="s">
        <v>3349</v>
      </c>
      <c r="I1001"/>
      <c r="J1001" s="166">
        <v>664</v>
      </c>
      <c r="K1001" s="3" t="s">
        <v>3350</v>
      </c>
      <c r="L1001" s="3" t="s">
        <v>3351</v>
      </c>
      <c r="M1001" s="29">
        <v>45973</v>
      </c>
      <c r="N1001" s="86">
        <v>5618</v>
      </c>
      <c r="O1001" s="28" t="s">
        <v>20</v>
      </c>
      <c r="P1001" s="1" t="s">
        <v>91</v>
      </c>
      <c r="Q1001" s="141"/>
      <c r="R1001" s="191">
        <v>5618</v>
      </c>
    </row>
    <row r="1002" spans="1:18" ht="15.75" customHeight="1" x14ac:dyDescent="0.3">
      <c r="A1002" s="128" t="s">
        <v>3352</v>
      </c>
      <c r="B1002" s="9" t="s">
        <v>3353</v>
      </c>
      <c r="C1002" s="11" t="s">
        <v>4489</v>
      </c>
      <c r="D1002" t="s">
        <v>4495</v>
      </c>
      <c r="E1002" s="3"/>
      <c r="F1002" s="15"/>
      <c r="G1002" s="15"/>
      <c r="H1002" s="3" t="s">
        <v>3354</v>
      </c>
      <c r="I1002"/>
      <c r="J1002" s="165">
        <v>20307</v>
      </c>
      <c r="K1002" s="3" t="s">
        <v>3355</v>
      </c>
      <c r="L1002" s="11" t="s">
        <v>2969</v>
      </c>
      <c r="M1002" s="29">
        <v>45344</v>
      </c>
      <c r="N1002" s="86">
        <v>6519</v>
      </c>
      <c r="O1002" s="28"/>
      <c r="P1002" s="1"/>
      <c r="Q1002" s="141"/>
      <c r="R1002" s="191">
        <v>6519</v>
      </c>
    </row>
    <row r="1003" spans="1:18" ht="15.75" customHeight="1" x14ac:dyDescent="0.3">
      <c r="A1003" s="128" t="s">
        <v>3356</v>
      </c>
      <c r="B1003" s="9" t="s">
        <v>3357</v>
      </c>
      <c r="C1003" s="11" t="s">
        <v>4518</v>
      </c>
      <c r="D1003" t="s">
        <v>4495</v>
      </c>
      <c r="E1003" s="3"/>
      <c r="F1003" s="15"/>
      <c r="G1003" s="15"/>
      <c r="H1003" s="19" t="s">
        <v>3227</v>
      </c>
      <c r="I1003"/>
      <c r="J1003" s="166">
        <v>933601</v>
      </c>
      <c r="K1003" s="3" t="s">
        <v>1854</v>
      </c>
      <c r="L1003" s="11" t="s">
        <v>892</v>
      </c>
      <c r="M1003" s="29">
        <v>45346</v>
      </c>
      <c r="N1003" s="86">
        <v>2400</v>
      </c>
      <c r="O1003" s="28"/>
      <c r="P1003" s="1"/>
      <c r="Q1003" s="141"/>
      <c r="R1003" s="191">
        <v>2400</v>
      </c>
    </row>
    <row r="1004" spans="1:18" ht="15.75" customHeight="1" x14ac:dyDescent="0.3">
      <c r="A1004" s="128" t="s">
        <v>3358</v>
      </c>
      <c r="B1004" s="9" t="s">
        <v>3359</v>
      </c>
      <c r="C1004" s="11" t="s">
        <v>4518</v>
      </c>
      <c r="D1004" t="s">
        <v>4495</v>
      </c>
      <c r="E1004" s="3"/>
      <c r="F1004" s="15"/>
      <c r="G1004" s="15"/>
      <c r="H1004" s="3" t="s">
        <v>3360</v>
      </c>
      <c r="I1004"/>
      <c r="J1004" s="166">
        <v>933601</v>
      </c>
      <c r="K1004" s="3" t="s">
        <v>1854</v>
      </c>
      <c r="L1004" s="11" t="s">
        <v>892</v>
      </c>
      <c r="M1004" s="29">
        <v>45346</v>
      </c>
      <c r="N1004" s="86">
        <v>6999</v>
      </c>
      <c r="O1004" s="28"/>
      <c r="P1004" s="1"/>
      <c r="Q1004" s="141"/>
      <c r="R1004" s="191">
        <v>6999</v>
      </c>
    </row>
    <row r="1005" spans="1:18" ht="15.75" customHeight="1" x14ac:dyDescent="0.3">
      <c r="A1005" s="128" t="s">
        <v>3361</v>
      </c>
      <c r="B1005" s="9" t="s">
        <v>3362</v>
      </c>
      <c r="C1005" s="11" t="s">
        <v>4518</v>
      </c>
      <c r="D1005" t="s">
        <v>4495</v>
      </c>
      <c r="E1005" s="3"/>
      <c r="F1005" s="15"/>
      <c r="G1005" s="15"/>
      <c r="H1005" s="3" t="s">
        <v>3363</v>
      </c>
      <c r="I1005"/>
      <c r="J1005" s="166">
        <v>933601</v>
      </c>
      <c r="K1005" s="3" t="s">
        <v>1854</v>
      </c>
      <c r="L1005" s="11" t="s">
        <v>892</v>
      </c>
      <c r="M1005" s="29">
        <v>45346</v>
      </c>
      <c r="N1005" s="86">
        <v>2044</v>
      </c>
      <c r="O1005" s="28"/>
      <c r="P1005" s="1"/>
      <c r="Q1005" s="141"/>
      <c r="R1005" s="191">
        <v>2044</v>
      </c>
    </row>
    <row r="1006" spans="1:18" ht="15.75" customHeight="1" x14ac:dyDescent="0.3">
      <c r="A1006" s="128" t="s">
        <v>3364</v>
      </c>
      <c r="B1006" s="9" t="s">
        <v>3365</v>
      </c>
      <c r="C1006" s="11" t="s">
        <v>4518</v>
      </c>
      <c r="D1006" t="s">
        <v>4495</v>
      </c>
      <c r="E1006" s="3"/>
      <c r="F1006" s="15"/>
      <c r="G1006" s="15"/>
      <c r="H1006" s="3" t="s">
        <v>3363</v>
      </c>
      <c r="I1006"/>
      <c r="J1006" s="166">
        <v>933601</v>
      </c>
      <c r="K1006" s="3" t="s">
        <v>1854</v>
      </c>
      <c r="L1006" s="11" t="s">
        <v>892</v>
      </c>
      <c r="M1006" s="29">
        <v>45346</v>
      </c>
      <c r="N1006" s="86">
        <v>2044</v>
      </c>
      <c r="O1006" s="28"/>
      <c r="P1006" s="1"/>
      <c r="Q1006" s="141"/>
      <c r="R1006" s="191">
        <v>2044</v>
      </c>
    </row>
    <row r="1007" spans="1:18" ht="15.75" customHeight="1" x14ac:dyDescent="0.3">
      <c r="A1007" s="128" t="s">
        <v>3366</v>
      </c>
      <c r="B1007" s="9" t="s">
        <v>3367</v>
      </c>
      <c r="C1007" s="11" t="s">
        <v>4489</v>
      </c>
      <c r="D1007" t="s">
        <v>4495</v>
      </c>
      <c r="E1007" s="3"/>
      <c r="F1007" s="15"/>
      <c r="G1007" s="15"/>
      <c r="H1007" s="3" t="s">
        <v>3368</v>
      </c>
      <c r="I1007"/>
      <c r="J1007" s="166">
        <v>275</v>
      </c>
      <c r="K1007" s="3" t="s">
        <v>2545</v>
      </c>
      <c r="L1007" s="11" t="s">
        <v>2546</v>
      </c>
      <c r="M1007" s="29">
        <v>45334</v>
      </c>
      <c r="N1007" s="86">
        <v>4900</v>
      </c>
      <c r="O1007" s="28"/>
      <c r="P1007" s="1"/>
      <c r="Q1007" s="141"/>
      <c r="R1007" s="191">
        <v>4900</v>
      </c>
    </row>
    <row r="1008" spans="1:18" ht="15.75" customHeight="1" x14ac:dyDescent="0.3">
      <c r="A1008" s="128" t="s">
        <v>3369</v>
      </c>
      <c r="B1008" s="9" t="s">
        <v>3370</v>
      </c>
      <c r="C1008" s="11" t="s">
        <v>4489</v>
      </c>
      <c r="D1008" t="s">
        <v>4495</v>
      </c>
      <c r="E1008"/>
      <c r="F1008" t="s">
        <v>4703</v>
      </c>
      <c r="G1008"/>
      <c r="H1008" s="3" t="s">
        <v>3371</v>
      </c>
      <c r="I1008"/>
      <c r="J1008" s="165">
        <v>3240</v>
      </c>
      <c r="K1008" s="3" t="s">
        <v>3324</v>
      </c>
      <c r="L1008" s="15" t="s">
        <v>2759</v>
      </c>
      <c r="M1008" s="29">
        <v>45357</v>
      </c>
      <c r="N1008" s="86">
        <v>9489.48</v>
      </c>
      <c r="O1008" s="28"/>
      <c r="P1008" s="1"/>
      <c r="Q1008" s="141"/>
      <c r="R1008" s="191" t="s">
        <v>4942</v>
      </c>
    </row>
    <row r="1009" spans="1:18" ht="15.75" customHeight="1" x14ac:dyDescent="0.3">
      <c r="A1009" s="128" t="s">
        <v>3372</v>
      </c>
      <c r="B1009" s="9" t="s">
        <v>3373</v>
      </c>
      <c r="C1009" s="11" t="s">
        <v>4489</v>
      </c>
      <c r="D1009" t="s">
        <v>4495</v>
      </c>
      <c r="E1009" s="3"/>
      <c r="F1009" s="15"/>
      <c r="G1009" s="15"/>
      <c r="H1009" s="3" t="s">
        <v>3374</v>
      </c>
      <c r="I1009"/>
      <c r="J1009" s="165">
        <v>10030</v>
      </c>
      <c r="K1009" s="3" t="s">
        <v>777</v>
      </c>
      <c r="L1009" s="11" t="s">
        <v>778</v>
      </c>
      <c r="M1009" s="29">
        <v>45348</v>
      </c>
      <c r="N1009" s="86">
        <v>1983.29</v>
      </c>
      <c r="O1009" s="28"/>
      <c r="P1009" s="1"/>
      <c r="Q1009" s="141"/>
      <c r="R1009" s="191" t="s">
        <v>4943</v>
      </c>
    </row>
    <row r="1010" spans="1:18" ht="15.75" customHeight="1" x14ac:dyDescent="0.3">
      <c r="A1010" s="128" t="s">
        <v>3375</v>
      </c>
      <c r="B1010" s="9" t="s">
        <v>3376</v>
      </c>
      <c r="C1010" s="11" t="s">
        <v>4489</v>
      </c>
      <c r="D1010" t="s">
        <v>4495</v>
      </c>
      <c r="E1010" s="3"/>
      <c r="F1010" s="15"/>
      <c r="G1010" s="15"/>
      <c r="H1010" s="3" t="s">
        <v>3377</v>
      </c>
      <c r="I1010"/>
      <c r="J1010" s="165">
        <v>770</v>
      </c>
      <c r="K1010" s="3" t="s">
        <v>3086</v>
      </c>
      <c r="L1010" s="15" t="s">
        <v>3087</v>
      </c>
      <c r="M1010" s="29">
        <v>45345</v>
      </c>
      <c r="N1010" s="86">
        <v>20000</v>
      </c>
      <c r="O1010" s="28" t="s">
        <v>20</v>
      </c>
      <c r="P1010" s="1" t="s">
        <v>44</v>
      </c>
      <c r="Q1010" s="141"/>
      <c r="R1010" s="191">
        <v>20000</v>
      </c>
    </row>
    <row r="1011" spans="1:18" ht="15.75" customHeight="1" x14ac:dyDescent="0.3">
      <c r="A1011" s="131" t="s">
        <v>3378</v>
      </c>
      <c r="B1011" s="9" t="s">
        <v>3378</v>
      </c>
      <c r="C1011" s="11" t="s">
        <v>4520</v>
      </c>
      <c r="D1011" t="s">
        <v>4493</v>
      </c>
      <c r="E1011" s="3"/>
      <c r="F1011" s="15"/>
      <c r="G1011" s="15"/>
      <c r="H1011" s="3" t="s">
        <v>195</v>
      </c>
      <c r="I1011"/>
      <c r="J1011" s="165">
        <v>2026</v>
      </c>
      <c r="K1011" s="11" t="s">
        <v>104</v>
      </c>
      <c r="L1011" s="11" t="s">
        <v>105</v>
      </c>
      <c r="M1011" s="34">
        <v>45693</v>
      </c>
      <c r="N1011" s="86">
        <v>4620</v>
      </c>
      <c r="O1011" s="28" t="s">
        <v>20</v>
      </c>
      <c r="P1011" s="1" t="s">
        <v>78</v>
      </c>
      <c r="Q1011" s="141"/>
      <c r="R1011" s="191">
        <v>4620</v>
      </c>
    </row>
    <row r="1012" spans="1:18" ht="15.75" customHeight="1" x14ac:dyDescent="0.3">
      <c r="A1012" s="128" t="s">
        <v>3379</v>
      </c>
      <c r="B1012" s="9" t="s">
        <v>3380</v>
      </c>
      <c r="C1012" s="11" t="s">
        <v>4490</v>
      </c>
      <c r="D1012" t="s">
        <v>4494</v>
      </c>
      <c r="E1012" s="3"/>
      <c r="F1012" s="15"/>
      <c r="G1012" s="15"/>
      <c r="H1012" s="3" t="s">
        <v>3381</v>
      </c>
      <c r="I1012"/>
      <c r="J1012" s="165">
        <v>80873</v>
      </c>
      <c r="K1012" s="11" t="s">
        <v>998</v>
      </c>
      <c r="L1012" s="15" t="s">
        <v>999</v>
      </c>
      <c r="M1012" s="13">
        <v>45476</v>
      </c>
      <c r="N1012" s="86">
        <v>27300</v>
      </c>
      <c r="O1012" s="28" t="s">
        <v>20</v>
      </c>
      <c r="P1012" s="1" t="s">
        <v>78</v>
      </c>
      <c r="Q1012" s="141"/>
      <c r="R1012" s="191">
        <v>27300</v>
      </c>
    </row>
    <row r="1013" spans="1:18" ht="15.75" customHeight="1" x14ac:dyDescent="0.3">
      <c r="A1013" s="138" t="s">
        <v>3382</v>
      </c>
      <c r="B1013" s="16" t="s">
        <v>3382</v>
      </c>
      <c r="C1013" s="19" t="s">
        <v>4490</v>
      </c>
      <c r="D1013" t="s">
        <v>4493</v>
      </c>
      <c r="E1013" s="19"/>
      <c r="F1013" s="14"/>
      <c r="G1013" s="14"/>
      <c r="H1013" s="3" t="s">
        <v>2096</v>
      </c>
      <c r="I1013" t="s">
        <v>4565</v>
      </c>
      <c r="J1013" s="166">
        <v>55418</v>
      </c>
      <c r="K1013" s="3" t="s">
        <v>3383</v>
      </c>
      <c r="L1013" s="11" t="s">
        <v>778</v>
      </c>
      <c r="M1013" s="29">
        <v>45713</v>
      </c>
      <c r="N1013" s="86">
        <v>2383.15</v>
      </c>
      <c r="O1013" s="25"/>
      <c r="P1013" s="24" t="s">
        <v>78</v>
      </c>
      <c r="Q1013" s="141"/>
      <c r="R1013" s="191" t="s">
        <v>4944</v>
      </c>
    </row>
    <row r="1014" spans="1:18" ht="15.75" customHeight="1" x14ac:dyDescent="0.3">
      <c r="A1014" s="131" t="s">
        <v>3384</v>
      </c>
      <c r="B1014" s="9" t="s">
        <v>3384</v>
      </c>
      <c r="C1014" s="11" t="s">
        <v>4490</v>
      </c>
      <c r="D1014" t="s">
        <v>4495</v>
      </c>
      <c r="E1014" s="160"/>
      <c r="F1014" t="s">
        <v>4628</v>
      </c>
      <c r="G1014" t="s">
        <v>4629</v>
      </c>
      <c r="H1014" s="3" t="s">
        <v>3385</v>
      </c>
      <c r="I1014"/>
      <c r="J1014" s="174"/>
      <c r="K1014" s="11"/>
      <c r="L1014" s="15"/>
      <c r="M1014" s="13"/>
      <c r="N1014" s="86">
        <v>90000</v>
      </c>
      <c r="O1014" s="28" t="s">
        <v>20</v>
      </c>
      <c r="P1014" s="1" t="s">
        <v>91</v>
      </c>
      <c r="Q1014" s="141"/>
      <c r="R1014" s="191">
        <v>90000</v>
      </c>
    </row>
    <row r="1015" spans="1:18" ht="15.75" customHeight="1" x14ac:dyDescent="0.3">
      <c r="A1015" s="128" t="s">
        <v>3386</v>
      </c>
      <c r="B1015" s="9" t="s">
        <v>3387</v>
      </c>
      <c r="C1015" s="11" t="s">
        <v>4487</v>
      </c>
      <c r="D1015" t="s">
        <v>4495</v>
      </c>
      <c r="E1015" t="s">
        <v>3388</v>
      </c>
      <c r="F1015" t="s">
        <v>3389</v>
      </c>
      <c r="G1015" t="s">
        <v>4617</v>
      </c>
      <c r="H1015" s="3" t="s">
        <v>3390</v>
      </c>
      <c r="I1015"/>
      <c r="J1015" s="165">
        <v>321617</v>
      </c>
      <c r="K1015" s="11" t="s">
        <v>1952</v>
      </c>
      <c r="L1015" s="15" t="s">
        <v>3391</v>
      </c>
      <c r="M1015" s="13">
        <v>44727</v>
      </c>
      <c r="N1015" s="86">
        <v>410000</v>
      </c>
      <c r="O1015" s="28" t="s">
        <v>20</v>
      </c>
      <c r="P1015" s="1" t="s">
        <v>66</v>
      </c>
      <c r="Q1015" s="141"/>
      <c r="R1015" s="191">
        <v>410000</v>
      </c>
    </row>
    <row r="1016" spans="1:18" ht="15.75" customHeight="1" x14ac:dyDescent="0.3">
      <c r="A1016" s="128" t="s">
        <v>3392</v>
      </c>
      <c r="B1016" s="10" t="s">
        <v>3393</v>
      </c>
      <c r="C1016" s="11" t="s">
        <v>4490</v>
      </c>
      <c r="D1016" t="s">
        <v>4495</v>
      </c>
      <c r="E1016"/>
      <c r="F1016"/>
      <c r="G1016"/>
      <c r="H1016" s="3" t="s">
        <v>3017</v>
      </c>
      <c r="I1016"/>
      <c r="J1016" s="174"/>
      <c r="K1016" s="11"/>
      <c r="L1016" s="15"/>
      <c r="M1016" s="13"/>
      <c r="N1016" s="86">
        <v>0</v>
      </c>
      <c r="O1016" s="28"/>
      <c r="P1016" s="1"/>
      <c r="Q1016" s="141"/>
      <c r="R1016" s="191">
        <v>0</v>
      </c>
    </row>
    <row r="1017" spans="1:18" ht="15.75" customHeight="1" x14ac:dyDescent="0.3">
      <c r="A1017" s="135" t="s">
        <v>3394</v>
      </c>
      <c r="B1017" s="16" t="s">
        <v>3394</v>
      </c>
      <c r="C1017" s="19" t="s">
        <v>4520</v>
      </c>
      <c r="D1017" t="s">
        <v>4493</v>
      </c>
      <c r="E1017" s="19"/>
      <c r="F1017" s="14"/>
      <c r="G1017" s="14"/>
      <c r="H1017" s="19" t="s">
        <v>3395</v>
      </c>
      <c r="I1017"/>
      <c r="J1017" s="166">
        <v>1273</v>
      </c>
      <c r="K1017" s="3" t="s">
        <v>3396</v>
      </c>
      <c r="L1017" s="11" t="s">
        <v>3397</v>
      </c>
      <c r="M1017" s="29">
        <v>45845</v>
      </c>
      <c r="N1017" s="86">
        <v>4550</v>
      </c>
      <c r="O1017" s="25"/>
      <c r="P1017" s="1" t="s">
        <v>78</v>
      </c>
      <c r="Q1017" s="141"/>
      <c r="R1017" s="191">
        <v>4550</v>
      </c>
    </row>
    <row r="1018" spans="1:18" ht="15.75" customHeight="1" x14ac:dyDescent="0.3">
      <c r="A1018" s="64" t="s">
        <v>3398</v>
      </c>
      <c r="B1018" s="10" t="s">
        <v>3399</v>
      </c>
      <c r="C1018" s="11" t="s">
        <v>4489</v>
      </c>
      <c r="D1018" t="s">
        <v>4499</v>
      </c>
      <c r="E1018" s="18"/>
      <c r="F1018" s="15"/>
      <c r="G1018" s="15"/>
      <c r="H1018" s="3" t="s">
        <v>3400</v>
      </c>
      <c r="I1018"/>
      <c r="J1018" s="165">
        <v>201162</v>
      </c>
      <c r="K1018" s="11" t="s">
        <v>1901</v>
      </c>
      <c r="L1018" s="11" t="s">
        <v>1902</v>
      </c>
      <c r="M1018" s="13">
        <v>45316</v>
      </c>
      <c r="N1018" s="86">
        <v>281432</v>
      </c>
      <c r="O1018" s="28"/>
      <c r="P1018" s="1"/>
      <c r="Q1018" s="141"/>
      <c r="R1018" s="191">
        <v>281432</v>
      </c>
    </row>
    <row r="1019" spans="1:18" ht="15.75" customHeight="1" x14ac:dyDescent="0.3">
      <c r="A1019" s="128" t="s">
        <v>3401</v>
      </c>
      <c r="B1019" s="10" t="s">
        <v>3402</v>
      </c>
      <c r="C1019" s="11" t="s">
        <v>4489</v>
      </c>
      <c r="D1019" t="s">
        <v>4499</v>
      </c>
      <c r="E1019" s="3"/>
      <c r="F1019" s="15"/>
      <c r="G1019" s="15"/>
      <c r="H1019" s="3" t="s">
        <v>3403</v>
      </c>
      <c r="I1019"/>
      <c r="J1019" s="165">
        <v>201162</v>
      </c>
      <c r="K1019" s="11" t="s">
        <v>1901</v>
      </c>
      <c r="L1019" s="11" t="s">
        <v>1902</v>
      </c>
      <c r="M1019" s="13">
        <v>45316</v>
      </c>
      <c r="N1019" s="86">
        <v>518568</v>
      </c>
      <c r="O1019" s="28"/>
      <c r="P1019" s="1"/>
      <c r="Q1019" s="141"/>
      <c r="R1019" s="191">
        <v>518568</v>
      </c>
    </row>
    <row r="1020" spans="1:18" ht="15.75" customHeight="1" x14ac:dyDescent="0.3">
      <c r="A1020" s="131" t="s">
        <v>3404</v>
      </c>
      <c r="B1020" s="9" t="s">
        <v>3404</v>
      </c>
      <c r="C1020" s="11" t="s">
        <v>4520</v>
      </c>
      <c r="D1020" t="s">
        <v>4496</v>
      </c>
      <c r="E1020" s="3"/>
      <c r="F1020" s="15"/>
      <c r="G1020" s="15"/>
      <c r="H1020" s="3" t="s">
        <v>195</v>
      </c>
      <c r="I1020"/>
      <c r="J1020" s="165">
        <v>2784</v>
      </c>
      <c r="K1020" s="3" t="s">
        <v>735</v>
      </c>
      <c r="L1020" s="3" t="s">
        <v>105</v>
      </c>
      <c r="M1020" s="29">
        <v>45897</v>
      </c>
      <c r="N1020" s="86">
        <v>1750</v>
      </c>
      <c r="O1020" s="28"/>
      <c r="P1020" s="1"/>
      <c r="Q1020" s="141"/>
      <c r="R1020" s="191">
        <v>1750</v>
      </c>
    </row>
    <row r="1021" spans="1:18" ht="15.75" customHeight="1" x14ac:dyDescent="0.3">
      <c r="A1021" s="128" t="s">
        <v>3405</v>
      </c>
      <c r="B1021" s="10" t="s">
        <v>3405</v>
      </c>
      <c r="C1021" s="11" t="s">
        <v>4519</v>
      </c>
      <c r="D1021" t="s">
        <v>4492</v>
      </c>
      <c r="E1021" s="11"/>
      <c r="F1021" s="15"/>
      <c r="G1021" s="15"/>
      <c r="H1021" s="11" t="s">
        <v>2340</v>
      </c>
      <c r="I1021"/>
      <c r="J1021" s="170">
        <v>2094</v>
      </c>
      <c r="K1021" s="11" t="s">
        <v>3396</v>
      </c>
      <c r="L1021" s="11" t="s">
        <v>3397</v>
      </c>
      <c r="M1021" s="13">
        <v>45897</v>
      </c>
      <c r="N1021" s="90">
        <v>3400</v>
      </c>
      <c r="O1021" s="28"/>
      <c r="P1021" s="1" t="s">
        <v>91</v>
      </c>
      <c r="Q1021" s="141"/>
      <c r="R1021" s="193">
        <v>3400</v>
      </c>
    </row>
    <row r="1022" spans="1:18" ht="15.75" customHeight="1" x14ac:dyDescent="0.3">
      <c r="A1022" s="158" t="s">
        <v>3406</v>
      </c>
      <c r="B1022" s="10" t="s">
        <v>3406</v>
      </c>
      <c r="C1022" s="11" t="s">
        <v>4519</v>
      </c>
      <c r="D1022" t="s">
        <v>4492</v>
      </c>
      <c r="E1022" s="11"/>
      <c r="F1022" s="15"/>
      <c r="G1022" s="15"/>
      <c r="H1022" s="11" t="s">
        <v>2340</v>
      </c>
      <c r="I1022"/>
      <c r="J1022" s="170">
        <v>2094</v>
      </c>
      <c r="K1022" s="11" t="s">
        <v>3396</v>
      </c>
      <c r="L1022" s="11" t="s">
        <v>3397</v>
      </c>
      <c r="M1022" s="13">
        <v>45897</v>
      </c>
      <c r="N1022" s="90">
        <v>3400</v>
      </c>
      <c r="O1022" s="28"/>
      <c r="P1022" s="1" t="s">
        <v>91</v>
      </c>
      <c r="Q1022" s="141"/>
      <c r="R1022" s="193">
        <v>3400</v>
      </c>
    </row>
    <row r="1023" spans="1:18" ht="15.75" customHeight="1" x14ac:dyDescent="0.3">
      <c r="A1023" s="131" t="s">
        <v>3407</v>
      </c>
      <c r="B1023" s="9" t="s">
        <v>3407</v>
      </c>
      <c r="C1023" s="11" t="s">
        <v>4489</v>
      </c>
      <c r="D1023" t="s">
        <v>4496</v>
      </c>
      <c r="E1023" s="3"/>
      <c r="F1023" s="15"/>
      <c r="G1023" s="15"/>
      <c r="H1023" s="3" t="s">
        <v>3408</v>
      </c>
      <c r="I1023" t="s">
        <v>4548</v>
      </c>
      <c r="J1023" s="165">
        <v>452</v>
      </c>
      <c r="K1023" s="11" t="s">
        <v>3409</v>
      </c>
      <c r="L1023" s="15" t="s">
        <v>2546</v>
      </c>
      <c r="M1023" s="35">
        <v>45847</v>
      </c>
      <c r="N1023" s="86">
        <v>27800</v>
      </c>
      <c r="O1023" s="28"/>
      <c r="P1023" s="1" t="s">
        <v>106</v>
      </c>
      <c r="Q1023" s="141"/>
      <c r="R1023" s="191">
        <v>27800</v>
      </c>
    </row>
    <row r="1024" spans="1:18" ht="15.75" customHeight="1" x14ac:dyDescent="0.3">
      <c r="A1024" s="128" t="s">
        <v>3410</v>
      </c>
      <c r="B1024" s="9" t="s">
        <v>3411</v>
      </c>
      <c r="C1024" s="11" t="s">
        <v>4519</v>
      </c>
      <c r="D1024" t="s">
        <v>4495</v>
      </c>
      <c r="E1024" s="3"/>
      <c r="F1024" s="15"/>
      <c r="G1024" s="15"/>
      <c r="H1024" s="3" t="s">
        <v>3412</v>
      </c>
      <c r="I1024"/>
      <c r="J1024" s="166">
        <v>117</v>
      </c>
      <c r="K1024" s="3" t="s">
        <v>2366</v>
      </c>
      <c r="L1024" s="11" t="s">
        <v>2367</v>
      </c>
      <c r="M1024" s="29">
        <v>44768</v>
      </c>
      <c r="N1024" s="86">
        <v>12700</v>
      </c>
      <c r="O1024" s="28"/>
      <c r="P1024" s="1"/>
      <c r="Q1024" s="141"/>
      <c r="R1024" s="191">
        <v>12700</v>
      </c>
    </row>
    <row r="1025" spans="1:18" ht="15.75" customHeight="1" x14ac:dyDescent="0.3">
      <c r="A1025" s="158" t="s">
        <v>3413</v>
      </c>
      <c r="B1025" s="10" t="s">
        <v>3413</v>
      </c>
      <c r="C1025" s="11" t="s">
        <v>4519</v>
      </c>
      <c r="D1025" t="s">
        <v>4492</v>
      </c>
      <c r="E1025" s="11"/>
      <c r="F1025" s="15"/>
      <c r="G1025" s="15"/>
      <c r="H1025" s="11" t="s">
        <v>2340</v>
      </c>
      <c r="I1025"/>
      <c r="J1025" s="170">
        <v>2094</v>
      </c>
      <c r="K1025" s="11" t="s">
        <v>3396</v>
      </c>
      <c r="L1025" s="11" t="s">
        <v>3397</v>
      </c>
      <c r="M1025" s="13">
        <v>45897</v>
      </c>
      <c r="N1025" s="90">
        <v>3400</v>
      </c>
      <c r="O1025" s="28"/>
      <c r="P1025" s="1" t="s">
        <v>91</v>
      </c>
      <c r="Q1025" s="141"/>
      <c r="R1025" s="193">
        <v>3400</v>
      </c>
    </row>
    <row r="1026" spans="1:18" ht="15.75" customHeight="1" x14ac:dyDescent="0.3">
      <c r="A1026" s="128" t="s">
        <v>3414</v>
      </c>
      <c r="B1026" s="9" t="s">
        <v>3415</v>
      </c>
      <c r="C1026" s="11" t="s">
        <v>4519</v>
      </c>
      <c r="D1026" t="s">
        <v>4492</v>
      </c>
      <c r="E1026" s="3"/>
      <c r="F1026" s="15"/>
      <c r="G1026" s="15"/>
      <c r="H1026" s="3" t="s">
        <v>3416</v>
      </c>
      <c r="I1026"/>
      <c r="J1026" s="165">
        <v>19725</v>
      </c>
      <c r="K1026" s="11" t="s">
        <v>3355</v>
      </c>
      <c r="L1026" s="11" t="s">
        <v>2969</v>
      </c>
      <c r="M1026" s="13">
        <v>45331</v>
      </c>
      <c r="N1026" s="86">
        <v>3999</v>
      </c>
      <c r="O1026" s="28" t="s">
        <v>20</v>
      </c>
      <c r="P1026" s="1" t="s">
        <v>91</v>
      </c>
      <c r="Q1026" s="141"/>
      <c r="R1026" s="191">
        <v>3999</v>
      </c>
    </row>
    <row r="1027" spans="1:18" ht="15.75" customHeight="1" x14ac:dyDescent="0.3">
      <c r="A1027" s="128" t="s">
        <v>3417</v>
      </c>
      <c r="B1027" s="9" t="s">
        <v>3418</v>
      </c>
      <c r="C1027" s="11" t="s">
        <v>4519</v>
      </c>
      <c r="D1027" t="s">
        <v>4497</v>
      </c>
      <c r="E1027" s="3"/>
      <c r="F1027" s="15"/>
      <c r="G1027" s="15"/>
      <c r="H1027" s="3" t="s">
        <v>3014</v>
      </c>
      <c r="I1027"/>
      <c r="J1027" s="165">
        <v>21238</v>
      </c>
      <c r="K1027" s="11" t="s">
        <v>187</v>
      </c>
      <c r="L1027" s="11" t="s">
        <v>188</v>
      </c>
      <c r="M1027" s="13">
        <v>45352</v>
      </c>
      <c r="N1027" s="86">
        <v>2399</v>
      </c>
      <c r="O1027" s="28"/>
      <c r="P1027" s="1"/>
      <c r="Q1027" s="141"/>
      <c r="R1027" s="191">
        <v>2399</v>
      </c>
    </row>
    <row r="1028" spans="1:18" ht="15.75" customHeight="1" x14ac:dyDescent="0.3">
      <c r="A1028" s="128" t="s">
        <v>3419</v>
      </c>
      <c r="B1028" s="9" t="s">
        <v>3420</v>
      </c>
      <c r="C1028" s="11" t="s">
        <v>4519</v>
      </c>
      <c r="D1028" t="s">
        <v>4492</v>
      </c>
      <c r="E1028" s="3"/>
      <c r="F1028" s="15"/>
      <c r="G1028" s="15"/>
      <c r="H1028" s="3" t="s">
        <v>2340</v>
      </c>
      <c r="I1028"/>
      <c r="J1028" s="166">
        <v>21834</v>
      </c>
      <c r="K1028" s="11" t="s">
        <v>187</v>
      </c>
      <c r="L1028" s="11" t="s">
        <v>188</v>
      </c>
      <c r="M1028" s="13">
        <v>45365</v>
      </c>
      <c r="N1028" s="86">
        <v>2399</v>
      </c>
      <c r="O1028" s="28"/>
      <c r="P1028" s="1"/>
      <c r="Q1028" s="141"/>
      <c r="R1028" s="191">
        <v>2399</v>
      </c>
    </row>
    <row r="1029" spans="1:18" ht="15.75" customHeight="1" x14ac:dyDescent="0.3">
      <c r="A1029" s="128" t="s">
        <v>3421</v>
      </c>
      <c r="B1029" s="9" t="s">
        <v>3422</v>
      </c>
      <c r="C1029" s="11" t="s">
        <v>4519</v>
      </c>
      <c r="D1029" t="s">
        <v>4495</v>
      </c>
      <c r="E1029" s="3"/>
      <c r="F1029" s="15"/>
      <c r="G1029" s="15"/>
      <c r="H1029" s="3" t="s">
        <v>3423</v>
      </c>
      <c r="I1029"/>
      <c r="J1029" s="165">
        <v>20307</v>
      </c>
      <c r="K1029" s="11" t="s">
        <v>3355</v>
      </c>
      <c r="L1029" s="11" t="s">
        <v>2969</v>
      </c>
      <c r="M1029" s="13">
        <v>45344</v>
      </c>
      <c r="N1029" s="86">
        <v>3298.4</v>
      </c>
      <c r="O1029" s="28" t="s">
        <v>20</v>
      </c>
      <c r="P1029" s="1"/>
      <c r="Q1029" s="141"/>
      <c r="R1029" s="191" t="s">
        <v>4945</v>
      </c>
    </row>
    <row r="1030" spans="1:18" ht="15.75" customHeight="1" x14ac:dyDescent="0.3">
      <c r="A1030" s="128" t="s">
        <v>3424</v>
      </c>
      <c r="B1030" s="9" t="s">
        <v>3425</v>
      </c>
      <c r="C1030" s="11" t="s">
        <v>4519</v>
      </c>
      <c r="D1030" t="s">
        <v>4492</v>
      </c>
      <c r="E1030" s="3"/>
      <c r="F1030" s="15"/>
      <c r="G1030" s="15"/>
      <c r="H1030" s="3" t="s">
        <v>3426</v>
      </c>
      <c r="I1030"/>
      <c r="J1030" s="166">
        <v>21834</v>
      </c>
      <c r="K1030" s="11" t="s">
        <v>187</v>
      </c>
      <c r="L1030" s="11" t="s">
        <v>188</v>
      </c>
      <c r="M1030" s="13">
        <v>45365</v>
      </c>
      <c r="N1030" s="86">
        <v>2399</v>
      </c>
      <c r="O1030" s="28"/>
      <c r="P1030" s="1"/>
      <c r="Q1030" s="141"/>
      <c r="R1030" s="191">
        <v>2399</v>
      </c>
    </row>
    <row r="1031" spans="1:18" ht="15.75" customHeight="1" x14ac:dyDescent="0.3">
      <c r="A1031" s="128" t="s">
        <v>3427</v>
      </c>
      <c r="B1031" s="9" t="s">
        <v>3428</v>
      </c>
      <c r="C1031" s="11" t="s">
        <v>4519</v>
      </c>
      <c r="D1031" t="s">
        <v>4492</v>
      </c>
      <c r="E1031" s="3"/>
      <c r="F1031" s="15"/>
      <c r="G1031" s="15"/>
      <c r="H1031" s="3" t="s">
        <v>3426</v>
      </c>
      <c r="I1031"/>
      <c r="J1031" s="166">
        <v>21834</v>
      </c>
      <c r="K1031" s="11" t="s">
        <v>187</v>
      </c>
      <c r="L1031" s="11" t="s">
        <v>3429</v>
      </c>
      <c r="M1031" s="13">
        <v>45365</v>
      </c>
      <c r="N1031" s="86">
        <v>2399</v>
      </c>
      <c r="O1031" s="28"/>
      <c r="P1031" s="1"/>
      <c r="Q1031" s="141"/>
      <c r="R1031" s="191">
        <v>2399</v>
      </c>
    </row>
    <row r="1032" spans="1:18" ht="15.75" customHeight="1" x14ac:dyDescent="0.3">
      <c r="A1032" s="128" t="s">
        <v>3430</v>
      </c>
      <c r="B1032" s="9" t="s">
        <v>3431</v>
      </c>
      <c r="C1032" s="11" t="s">
        <v>4519</v>
      </c>
      <c r="D1032" t="s">
        <v>4494</v>
      </c>
      <c r="E1032" s="3"/>
      <c r="F1032" s="15"/>
      <c r="G1032" s="15"/>
      <c r="H1032" s="3" t="s">
        <v>3426</v>
      </c>
      <c r="I1032"/>
      <c r="J1032" s="166">
        <v>47668</v>
      </c>
      <c r="K1032" s="3" t="s">
        <v>187</v>
      </c>
      <c r="L1032" s="3" t="s">
        <v>188</v>
      </c>
      <c r="M1032" s="29">
        <v>45982</v>
      </c>
      <c r="N1032" s="86">
        <v>2499.9</v>
      </c>
      <c r="O1032" s="28"/>
      <c r="P1032" s="1"/>
      <c r="Q1032" s="141"/>
      <c r="R1032" s="191" t="s">
        <v>4946</v>
      </c>
    </row>
    <row r="1033" spans="1:18" ht="15.75" customHeight="1" x14ac:dyDescent="0.3">
      <c r="A1033" s="128" t="s">
        <v>3432</v>
      </c>
      <c r="B1033" s="9" t="s">
        <v>3433</v>
      </c>
      <c r="C1033" s="11" t="s">
        <v>4519</v>
      </c>
      <c r="D1033" t="s">
        <v>4492</v>
      </c>
      <c r="E1033" s="3"/>
      <c r="F1033" s="15"/>
      <c r="G1033" s="15"/>
      <c r="H1033" s="3" t="s">
        <v>3434</v>
      </c>
      <c r="I1033"/>
      <c r="J1033" s="166">
        <v>21834</v>
      </c>
      <c r="K1033" s="11" t="s">
        <v>187</v>
      </c>
      <c r="L1033" s="11" t="s">
        <v>3435</v>
      </c>
      <c r="M1033" s="13">
        <v>45365</v>
      </c>
      <c r="N1033" s="86">
        <v>2399</v>
      </c>
      <c r="O1033" s="28"/>
      <c r="P1033" s="1"/>
      <c r="Q1033" s="141"/>
      <c r="R1033" s="191">
        <v>2399</v>
      </c>
    </row>
    <row r="1034" spans="1:18" ht="15.75" customHeight="1" x14ac:dyDescent="0.3">
      <c r="A1034" s="142" t="s">
        <v>3436</v>
      </c>
      <c r="B1034" s="9" t="s">
        <v>3436</v>
      </c>
      <c r="C1034" s="11" t="s">
        <v>4490</v>
      </c>
      <c r="D1034" t="s">
        <v>4495</v>
      </c>
      <c r="E1034" t="s">
        <v>4630</v>
      </c>
      <c r="F1034" t="s">
        <v>3437</v>
      </c>
      <c r="G1034" t="s">
        <v>4631</v>
      </c>
      <c r="H1034" s="3" t="s">
        <v>3438</v>
      </c>
      <c r="I1034" s="160" t="s">
        <v>4566</v>
      </c>
      <c r="J1034" s="165">
        <v>61982</v>
      </c>
      <c r="K1034" s="11" t="s">
        <v>3439</v>
      </c>
      <c r="L1034" s="11" t="s">
        <v>3440</v>
      </c>
      <c r="M1034" s="13">
        <v>45716</v>
      </c>
      <c r="N1034" s="86">
        <v>210000</v>
      </c>
      <c r="O1034" s="28"/>
      <c r="P1034" s="1" t="s">
        <v>66</v>
      </c>
      <c r="Q1034" s="141"/>
      <c r="R1034" s="191">
        <v>210000</v>
      </c>
    </row>
    <row r="1035" spans="1:18" ht="15.75" customHeight="1" x14ac:dyDescent="0.3">
      <c r="A1035" s="128" t="s">
        <v>3441</v>
      </c>
      <c r="B1035" s="9" t="s">
        <v>3442</v>
      </c>
      <c r="C1035" s="11" t="s">
        <v>4518</v>
      </c>
      <c r="D1035" t="s">
        <v>4494</v>
      </c>
      <c r="E1035" s="3"/>
      <c r="F1035" s="15"/>
      <c r="G1035" s="15"/>
      <c r="H1035" s="3" t="s">
        <v>3443</v>
      </c>
      <c r="I1035"/>
      <c r="J1035" s="166">
        <v>10586</v>
      </c>
      <c r="K1035" s="3" t="s">
        <v>777</v>
      </c>
      <c r="L1035" s="11" t="s">
        <v>778</v>
      </c>
      <c r="M1035" s="29">
        <v>45357</v>
      </c>
      <c r="N1035" s="86">
        <v>2260.69</v>
      </c>
      <c r="O1035" s="28"/>
      <c r="P1035" s="1"/>
      <c r="Q1035" s="141"/>
      <c r="R1035" s="191" t="s">
        <v>4947</v>
      </c>
    </row>
    <row r="1036" spans="1:18" ht="15.75" customHeight="1" x14ac:dyDescent="0.3">
      <c r="A1036" s="128" t="s">
        <v>3444</v>
      </c>
      <c r="B1036" s="9" t="s">
        <v>3445</v>
      </c>
      <c r="C1036" s="11" t="s">
        <v>4518</v>
      </c>
      <c r="D1036" t="s">
        <v>4499</v>
      </c>
      <c r="E1036" s="3"/>
      <c r="F1036" s="15"/>
      <c r="G1036" s="15"/>
      <c r="H1036" s="3" t="s">
        <v>2096</v>
      </c>
      <c r="I1036"/>
      <c r="J1036" s="166">
        <v>26932</v>
      </c>
      <c r="K1036" s="3" t="s">
        <v>3446</v>
      </c>
      <c r="L1036" s="11" t="s">
        <v>3447</v>
      </c>
      <c r="M1036" s="29">
        <v>45890</v>
      </c>
      <c r="N1036" s="86">
        <v>2325</v>
      </c>
      <c r="O1036" s="28"/>
      <c r="P1036" s="1" t="s">
        <v>66</v>
      </c>
      <c r="Q1036" s="141"/>
      <c r="R1036" s="191">
        <v>2325</v>
      </c>
    </row>
    <row r="1037" spans="1:18" ht="15.75" customHeight="1" x14ac:dyDescent="0.3">
      <c r="A1037" s="128" t="s">
        <v>3448</v>
      </c>
      <c r="B1037" s="9" t="s">
        <v>3449</v>
      </c>
      <c r="C1037" s="11" t="s">
        <v>4489</v>
      </c>
      <c r="D1037" t="s">
        <v>4495</v>
      </c>
      <c r="E1037" s="3"/>
      <c r="F1037" s="15"/>
      <c r="G1037" s="15"/>
      <c r="H1037" s="3" t="s">
        <v>3450</v>
      </c>
      <c r="I1037"/>
      <c r="J1037" s="166">
        <v>3131</v>
      </c>
      <c r="K1037" s="3" t="s">
        <v>3451</v>
      </c>
      <c r="L1037" s="11" t="s">
        <v>3452</v>
      </c>
      <c r="M1037" s="29">
        <v>45356</v>
      </c>
      <c r="N1037" s="86">
        <v>5504.66</v>
      </c>
      <c r="O1037" s="28"/>
      <c r="P1037" s="1"/>
      <c r="Q1037" s="141"/>
      <c r="R1037" s="191" t="s">
        <v>4948</v>
      </c>
    </row>
    <row r="1038" spans="1:18" ht="15.75" customHeight="1" x14ac:dyDescent="0.3">
      <c r="A1038" s="128" t="s">
        <v>3453</v>
      </c>
      <c r="B1038" s="9" t="s">
        <v>3454</v>
      </c>
      <c r="C1038" s="11" t="s">
        <v>4489</v>
      </c>
      <c r="D1038" t="s">
        <v>4495</v>
      </c>
      <c r="E1038" s="3"/>
      <c r="F1038" s="15"/>
      <c r="G1038" s="15"/>
      <c r="H1038" s="3" t="s">
        <v>3455</v>
      </c>
      <c r="I1038"/>
      <c r="J1038" s="166">
        <v>118881</v>
      </c>
      <c r="K1038" s="3" t="s">
        <v>2592</v>
      </c>
      <c r="L1038" s="11" t="s">
        <v>2593</v>
      </c>
      <c r="M1038" s="29">
        <v>45302</v>
      </c>
      <c r="N1038" s="86">
        <v>31000</v>
      </c>
      <c r="O1038" s="28"/>
      <c r="P1038" s="1"/>
      <c r="Q1038" s="141"/>
      <c r="R1038" s="191">
        <v>31000</v>
      </c>
    </row>
    <row r="1039" spans="1:18" ht="15.75" customHeight="1" x14ac:dyDescent="0.3">
      <c r="A1039" s="128" t="s">
        <v>3456</v>
      </c>
      <c r="B1039" s="9" t="s">
        <v>3457</v>
      </c>
      <c r="C1039" s="11" t="s">
        <v>4518</v>
      </c>
      <c r="D1039" t="s">
        <v>4495</v>
      </c>
      <c r="E1039"/>
      <c r="F1039" t="s">
        <v>4622</v>
      </c>
      <c r="G1039"/>
      <c r="H1039" s="3" t="s">
        <v>2180</v>
      </c>
      <c r="I1039"/>
      <c r="J1039" s="166">
        <v>133405</v>
      </c>
      <c r="K1039" s="3" t="s">
        <v>683</v>
      </c>
      <c r="L1039" s="11" t="s">
        <v>684</v>
      </c>
      <c r="M1039" s="29">
        <v>45362</v>
      </c>
      <c r="N1039" s="86">
        <v>2420.63</v>
      </c>
      <c r="O1039" s="28" t="s">
        <v>20</v>
      </c>
      <c r="P1039" s="1" t="s">
        <v>66</v>
      </c>
      <c r="Q1039" s="141"/>
      <c r="R1039" s="191" t="s">
        <v>4949</v>
      </c>
    </row>
    <row r="1040" spans="1:18" ht="15.75" customHeight="1" x14ac:dyDescent="0.3">
      <c r="A1040" s="128" t="s">
        <v>3458</v>
      </c>
      <c r="B1040" s="9" t="s">
        <v>3459</v>
      </c>
      <c r="C1040" s="11" t="s">
        <v>4490</v>
      </c>
      <c r="D1040" t="s">
        <v>4492</v>
      </c>
      <c r="E1040"/>
      <c r="F1040">
        <v>60200592207</v>
      </c>
      <c r="G1040" t="s">
        <v>4617</v>
      </c>
      <c r="H1040" s="3" t="s">
        <v>3460</v>
      </c>
      <c r="I1040"/>
      <c r="J1040" s="166">
        <v>78650</v>
      </c>
      <c r="K1040" s="3" t="s">
        <v>998</v>
      </c>
      <c r="L1040" s="11" t="s">
        <v>999</v>
      </c>
      <c r="M1040" s="29">
        <v>45376</v>
      </c>
      <c r="N1040" s="86">
        <v>29700</v>
      </c>
      <c r="O1040" s="28" t="s">
        <v>20</v>
      </c>
      <c r="P1040" s="1"/>
      <c r="Q1040" s="141"/>
      <c r="R1040" s="191">
        <v>29700</v>
      </c>
    </row>
    <row r="1041" spans="1:18" ht="15.75" customHeight="1" x14ac:dyDescent="0.3">
      <c r="A1041" s="128" t="s">
        <v>3461</v>
      </c>
      <c r="B1041" s="9" t="s">
        <v>3462</v>
      </c>
      <c r="C1041" s="11" t="s">
        <v>4490</v>
      </c>
      <c r="D1041" t="s">
        <v>4492</v>
      </c>
      <c r="E1041"/>
      <c r="F1041" t="s">
        <v>3463</v>
      </c>
      <c r="G1041"/>
      <c r="H1041" s="3" t="s">
        <v>3464</v>
      </c>
      <c r="I1041"/>
      <c r="J1041" s="165">
        <v>689</v>
      </c>
      <c r="K1041" s="11" t="s">
        <v>3465</v>
      </c>
      <c r="L1041" s="15" t="s">
        <v>1326</v>
      </c>
      <c r="M1041" s="13">
        <v>45348</v>
      </c>
      <c r="N1041" s="86">
        <v>680000</v>
      </c>
      <c r="O1041" s="28" t="s">
        <v>20</v>
      </c>
      <c r="P1041" s="1"/>
      <c r="Q1041" s="141"/>
      <c r="R1041" s="191">
        <v>680000</v>
      </c>
    </row>
    <row r="1042" spans="1:18" ht="15.75" customHeight="1" x14ac:dyDescent="0.3">
      <c r="A1042" s="128" t="s">
        <v>3466</v>
      </c>
      <c r="B1042" s="9" t="s">
        <v>3467</v>
      </c>
      <c r="C1042" s="11" t="s">
        <v>4490</v>
      </c>
      <c r="D1042" t="s">
        <v>4492</v>
      </c>
      <c r="E1042"/>
      <c r="F1042" t="s">
        <v>3468</v>
      </c>
      <c r="G1042"/>
      <c r="H1042" s="3" t="s">
        <v>3464</v>
      </c>
      <c r="I1042"/>
      <c r="J1042" s="165">
        <v>689</v>
      </c>
      <c r="K1042" s="11" t="s">
        <v>3465</v>
      </c>
      <c r="L1042" s="15" t="s">
        <v>1326</v>
      </c>
      <c r="M1042" s="13">
        <v>45348</v>
      </c>
      <c r="N1042" s="86">
        <v>680000</v>
      </c>
      <c r="O1042" s="28" t="s">
        <v>20</v>
      </c>
      <c r="P1042" s="1"/>
      <c r="Q1042" s="141"/>
      <c r="R1042" s="191">
        <v>680000</v>
      </c>
    </row>
    <row r="1043" spans="1:18" ht="15.75" customHeight="1" x14ac:dyDescent="0.3">
      <c r="A1043" s="140" t="s">
        <v>3469</v>
      </c>
      <c r="B1043" s="17" t="s">
        <v>3470</v>
      </c>
      <c r="C1043" s="11" t="s">
        <v>4490</v>
      </c>
      <c r="D1043" t="s">
        <v>4495</v>
      </c>
      <c r="E1043"/>
      <c r="F1043"/>
      <c r="G1043" t="s">
        <v>4557</v>
      </c>
      <c r="H1043" s="18" t="s">
        <v>3471</v>
      </c>
      <c r="I1043"/>
      <c r="J1043" s="178"/>
      <c r="K1043" s="18"/>
      <c r="L1043" s="20"/>
      <c r="M1043" s="68"/>
      <c r="N1043" s="91">
        <v>23814</v>
      </c>
      <c r="O1043" s="25"/>
      <c r="P1043" s="26"/>
      <c r="Q1043" s="141"/>
      <c r="R1043" s="195">
        <v>23814</v>
      </c>
    </row>
    <row r="1044" spans="1:18" ht="15.75" customHeight="1" x14ac:dyDescent="0.3">
      <c r="A1044" s="128" t="s">
        <v>3472</v>
      </c>
      <c r="B1044" s="9" t="s">
        <v>3473</v>
      </c>
      <c r="C1044" s="11" t="s">
        <v>4489</v>
      </c>
      <c r="D1044" t="s">
        <v>4495</v>
      </c>
      <c r="E1044" s="132"/>
      <c r="F1044" s="15"/>
      <c r="G1044" s="15"/>
      <c r="H1044" s="3" t="s">
        <v>3474</v>
      </c>
      <c r="I1044"/>
      <c r="J1044" s="166">
        <v>118493</v>
      </c>
      <c r="K1044" s="3" t="s">
        <v>3475</v>
      </c>
      <c r="L1044" s="11" t="s">
        <v>2593</v>
      </c>
      <c r="M1044" s="29">
        <v>45274</v>
      </c>
      <c r="N1044" s="86">
        <v>115700</v>
      </c>
      <c r="O1044" s="28"/>
      <c r="P1044" s="1"/>
      <c r="Q1044" s="141"/>
      <c r="R1044" s="191">
        <v>115700</v>
      </c>
    </row>
    <row r="1045" spans="1:18" ht="15.75" customHeight="1" x14ac:dyDescent="0.3">
      <c r="A1045" s="128" t="s">
        <v>3476</v>
      </c>
      <c r="B1045" s="9" t="s">
        <v>3477</v>
      </c>
      <c r="C1045" s="11" t="s">
        <v>4490</v>
      </c>
      <c r="D1045" t="s">
        <v>4492</v>
      </c>
      <c r="E1045"/>
      <c r="F1045" t="s">
        <v>3478</v>
      </c>
      <c r="G1045"/>
      <c r="H1045" s="3" t="s">
        <v>3464</v>
      </c>
      <c r="I1045"/>
      <c r="J1045" s="165">
        <v>689</v>
      </c>
      <c r="K1045" s="11" t="s">
        <v>3465</v>
      </c>
      <c r="L1045" s="15" t="s">
        <v>1326</v>
      </c>
      <c r="M1045" s="13">
        <v>45348</v>
      </c>
      <c r="N1045" s="86">
        <v>680000</v>
      </c>
      <c r="O1045" s="28" t="s">
        <v>20</v>
      </c>
      <c r="P1045" s="1"/>
      <c r="Q1045" s="141"/>
      <c r="R1045" s="191">
        <v>680000</v>
      </c>
    </row>
    <row r="1046" spans="1:18" ht="15.75" customHeight="1" x14ac:dyDescent="0.3">
      <c r="A1046" s="128" t="s">
        <v>3479</v>
      </c>
      <c r="B1046" s="9" t="s">
        <v>3480</v>
      </c>
      <c r="C1046" s="11" t="s">
        <v>4490</v>
      </c>
      <c r="D1046" t="s">
        <v>4492</v>
      </c>
      <c r="E1046"/>
      <c r="F1046" t="s">
        <v>3481</v>
      </c>
      <c r="G1046"/>
      <c r="H1046" s="3" t="s">
        <v>3464</v>
      </c>
      <c r="I1046"/>
      <c r="J1046" s="165">
        <v>689</v>
      </c>
      <c r="K1046" s="11" t="s">
        <v>3465</v>
      </c>
      <c r="L1046" s="15" t="s">
        <v>1326</v>
      </c>
      <c r="M1046" s="13">
        <v>45348</v>
      </c>
      <c r="N1046" s="86">
        <v>680000</v>
      </c>
      <c r="O1046" s="28" t="s">
        <v>20</v>
      </c>
      <c r="P1046" s="1"/>
      <c r="Q1046" s="141"/>
      <c r="R1046" s="191">
        <v>680000</v>
      </c>
    </row>
    <row r="1047" spans="1:18" ht="15.75" customHeight="1" x14ac:dyDescent="0.3">
      <c r="A1047" s="128" t="s">
        <v>3482</v>
      </c>
      <c r="B1047" s="9" t="s">
        <v>3483</v>
      </c>
      <c r="C1047" s="11" t="s">
        <v>4519</v>
      </c>
      <c r="D1047" t="s">
        <v>4495</v>
      </c>
      <c r="E1047" s="3"/>
      <c r="F1047" s="15"/>
      <c r="G1047" s="15"/>
      <c r="H1047" s="3" t="s">
        <v>3484</v>
      </c>
      <c r="I1047"/>
      <c r="J1047" s="165">
        <v>256744</v>
      </c>
      <c r="K1047" s="11" t="s">
        <v>1089</v>
      </c>
      <c r="L1047" s="11" t="s">
        <v>1090</v>
      </c>
      <c r="M1047" s="13">
        <v>45364</v>
      </c>
      <c r="N1047" s="86">
        <v>10694.97</v>
      </c>
      <c r="O1047" s="28" t="s">
        <v>20</v>
      </c>
      <c r="P1047" s="1"/>
      <c r="Q1047" s="141"/>
      <c r="R1047" s="191" t="s">
        <v>4950</v>
      </c>
    </row>
    <row r="1048" spans="1:18" ht="15.75" customHeight="1" x14ac:dyDescent="0.3">
      <c r="A1048" s="128" t="s">
        <v>3485</v>
      </c>
      <c r="B1048" s="9" t="s">
        <v>3486</v>
      </c>
      <c r="C1048" s="11" t="s">
        <v>4519</v>
      </c>
      <c r="D1048" t="s">
        <v>4495</v>
      </c>
      <c r="E1048" s="3"/>
      <c r="F1048" s="15"/>
      <c r="G1048" s="15"/>
      <c r="H1048" s="3" t="s">
        <v>3487</v>
      </c>
      <c r="I1048"/>
      <c r="J1048" s="165">
        <v>256744</v>
      </c>
      <c r="K1048" s="11" t="s">
        <v>1089</v>
      </c>
      <c r="L1048" s="11" t="s">
        <v>3488</v>
      </c>
      <c r="M1048" s="13">
        <v>45364</v>
      </c>
      <c r="N1048" s="86">
        <v>4448.68</v>
      </c>
      <c r="O1048" s="28" t="s">
        <v>20</v>
      </c>
      <c r="P1048" s="1"/>
      <c r="Q1048" s="141"/>
      <c r="R1048" s="191" t="s">
        <v>4951</v>
      </c>
    </row>
    <row r="1049" spans="1:18" ht="15.75" customHeight="1" x14ac:dyDescent="0.3">
      <c r="A1049" s="128" t="s">
        <v>3489</v>
      </c>
      <c r="B1049" s="9" t="s">
        <v>3490</v>
      </c>
      <c r="C1049" s="11" t="s">
        <v>4519</v>
      </c>
      <c r="D1049" t="s">
        <v>4495</v>
      </c>
      <c r="E1049" s="3"/>
      <c r="F1049" s="15"/>
      <c r="G1049" s="15"/>
      <c r="H1049" s="3" t="s">
        <v>3491</v>
      </c>
      <c r="I1049"/>
      <c r="J1049" s="165">
        <v>256744</v>
      </c>
      <c r="K1049" s="11" t="s">
        <v>1089</v>
      </c>
      <c r="L1049" s="11" t="s">
        <v>3492</v>
      </c>
      <c r="M1049" s="13">
        <v>45364</v>
      </c>
      <c r="N1049" s="86">
        <v>3003.14</v>
      </c>
      <c r="O1049" s="28" t="s">
        <v>20</v>
      </c>
      <c r="P1049" s="1"/>
      <c r="Q1049" s="141"/>
      <c r="R1049" s="191" t="s">
        <v>4952</v>
      </c>
    </row>
    <row r="1050" spans="1:18" ht="15.75" customHeight="1" x14ac:dyDescent="0.3">
      <c r="A1050" s="128" t="s">
        <v>3493</v>
      </c>
      <c r="B1050" s="9" t="s">
        <v>3494</v>
      </c>
      <c r="C1050" s="11" t="s">
        <v>4519</v>
      </c>
      <c r="D1050" t="s">
        <v>4495</v>
      </c>
      <c r="E1050" s="3"/>
      <c r="F1050" s="15"/>
      <c r="G1050" s="15"/>
      <c r="H1050" s="3" t="s">
        <v>3495</v>
      </c>
      <c r="I1050"/>
      <c r="J1050" s="165">
        <v>256744</v>
      </c>
      <c r="K1050" s="11" t="s">
        <v>1089</v>
      </c>
      <c r="L1050" s="11" t="s">
        <v>3496</v>
      </c>
      <c r="M1050" s="13">
        <v>45364</v>
      </c>
      <c r="N1050" s="86">
        <v>1987.57</v>
      </c>
      <c r="O1050" s="28" t="s">
        <v>20</v>
      </c>
      <c r="P1050" s="1"/>
      <c r="Q1050" s="141"/>
      <c r="R1050" s="191" t="s">
        <v>4953</v>
      </c>
    </row>
    <row r="1051" spans="1:18" ht="15.75" customHeight="1" x14ac:dyDescent="0.3">
      <c r="A1051" s="128" t="s">
        <v>3497</v>
      </c>
      <c r="B1051" s="9" t="s">
        <v>3498</v>
      </c>
      <c r="C1051" s="11" t="s">
        <v>4519</v>
      </c>
      <c r="D1051" t="s">
        <v>4495</v>
      </c>
      <c r="E1051" s="3"/>
      <c r="F1051" s="15"/>
      <c r="G1051" s="15"/>
      <c r="H1051" s="3" t="s">
        <v>3499</v>
      </c>
      <c r="I1051"/>
      <c r="J1051" s="165">
        <v>256744</v>
      </c>
      <c r="K1051" s="11" t="s">
        <v>1089</v>
      </c>
      <c r="L1051" s="11" t="s">
        <v>3500</v>
      </c>
      <c r="M1051" s="13">
        <v>45364</v>
      </c>
      <c r="N1051" s="86">
        <v>1727.59</v>
      </c>
      <c r="O1051" s="28" t="s">
        <v>20</v>
      </c>
      <c r="P1051" s="1"/>
      <c r="Q1051" s="141"/>
      <c r="R1051" s="191" t="s">
        <v>4954</v>
      </c>
    </row>
    <row r="1052" spans="1:18" ht="15.75" customHeight="1" x14ac:dyDescent="0.3">
      <c r="A1052" s="128" t="s">
        <v>3501</v>
      </c>
      <c r="B1052" s="9" t="s">
        <v>3502</v>
      </c>
      <c r="C1052" s="11" t="s">
        <v>4519</v>
      </c>
      <c r="D1052" t="s">
        <v>4495</v>
      </c>
      <c r="E1052" s="3"/>
      <c r="F1052" s="15"/>
      <c r="G1052" s="15"/>
      <c r="H1052" s="3" t="s">
        <v>3503</v>
      </c>
      <c r="I1052"/>
      <c r="J1052" s="165">
        <v>256744</v>
      </c>
      <c r="K1052" s="11" t="s">
        <v>1089</v>
      </c>
      <c r="L1052" s="11" t="s">
        <v>3504</v>
      </c>
      <c r="M1052" s="13">
        <v>45364</v>
      </c>
      <c r="N1052" s="86">
        <v>2357.37</v>
      </c>
      <c r="O1052" s="28"/>
      <c r="P1052" s="1"/>
      <c r="Q1052" s="141"/>
      <c r="R1052" s="191" t="s">
        <v>4955</v>
      </c>
    </row>
    <row r="1053" spans="1:18" ht="15.75" customHeight="1" x14ac:dyDescent="0.3">
      <c r="A1053" s="128" t="s">
        <v>3505</v>
      </c>
      <c r="B1053" s="9" t="s">
        <v>3506</v>
      </c>
      <c r="C1053" s="11" t="s">
        <v>4519</v>
      </c>
      <c r="D1053" t="s">
        <v>4495</v>
      </c>
      <c r="E1053" s="3"/>
      <c r="F1053" s="15"/>
      <c r="G1053" s="15"/>
      <c r="H1053" s="3" t="s">
        <v>3507</v>
      </c>
      <c r="I1053"/>
      <c r="J1053" s="165">
        <v>256744</v>
      </c>
      <c r="K1053" s="11" t="s">
        <v>1089</v>
      </c>
      <c r="L1053" s="11" t="s">
        <v>3508</v>
      </c>
      <c r="M1053" s="13">
        <v>45364</v>
      </c>
      <c r="N1053" s="86">
        <v>8405.75</v>
      </c>
      <c r="O1053" s="28" t="s">
        <v>20</v>
      </c>
      <c r="P1053" s="1"/>
      <c r="Q1053" s="141"/>
      <c r="R1053" s="191" t="s">
        <v>4956</v>
      </c>
    </row>
    <row r="1054" spans="1:18" ht="15.75" customHeight="1" x14ac:dyDescent="0.3">
      <c r="A1054" s="128" t="s">
        <v>3509</v>
      </c>
      <c r="B1054" s="9" t="s">
        <v>3510</v>
      </c>
      <c r="C1054" s="11" t="s">
        <v>4519</v>
      </c>
      <c r="D1054" t="s">
        <v>4495</v>
      </c>
      <c r="E1054" s="3"/>
      <c r="F1054" s="15"/>
      <c r="G1054" s="15"/>
      <c r="H1054" s="3" t="s">
        <v>3511</v>
      </c>
      <c r="I1054"/>
      <c r="J1054" s="165">
        <v>256744</v>
      </c>
      <c r="K1054" s="11" t="s">
        <v>1089</v>
      </c>
      <c r="L1054" s="11" t="s">
        <v>3512</v>
      </c>
      <c r="M1054" s="13">
        <v>45364</v>
      </c>
      <c r="N1054" s="86">
        <v>2569.66</v>
      </c>
      <c r="O1054" s="28" t="s">
        <v>20</v>
      </c>
      <c r="P1054" s="1"/>
      <c r="Q1054" s="141"/>
      <c r="R1054" s="191" t="s">
        <v>4957</v>
      </c>
    </row>
    <row r="1055" spans="1:18" ht="15.75" customHeight="1" x14ac:dyDescent="0.3">
      <c r="A1055" s="128" t="s">
        <v>3513</v>
      </c>
      <c r="B1055" s="9" t="s">
        <v>3514</v>
      </c>
      <c r="C1055" s="11" t="s">
        <v>4519</v>
      </c>
      <c r="D1055" t="s">
        <v>4495</v>
      </c>
      <c r="E1055" s="3"/>
      <c r="F1055" s="15"/>
      <c r="G1055" s="15"/>
      <c r="H1055" s="3" t="s">
        <v>3515</v>
      </c>
      <c r="I1055"/>
      <c r="J1055" s="165">
        <v>256744</v>
      </c>
      <c r="K1055" s="11" t="s">
        <v>1089</v>
      </c>
      <c r="L1055" s="11" t="s">
        <v>3516</v>
      </c>
      <c r="M1055" s="13">
        <v>45364</v>
      </c>
      <c r="N1055" s="86">
        <v>4342.46</v>
      </c>
      <c r="O1055" s="28"/>
      <c r="P1055" s="1"/>
      <c r="Q1055" s="141"/>
      <c r="R1055" s="191" t="s">
        <v>4958</v>
      </c>
    </row>
    <row r="1056" spans="1:18" ht="15.75" customHeight="1" x14ac:dyDescent="0.3">
      <c r="A1056" s="128" t="s">
        <v>3517</v>
      </c>
      <c r="B1056" s="9" t="s">
        <v>3518</v>
      </c>
      <c r="C1056" s="11" t="s">
        <v>4519</v>
      </c>
      <c r="D1056" t="s">
        <v>4495</v>
      </c>
      <c r="E1056" s="3"/>
      <c r="F1056" s="15"/>
      <c r="G1056" s="15"/>
      <c r="H1056" s="3" t="s">
        <v>3519</v>
      </c>
      <c r="I1056"/>
      <c r="J1056" s="166">
        <v>256744</v>
      </c>
      <c r="K1056" s="11" t="s">
        <v>1089</v>
      </c>
      <c r="L1056" s="11" t="s">
        <v>3520</v>
      </c>
      <c r="M1056" s="13">
        <v>45364</v>
      </c>
      <c r="N1056" s="86">
        <v>2143.87</v>
      </c>
      <c r="O1056" s="28" t="s">
        <v>20</v>
      </c>
      <c r="P1056" s="1"/>
      <c r="Q1056" s="141"/>
      <c r="R1056" s="191" t="s">
        <v>4959</v>
      </c>
    </row>
    <row r="1057" spans="1:18" ht="15.75" customHeight="1" x14ac:dyDescent="0.3">
      <c r="A1057" s="128" t="s">
        <v>3521</v>
      </c>
      <c r="B1057" s="9" t="s">
        <v>3522</v>
      </c>
      <c r="C1057" s="11" t="s">
        <v>4519</v>
      </c>
      <c r="D1057" t="s">
        <v>4495</v>
      </c>
      <c r="E1057" s="3"/>
      <c r="F1057" s="15"/>
      <c r="G1057" s="15"/>
      <c r="H1057" s="3" t="s">
        <v>3487</v>
      </c>
      <c r="I1057"/>
      <c r="J1057" s="166">
        <v>257083</v>
      </c>
      <c r="K1057" s="3" t="s">
        <v>1089</v>
      </c>
      <c r="L1057" s="11" t="s">
        <v>1090</v>
      </c>
      <c r="M1057" s="29">
        <v>45369</v>
      </c>
      <c r="N1057" s="86">
        <v>4699</v>
      </c>
      <c r="O1057" s="28" t="s">
        <v>20</v>
      </c>
      <c r="P1057" s="1"/>
      <c r="Q1057" s="141"/>
      <c r="R1057" s="191">
        <v>4699</v>
      </c>
    </row>
    <row r="1058" spans="1:18" ht="15.75" customHeight="1" x14ac:dyDescent="0.3">
      <c r="A1058" s="9" t="s">
        <v>3523</v>
      </c>
      <c r="B1058" s="9" t="s">
        <v>3523</v>
      </c>
      <c r="C1058" s="11" t="s">
        <v>4520</v>
      </c>
      <c r="D1058" t="s">
        <v>4494</v>
      </c>
      <c r="E1058" s="3"/>
      <c r="F1058" s="15"/>
      <c r="G1058" s="15"/>
      <c r="H1058" s="3" t="s">
        <v>195</v>
      </c>
      <c r="I1058"/>
      <c r="J1058" s="166">
        <v>31928</v>
      </c>
      <c r="K1058" s="3" t="s">
        <v>196</v>
      </c>
      <c r="L1058" s="11" t="s">
        <v>197</v>
      </c>
      <c r="M1058" s="29">
        <v>45887</v>
      </c>
      <c r="N1058" s="86">
        <v>1899.9</v>
      </c>
      <c r="O1058" s="28"/>
      <c r="P1058" s="1" t="s">
        <v>44</v>
      </c>
      <c r="Q1058" s="141"/>
      <c r="R1058" s="191" t="s">
        <v>4767</v>
      </c>
    </row>
    <row r="1059" spans="1:18" ht="15.75" customHeight="1" x14ac:dyDescent="0.3">
      <c r="A1059" s="128" t="s">
        <v>3524</v>
      </c>
      <c r="B1059" s="9" t="s">
        <v>3525</v>
      </c>
      <c r="C1059" s="11" t="s">
        <v>4487</v>
      </c>
      <c r="D1059" t="s">
        <v>4495</v>
      </c>
      <c r="E1059" t="s">
        <v>3526</v>
      </c>
      <c r="F1059" t="s">
        <v>3527</v>
      </c>
      <c r="G1059" t="s">
        <v>4626</v>
      </c>
      <c r="H1059" s="3" t="s">
        <v>3528</v>
      </c>
      <c r="I1059"/>
      <c r="J1059" s="174"/>
      <c r="K1059" s="11"/>
      <c r="L1059" s="15"/>
      <c r="M1059" s="34"/>
      <c r="N1059" s="86">
        <v>169293.3</v>
      </c>
      <c r="O1059" s="28" t="s">
        <v>20</v>
      </c>
      <c r="P1059" s="1" t="s">
        <v>78</v>
      </c>
      <c r="Q1059" s="141"/>
      <c r="R1059" s="191" t="s">
        <v>4960</v>
      </c>
    </row>
    <row r="1060" spans="1:18" ht="15.75" customHeight="1" x14ac:dyDescent="0.3">
      <c r="A1060" s="133" t="s">
        <v>3529</v>
      </c>
      <c r="B1060" s="9" t="s">
        <v>3529</v>
      </c>
      <c r="C1060" s="11" t="s">
        <v>4489</v>
      </c>
      <c r="D1060" t="s">
        <v>4494</v>
      </c>
      <c r="E1060" s="3"/>
      <c r="F1060" s="15"/>
      <c r="G1060" s="15"/>
      <c r="H1060" s="3" t="s">
        <v>3530</v>
      </c>
      <c r="I1060"/>
      <c r="J1060" s="166">
        <v>1479</v>
      </c>
      <c r="K1060" s="3" t="s">
        <v>3531</v>
      </c>
      <c r="L1060" s="11" t="s">
        <v>2125</v>
      </c>
      <c r="M1060" s="29">
        <v>45365</v>
      </c>
      <c r="N1060" s="86">
        <v>7651</v>
      </c>
      <c r="O1060" s="28"/>
      <c r="P1060" s="1"/>
      <c r="Q1060" s="141"/>
      <c r="R1060" s="191">
        <v>7651</v>
      </c>
    </row>
    <row r="1061" spans="1:18" ht="15.75" customHeight="1" x14ac:dyDescent="0.3">
      <c r="A1061" s="133" t="s">
        <v>3532</v>
      </c>
      <c r="B1061" s="9" t="s">
        <v>3532</v>
      </c>
      <c r="C1061" s="11" t="s">
        <v>4519</v>
      </c>
      <c r="D1061" t="s">
        <v>4495</v>
      </c>
      <c r="E1061" s="3"/>
      <c r="F1061" s="15"/>
      <c r="G1061" s="15"/>
      <c r="H1061" s="3" t="s">
        <v>3533</v>
      </c>
      <c r="I1061"/>
      <c r="J1061" s="166">
        <v>15356323</v>
      </c>
      <c r="K1061" s="3" t="s">
        <v>3534</v>
      </c>
      <c r="L1061" s="11" t="s">
        <v>3535</v>
      </c>
      <c r="M1061" s="29">
        <v>45394</v>
      </c>
      <c r="N1061" s="86">
        <v>2999</v>
      </c>
      <c r="O1061" s="28" t="s">
        <v>20</v>
      </c>
      <c r="P1061" s="1"/>
      <c r="Q1061" s="141"/>
      <c r="R1061" s="191">
        <v>2999</v>
      </c>
    </row>
    <row r="1062" spans="1:18" ht="15.75" customHeight="1" x14ac:dyDescent="0.3">
      <c r="A1062" s="133" t="s">
        <v>3536</v>
      </c>
      <c r="B1062" s="9" t="s">
        <v>3536</v>
      </c>
      <c r="C1062" s="11" t="s">
        <v>4519</v>
      </c>
      <c r="D1062" t="s">
        <v>4495</v>
      </c>
      <c r="E1062" s="3"/>
      <c r="F1062" s="15"/>
      <c r="G1062" s="15"/>
      <c r="H1062" s="3" t="s">
        <v>3537</v>
      </c>
      <c r="I1062"/>
      <c r="J1062" s="166">
        <v>257747</v>
      </c>
      <c r="K1062" s="3" t="s">
        <v>1089</v>
      </c>
      <c r="L1062" s="11" t="s">
        <v>1090</v>
      </c>
      <c r="M1062" s="29">
        <v>45377</v>
      </c>
      <c r="N1062" s="86">
        <v>5300</v>
      </c>
      <c r="O1062" s="28"/>
      <c r="P1062" s="1"/>
      <c r="Q1062" s="141"/>
      <c r="R1062" s="191">
        <v>5300</v>
      </c>
    </row>
    <row r="1063" spans="1:18" ht="15.75" customHeight="1" x14ac:dyDescent="0.3">
      <c r="A1063" s="133" t="s">
        <v>3538</v>
      </c>
      <c r="B1063" s="9" t="s">
        <v>3538</v>
      </c>
      <c r="C1063" s="11" t="s">
        <v>4487</v>
      </c>
      <c r="D1063" t="s">
        <v>4495</v>
      </c>
      <c r="E1063" t="s">
        <v>3539</v>
      </c>
      <c r="F1063" t="s">
        <v>3540</v>
      </c>
      <c r="G1063" t="s">
        <v>4626</v>
      </c>
      <c r="H1063" s="3" t="s">
        <v>3541</v>
      </c>
      <c r="I1063" s="160"/>
      <c r="J1063" s="166">
        <v>9818</v>
      </c>
      <c r="K1063" s="3" t="s">
        <v>203</v>
      </c>
      <c r="L1063" s="11" t="s">
        <v>3542</v>
      </c>
      <c r="M1063" s="29">
        <v>45422</v>
      </c>
      <c r="N1063" s="86">
        <v>220000</v>
      </c>
      <c r="O1063" s="28" t="s">
        <v>20</v>
      </c>
      <c r="P1063" s="1" t="s">
        <v>66</v>
      </c>
      <c r="Q1063" s="141"/>
      <c r="R1063" s="191">
        <v>220000</v>
      </c>
    </row>
    <row r="1064" spans="1:18" ht="15.75" customHeight="1" x14ac:dyDescent="0.3">
      <c r="A1064" s="133" t="s">
        <v>3543</v>
      </c>
      <c r="B1064" s="9" t="s">
        <v>3543</v>
      </c>
      <c r="C1064" s="11" t="s">
        <v>4490</v>
      </c>
      <c r="D1064" t="s">
        <v>4492</v>
      </c>
      <c r="E1064"/>
      <c r="F1064" t="s">
        <v>3544</v>
      </c>
      <c r="G1064" t="s">
        <v>4557</v>
      </c>
      <c r="H1064" s="3" t="s">
        <v>3464</v>
      </c>
      <c r="I1064"/>
      <c r="J1064" s="165">
        <v>689</v>
      </c>
      <c r="K1064" s="11" t="s">
        <v>3465</v>
      </c>
      <c r="L1064" s="15" t="s">
        <v>1326</v>
      </c>
      <c r="M1064" s="13">
        <v>45348</v>
      </c>
      <c r="N1064" s="86">
        <v>680000</v>
      </c>
      <c r="O1064" s="28" t="s">
        <v>20</v>
      </c>
      <c r="P1064" s="1"/>
      <c r="Q1064" s="141"/>
      <c r="R1064" s="191">
        <v>680000</v>
      </c>
    </row>
    <row r="1065" spans="1:18" ht="15.75" customHeight="1" x14ac:dyDescent="0.3">
      <c r="A1065" s="133" t="s">
        <v>3545</v>
      </c>
      <c r="B1065" s="9" t="s">
        <v>3545</v>
      </c>
      <c r="C1065" s="11" t="s">
        <v>4490</v>
      </c>
      <c r="D1065" t="s">
        <v>4492</v>
      </c>
      <c r="E1065"/>
      <c r="F1065" t="s">
        <v>3546</v>
      </c>
      <c r="G1065" t="s">
        <v>4557</v>
      </c>
      <c r="H1065" s="3" t="s">
        <v>3464</v>
      </c>
      <c r="I1065"/>
      <c r="J1065" s="165">
        <v>689</v>
      </c>
      <c r="K1065" s="11" t="s">
        <v>3465</v>
      </c>
      <c r="L1065" s="15" t="s">
        <v>1326</v>
      </c>
      <c r="M1065" s="13">
        <v>45377</v>
      </c>
      <c r="N1065" s="86">
        <v>680000</v>
      </c>
      <c r="O1065" s="28" t="s">
        <v>20</v>
      </c>
      <c r="P1065" s="1"/>
      <c r="Q1065" s="141"/>
      <c r="R1065" s="191">
        <v>680000</v>
      </c>
    </row>
    <row r="1066" spans="1:18" ht="15.75" customHeight="1" x14ac:dyDescent="0.3">
      <c r="A1066" s="133" t="s">
        <v>3547</v>
      </c>
      <c r="B1066" s="9" t="s">
        <v>3547</v>
      </c>
      <c r="C1066" s="11" t="s">
        <v>4488</v>
      </c>
      <c r="D1066" t="s">
        <v>4495</v>
      </c>
      <c r="E1066"/>
      <c r="F1066" t="s">
        <v>4632</v>
      </c>
      <c r="G1066"/>
      <c r="H1066" s="3" t="s">
        <v>3548</v>
      </c>
      <c r="I1066"/>
      <c r="J1066" s="165"/>
      <c r="K1066" s="11"/>
      <c r="L1066" s="15"/>
      <c r="M1066" s="13">
        <v>45291</v>
      </c>
      <c r="N1066" s="96">
        <v>615411.6</v>
      </c>
      <c r="O1066" s="25"/>
      <c r="P1066" s="1"/>
      <c r="Q1066" s="141"/>
      <c r="R1066" s="200" t="s">
        <v>4961</v>
      </c>
    </row>
    <row r="1067" spans="1:18" ht="15.75" customHeight="1" x14ac:dyDescent="0.3">
      <c r="A1067" s="133" t="s">
        <v>3549</v>
      </c>
      <c r="B1067" s="131" t="s">
        <v>3549</v>
      </c>
      <c r="C1067" s="11" t="s">
        <v>4489</v>
      </c>
      <c r="D1067" t="s">
        <v>4494</v>
      </c>
      <c r="E1067" s="160"/>
      <c r="F1067" s="160"/>
      <c r="G1067"/>
      <c r="H1067" s="3" t="s">
        <v>3550</v>
      </c>
      <c r="I1067"/>
      <c r="J1067" s="165"/>
      <c r="K1067" s="11" t="s">
        <v>3551</v>
      </c>
      <c r="L1067" s="15" t="s">
        <v>3552</v>
      </c>
      <c r="M1067" s="13">
        <v>45291</v>
      </c>
      <c r="N1067" s="96">
        <v>63068</v>
      </c>
      <c r="O1067" s="25"/>
      <c r="P1067" s="1"/>
      <c r="Q1067" s="141"/>
      <c r="R1067" s="200">
        <v>63068</v>
      </c>
    </row>
    <row r="1068" spans="1:18" ht="15.75" customHeight="1" x14ac:dyDescent="0.3">
      <c r="A1068" s="134" t="s">
        <v>3553</v>
      </c>
      <c r="B1068" s="16" t="s">
        <v>3553</v>
      </c>
      <c r="C1068" s="18" t="s">
        <v>4488</v>
      </c>
      <c r="D1068" t="s">
        <v>4492</v>
      </c>
      <c r="E1068" s="3"/>
      <c r="F1068" s="15"/>
      <c r="G1068" s="15"/>
      <c r="H1068" s="19" t="s">
        <v>3554</v>
      </c>
      <c r="I1068"/>
      <c r="J1068" s="165"/>
      <c r="K1068" s="18"/>
      <c r="L1068" s="20" t="s">
        <v>3555</v>
      </c>
      <c r="M1068" s="21">
        <v>45291</v>
      </c>
      <c r="N1068" s="97">
        <v>246976.24</v>
      </c>
      <c r="O1068" s="25"/>
      <c r="P1068" s="24" t="s">
        <v>91</v>
      </c>
      <c r="Q1068" s="141"/>
      <c r="R1068" s="201" t="s">
        <v>4962</v>
      </c>
    </row>
    <row r="1069" spans="1:18" ht="15.75" customHeight="1" x14ac:dyDescent="0.3">
      <c r="A1069" s="134" t="s">
        <v>3556</v>
      </c>
      <c r="B1069" s="16" t="s">
        <v>3556</v>
      </c>
      <c r="C1069" s="18" t="s">
        <v>4488</v>
      </c>
      <c r="D1069" t="s">
        <v>4495</v>
      </c>
      <c r="E1069"/>
      <c r="F1069"/>
      <c r="G1069"/>
      <c r="H1069" s="19" t="s">
        <v>3557</v>
      </c>
      <c r="I1069"/>
      <c r="J1069" s="165"/>
      <c r="K1069" s="18"/>
      <c r="L1069" s="20" t="s">
        <v>3555</v>
      </c>
      <c r="M1069" s="21">
        <v>45291</v>
      </c>
      <c r="N1069" s="97">
        <v>262508.03000000003</v>
      </c>
      <c r="O1069" s="25"/>
      <c r="P1069" s="24" t="s">
        <v>66</v>
      </c>
      <c r="Q1069" s="141"/>
      <c r="R1069" s="201" t="s">
        <v>4963</v>
      </c>
    </row>
    <row r="1070" spans="1:18" ht="15.75" customHeight="1" x14ac:dyDescent="0.3">
      <c r="A1070" s="133" t="s">
        <v>3558</v>
      </c>
      <c r="B1070" s="9" t="s">
        <v>3558</v>
      </c>
      <c r="C1070" s="11" t="s">
        <v>4488</v>
      </c>
      <c r="D1070" t="s">
        <v>4495</v>
      </c>
      <c r="E1070"/>
      <c r="F1070" t="s">
        <v>4633</v>
      </c>
      <c r="G1070"/>
      <c r="H1070" s="3" t="s">
        <v>3559</v>
      </c>
      <c r="I1070"/>
      <c r="J1070" s="165"/>
      <c r="K1070" s="11"/>
      <c r="L1070" s="15"/>
      <c r="M1070" s="13"/>
      <c r="N1070" s="86">
        <v>0</v>
      </c>
      <c r="O1070" s="25"/>
      <c r="P1070" s="1" t="s">
        <v>66</v>
      </c>
      <c r="Q1070" s="141"/>
      <c r="R1070" s="191">
        <v>0</v>
      </c>
    </row>
    <row r="1071" spans="1:18" ht="15.75" customHeight="1" x14ac:dyDescent="0.3">
      <c r="A1071" s="134" t="s">
        <v>3560</v>
      </c>
      <c r="B1071" s="16" t="s">
        <v>3560</v>
      </c>
      <c r="C1071" s="11" t="s">
        <v>4489</v>
      </c>
      <c r="D1071" t="s">
        <v>4495</v>
      </c>
      <c r="E1071"/>
      <c r="F1071" t="s">
        <v>4634</v>
      </c>
      <c r="G1071"/>
      <c r="H1071" s="19" t="s">
        <v>3561</v>
      </c>
      <c r="I1071"/>
      <c r="J1071" s="177"/>
      <c r="K1071" s="18" t="s">
        <v>3562</v>
      </c>
      <c r="L1071" s="20" t="s">
        <v>3563</v>
      </c>
      <c r="M1071" s="21"/>
      <c r="N1071" s="97">
        <v>36932.959999999999</v>
      </c>
      <c r="O1071" s="75"/>
      <c r="P1071" s="24" t="s">
        <v>66</v>
      </c>
      <c r="Q1071" s="141"/>
      <c r="R1071" s="201" t="s">
        <v>4964</v>
      </c>
    </row>
    <row r="1072" spans="1:18" ht="15.75" customHeight="1" x14ac:dyDescent="0.3">
      <c r="A1072" s="133" t="s">
        <v>3564</v>
      </c>
      <c r="B1072" s="9" t="s">
        <v>3564</v>
      </c>
      <c r="C1072" s="11" t="s">
        <v>4489</v>
      </c>
      <c r="D1072" t="s">
        <v>4495</v>
      </c>
      <c r="E1072" s="3"/>
      <c r="F1072" s="15"/>
      <c r="G1072" s="15"/>
      <c r="H1072" s="3" t="s">
        <v>3565</v>
      </c>
      <c r="I1072" t="s">
        <v>4548</v>
      </c>
      <c r="J1072" s="165">
        <v>2080</v>
      </c>
      <c r="K1072" s="3" t="s">
        <v>3566</v>
      </c>
      <c r="L1072" s="11" t="s">
        <v>848</v>
      </c>
      <c r="M1072" s="29">
        <v>45890</v>
      </c>
      <c r="N1072" s="86">
        <v>19900</v>
      </c>
      <c r="O1072" s="28"/>
      <c r="P1072" s="24" t="s">
        <v>66</v>
      </c>
      <c r="Q1072" s="141"/>
      <c r="R1072" s="191">
        <v>19900</v>
      </c>
    </row>
    <row r="1073" spans="1:18" ht="15.75" customHeight="1" x14ac:dyDescent="0.3">
      <c r="A1073" s="132" t="s">
        <v>3567</v>
      </c>
      <c r="B1073" s="3" t="s">
        <v>3567</v>
      </c>
      <c r="C1073" s="3" t="s">
        <v>4519</v>
      </c>
      <c r="D1073" t="s">
        <v>4495</v>
      </c>
      <c r="E1073" s="3"/>
      <c r="F1073" s="14"/>
      <c r="G1073" s="14"/>
      <c r="H1073" s="3" t="s">
        <v>3568</v>
      </c>
      <c r="I1073"/>
      <c r="J1073" s="166">
        <v>24806</v>
      </c>
      <c r="K1073" s="3" t="s">
        <v>3446</v>
      </c>
      <c r="L1073" s="11" t="s">
        <v>3447</v>
      </c>
      <c r="M1073" s="29">
        <v>45819</v>
      </c>
      <c r="N1073" s="86">
        <v>6100</v>
      </c>
      <c r="O1073" s="28"/>
      <c r="P1073" s="1" t="s">
        <v>66</v>
      </c>
      <c r="Q1073" s="141"/>
      <c r="R1073" s="191">
        <v>6100</v>
      </c>
    </row>
    <row r="1074" spans="1:18" ht="15.75" customHeight="1" x14ac:dyDescent="0.3">
      <c r="A1074" s="133" t="s">
        <v>3569</v>
      </c>
      <c r="B1074" s="9" t="s">
        <v>3569</v>
      </c>
      <c r="C1074" s="11" t="s">
        <v>4488</v>
      </c>
      <c r="D1074" t="s">
        <v>4495</v>
      </c>
      <c r="E1074"/>
      <c r="F1074" t="s">
        <v>4704</v>
      </c>
      <c r="G1074"/>
      <c r="H1074" s="3" t="s">
        <v>3570</v>
      </c>
      <c r="I1074"/>
      <c r="J1074" s="165"/>
      <c r="K1074" s="11"/>
      <c r="L1074" s="15" t="s">
        <v>3563</v>
      </c>
      <c r="M1074" s="13">
        <v>45291</v>
      </c>
      <c r="N1074" s="96">
        <v>149014.57</v>
      </c>
      <c r="O1074" s="25"/>
      <c r="P1074" s="1" t="s">
        <v>66</v>
      </c>
      <c r="Q1074" s="141"/>
      <c r="R1074" s="200" t="s">
        <v>4965</v>
      </c>
    </row>
    <row r="1075" spans="1:18" ht="15.75" customHeight="1" x14ac:dyDescent="0.3">
      <c r="A1075" s="133" t="s">
        <v>3571</v>
      </c>
      <c r="B1075" s="9" t="s">
        <v>3571</v>
      </c>
      <c r="C1075" s="11" t="s">
        <v>4488</v>
      </c>
      <c r="D1075" t="s">
        <v>4495</v>
      </c>
      <c r="E1075"/>
      <c r="F1075"/>
      <c r="G1075"/>
      <c r="H1075" s="3" t="s">
        <v>3572</v>
      </c>
      <c r="I1075"/>
      <c r="J1075" s="165"/>
      <c r="K1075" s="11"/>
      <c r="L1075" s="15"/>
      <c r="M1075" s="13">
        <v>45565</v>
      </c>
      <c r="N1075" s="96">
        <v>29204</v>
      </c>
      <c r="O1075" s="25"/>
      <c r="P1075" s="1" t="s">
        <v>66</v>
      </c>
      <c r="Q1075" s="141"/>
      <c r="R1075" s="200">
        <v>29204</v>
      </c>
    </row>
    <row r="1076" spans="1:18" ht="15.75" customHeight="1" x14ac:dyDescent="0.3">
      <c r="A1076" s="133" t="s">
        <v>3573</v>
      </c>
      <c r="B1076" s="9" t="s">
        <v>3573</v>
      </c>
      <c r="C1076" s="11" t="s">
        <v>4488</v>
      </c>
      <c r="D1076" t="s">
        <v>4492</v>
      </c>
      <c r="E1076"/>
      <c r="F1076"/>
      <c r="G1076"/>
      <c r="H1076" s="3" t="s">
        <v>3574</v>
      </c>
      <c r="I1076"/>
      <c r="J1076" s="165"/>
      <c r="K1076" s="11"/>
      <c r="L1076" s="15"/>
      <c r="M1076" s="13">
        <v>45565</v>
      </c>
      <c r="N1076" s="96">
        <v>59852</v>
      </c>
      <c r="O1076" s="25"/>
      <c r="P1076" s="1" t="s">
        <v>91</v>
      </c>
      <c r="Q1076" s="141"/>
      <c r="R1076" s="200">
        <v>59852</v>
      </c>
    </row>
    <row r="1077" spans="1:18" ht="15.75" customHeight="1" x14ac:dyDescent="0.3">
      <c r="A1077" s="134" t="s">
        <v>3575</v>
      </c>
      <c r="B1077" s="16" t="s">
        <v>3575</v>
      </c>
      <c r="C1077" s="11" t="s">
        <v>4489</v>
      </c>
      <c r="D1077" t="s">
        <v>4492</v>
      </c>
      <c r="E1077" s="19"/>
      <c r="F1077" s="20"/>
      <c r="G1077" s="20"/>
      <c r="H1077" s="19" t="s">
        <v>3576</v>
      </c>
      <c r="I1077"/>
      <c r="J1077" s="177"/>
      <c r="K1077" s="18"/>
      <c r="L1077" s="20"/>
      <c r="M1077" s="21"/>
      <c r="N1077" s="97">
        <v>6073</v>
      </c>
      <c r="O1077" s="25"/>
      <c r="P1077" s="24" t="s">
        <v>91</v>
      </c>
      <c r="Q1077" s="141"/>
      <c r="R1077" s="201">
        <v>6073</v>
      </c>
    </row>
    <row r="1078" spans="1:18" ht="15.75" customHeight="1" x14ac:dyDescent="0.3">
      <c r="A1078" s="133" t="s">
        <v>3577</v>
      </c>
      <c r="B1078" s="9" t="s">
        <v>3577</v>
      </c>
      <c r="C1078" s="11" t="s">
        <v>4488</v>
      </c>
      <c r="D1078" t="s">
        <v>4495</v>
      </c>
      <c r="E1078"/>
      <c r="F1078"/>
      <c r="G1078"/>
      <c r="H1078" s="3" t="s">
        <v>3578</v>
      </c>
      <c r="I1078"/>
      <c r="J1078" s="165"/>
      <c r="K1078" s="11"/>
      <c r="L1078" s="15"/>
      <c r="M1078" s="13">
        <v>45565</v>
      </c>
      <c r="N1078" s="96">
        <v>834862</v>
      </c>
      <c r="O1078" s="25"/>
      <c r="P1078" s="1" t="s">
        <v>66</v>
      </c>
      <c r="Q1078" s="141"/>
      <c r="R1078" s="200">
        <v>834862</v>
      </c>
    </row>
    <row r="1079" spans="1:18" ht="15.75" customHeight="1" x14ac:dyDescent="0.3">
      <c r="A1079" s="154" t="s">
        <v>3579</v>
      </c>
      <c r="B1079" s="69" t="s">
        <v>3580</v>
      </c>
      <c r="C1079" s="11" t="s">
        <v>4490</v>
      </c>
      <c r="D1079" t="s">
        <v>4492</v>
      </c>
      <c r="E1079"/>
      <c r="F1079" t="s">
        <v>3581</v>
      </c>
      <c r="G1079" t="s">
        <v>4629</v>
      </c>
      <c r="H1079" s="3" t="s">
        <v>1026</v>
      </c>
      <c r="I1079"/>
      <c r="J1079" s="166">
        <v>6962</v>
      </c>
      <c r="K1079" s="15" t="s">
        <v>176</v>
      </c>
      <c r="L1079" s="15" t="s">
        <v>3582</v>
      </c>
      <c r="M1079" s="29">
        <v>44096</v>
      </c>
      <c r="N1079" s="86">
        <v>825000</v>
      </c>
      <c r="O1079" s="52" t="s">
        <v>20</v>
      </c>
      <c r="P1079" s="1"/>
      <c r="Q1079" s="141"/>
      <c r="R1079" s="191">
        <v>825000</v>
      </c>
    </row>
    <row r="1080" spans="1:18" ht="15.75" customHeight="1" x14ac:dyDescent="0.3">
      <c r="A1080" s="135" t="s">
        <v>3583</v>
      </c>
      <c r="B1080" s="16" t="s">
        <v>3583</v>
      </c>
      <c r="C1080" s="11" t="s">
        <v>4489</v>
      </c>
      <c r="D1080" t="s">
        <v>4492</v>
      </c>
      <c r="E1080"/>
      <c r="F1080" t="s">
        <v>4635</v>
      </c>
      <c r="G1080"/>
      <c r="H1080" s="19" t="s">
        <v>3584</v>
      </c>
      <c r="I1080"/>
      <c r="J1080" s="177"/>
      <c r="K1080" s="18" t="s">
        <v>203</v>
      </c>
      <c r="L1080" s="20" t="s">
        <v>3542</v>
      </c>
      <c r="M1080" s="21"/>
      <c r="N1080" s="97">
        <v>178304.83</v>
      </c>
      <c r="O1080" s="25"/>
      <c r="P1080" s="24" t="s">
        <v>91</v>
      </c>
      <c r="Q1080" s="141"/>
      <c r="R1080" s="201" t="s">
        <v>4966</v>
      </c>
    </row>
    <row r="1081" spans="1:18" ht="15.75" customHeight="1" x14ac:dyDescent="0.3">
      <c r="A1081" s="135" t="s">
        <v>3585</v>
      </c>
      <c r="B1081" s="16" t="s">
        <v>3585</v>
      </c>
      <c r="C1081" s="11" t="s">
        <v>4489</v>
      </c>
      <c r="D1081" t="s">
        <v>4495</v>
      </c>
      <c r="E1081"/>
      <c r="F1081" t="s">
        <v>4636</v>
      </c>
      <c r="G1081"/>
      <c r="H1081" s="19" t="s">
        <v>3586</v>
      </c>
      <c r="I1081"/>
      <c r="J1081" s="177"/>
      <c r="K1081" s="18" t="s">
        <v>203</v>
      </c>
      <c r="L1081" s="20" t="s">
        <v>3542</v>
      </c>
      <c r="M1081" s="21"/>
      <c r="N1081" s="97">
        <v>1252253</v>
      </c>
      <c r="O1081" s="25"/>
      <c r="P1081" s="24" t="s">
        <v>66</v>
      </c>
      <c r="Q1081" s="141"/>
      <c r="R1081" s="201">
        <v>1252253</v>
      </c>
    </row>
    <row r="1082" spans="1:18" ht="15.75" customHeight="1" x14ac:dyDescent="0.3">
      <c r="A1082" s="131" t="s">
        <v>3587</v>
      </c>
      <c r="B1082" s="9" t="s">
        <v>3587</v>
      </c>
      <c r="C1082" s="11" t="s">
        <v>4489</v>
      </c>
      <c r="D1082" t="s">
        <v>4492</v>
      </c>
      <c r="E1082"/>
      <c r="F1082" t="s">
        <v>4637</v>
      </c>
      <c r="G1082"/>
      <c r="H1082" s="3" t="s">
        <v>3588</v>
      </c>
      <c r="I1082"/>
      <c r="J1082" s="165"/>
      <c r="K1082" s="11"/>
      <c r="L1082" s="15"/>
      <c r="M1082" s="13">
        <v>45565</v>
      </c>
      <c r="N1082" s="96">
        <v>54541</v>
      </c>
      <c r="O1082" s="25"/>
      <c r="P1082" s="1" t="s">
        <v>91</v>
      </c>
      <c r="Q1082" s="141"/>
      <c r="R1082" s="200">
        <v>54541</v>
      </c>
    </row>
    <row r="1083" spans="1:18" ht="15.75" customHeight="1" x14ac:dyDescent="0.3">
      <c r="A1083" s="131" t="s">
        <v>3589</v>
      </c>
      <c r="B1083" s="9" t="s">
        <v>3589</v>
      </c>
      <c r="C1083" s="11" t="s">
        <v>4488</v>
      </c>
      <c r="D1083" t="s">
        <v>4494</v>
      </c>
      <c r="E1083"/>
      <c r="F1083" t="s">
        <v>4705</v>
      </c>
      <c r="G1083"/>
      <c r="H1083" s="3" t="s">
        <v>3590</v>
      </c>
      <c r="I1083" s="160"/>
      <c r="J1083" s="165"/>
      <c r="K1083" s="11"/>
      <c r="L1083" s="15"/>
      <c r="M1083" s="13">
        <v>45565</v>
      </c>
      <c r="N1083" s="96">
        <v>151676</v>
      </c>
      <c r="O1083" s="25"/>
      <c r="P1083" s="1" t="s">
        <v>44</v>
      </c>
      <c r="Q1083" s="141"/>
      <c r="R1083" s="200">
        <v>151676</v>
      </c>
    </row>
    <row r="1084" spans="1:18" ht="15.75" customHeight="1" x14ac:dyDescent="0.3">
      <c r="A1084" s="131" t="s">
        <v>3591</v>
      </c>
      <c r="B1084" s="9" t="s">
        <v>3591</v>
      </c>
      <c r="C1084" s="11" t="s">
        <v>4488</v>
      </c>
      <c r="D1084" t="s">
        <v>4492</v>
      </c>
      <c r="E1084"/>
      <c r="F1084" t="s">
        <v>4638</v>
      </c>
      <c r="G1084"/>
      <c r="H1084" s="3" t="s">
        <v>3592</v>
      </c>
      <c r="I1084"/>
      <c r="J1084" s="165"/>
      <c r="K1084" s="11"/>
      <c r="L1084" s="15"/>
      <c r="M1084" s="13">
        <v>45565</v>
      </c>
      <c r="N1084" s="96">
        <v>60448</v>
      </c>
      <c r="O1084" s="25"/>
      <c r="P1084" s="1" t="s">
        <v>91</v>
      </c>
      <c r="Q1084" s="141"/>
      <c r="R1084" s="200">
        <v>60448</v>
      </c>
    </row>
    <row r="1085" spans="1:18" ht="15.75" customHeight="1" x14ac:dyDescent="0.3">
      <c r="A1085" s="135" t="s">
        <v>3593</v>
      </c>
      <c r="B1085" s="16" t="s">
        <v>3593</v>
      </c>
      <c r="C1085" s="18" t="s">
        <v>4488</v>
      </c>
      <c r="D1085" t="s">
        <v>4495</v>
      </c>
      <c r="E1085"/>
      <c r="F1085"/>
      <c r="G1085"/>
      <c r="H1085" s="19" t="s">
        <v>3594</v>
      </c>
      <c r="I1085"/>
      <c r="J1085" s="165"/>
      <c r="K1085" s="18"/>
      <c r="L1085" s="20" t="s">
        <v>3563</v>
      </c>
      <c r="M1085" s="21">
        <v>45291</v>
      </c>
      <c r="N1085" s="97">
        <v>193822.67</v>
      </c>
      <c r="O1085" s="25"/>
      <c r="P1085" s="24" t="s">
        <v>66</v>
      </c>
      <c r="Q1085" s="141"/>
      <c r="R1085" s="201" t="s">
        <v>4967</v>
      </c>
    </row>
    <row r="1086" spans="1:18" ht="15.75" customHeight="1" x14ac:dyDescent="0.3">
      <c r="A1086" s="131" t="s">
        <v>3595</v>
      </c>
      <c r="B1086" s="9" t="s">
        <v>3595</v>
      </c>
      <c r="C1086" s="11" t="s">
        <v>4488</v>
      </c>
      <c r="D1086" t="s">
        <v>4492</v>
      </c>
      <c r="E1086"/>
      <c r="F1086" t="s">
        <v>4639</v>
      </c>
      <c r="G1086"/>
      <c r="H1086" s="3" t="s">
        <v>3596</v>
      </c>
      <c r="I1086"/>
      <c r="J1086" s="165"/>
      <c r="K1086" s="11"/>
      <c r="L1086" s="15"/>
      <c r="M1086" s="13">
        <v>45565</v>
      </c>
      <c r="N1086" s="96">
        <v>94898</v>
      </c>
      <c r="O1086" s="25"/>
      <c r="P1086" s="1" t="s">
        <v>91</v>
      </c>
      <c r="Q1086" s="141"/>
      <c r="R1086" s="200">
        <v>94898</v>
      </c>
    </row>
    <row r="1087" spans="1:18" ht="15.75" customHeight="1" x14ac:dyDescent="0.3">
      <c r="A1087" s="131" t="s">
        <v>3597</v>
      </c>
      <c r="B1087" s="9" t="s">
        <v>3597</v>
      </c>
      <c r="C1087" s="11" t="s">
        <v>4488</v>
      </c>
      <c r="D1087" t="s">
        <v>4494</v>
      </c>
      <c r="E1087"/>
      <c r="F1087"/>
      <c r="G1087"/>
      <c r="H1087" s="3" t="s">
        <v>3598</v>
      </c>
      <c r="I1087"/>
      <c r="J1087" s="165"/>
      <c r="K1087" s="11"/>
      <c r="L1087" s="15"/>
      <c r="M1087" s="13">
        <v>45565</v>
      </c>
      <c r="N1087" s="86">
        <v>0</v>
      </c>
      <c r="O1087" s="25"/>
      <c r="P1087" s="1" t="s">
        <v>44</v>
      </c>
      <c r="Q1087" s="141"/>
      <c r="R1087" s="191">
        <v>0</v>
      </c>
    </row>
    <row r="1088" spans="1:18" ht="15.75" customHeight="1" x14ac:dyDescent="0.3">
      <c r="A1088" s="131" t="s">
        <v>3599</v>
      </c>
      <c r="B1088" s="9" t="s">
        <v>3599</v>
      </c>
      <c r="C1088" s="11" t="s">
        <v>4488</v>
      </c>
      <c r="D1088" t="s">
        <v>4494</v>
      </c>
      <c r="E1088"/>
      <c r="F1088"/>
      <c r="G1088"/>
      <c r="H1088" s="3" t="s">
        <v>3600</v>
      </c>
      <c r="I1088"/>
      <c r="J1088" s="165"/>
      <c r="K1088" s="11"/>
      <c r="L1088" s="15"/>
      <c r="M1088" s="13">
        <v>45565</v>
      </c>
      <c r="N1088" s="86">
        <v>0</v>
      </c>
      <c r="O1088" s="25"/>
      <c r="P1088" s="1" t="s">
        <v>44</v>
      </c>
      <c r="Q1088" s="141"/>
      <c r="R1088" s="191">
        <v>0</v>
      </c>
    </row>
    <row r="1089" spans="1:18" ht="15.75" customHeight="1" x14ac:dyDescent="0.3">
      <c r="A1089" s="131" t="s">
        <v>3601</v>
      </c>
      <c r="B1089" s="9" t="s">
        <v>3601</v>
      </c>
      <c r="C1089" s="11" t="s">
        <v>4488</v>
      </c>
      <c r="D1089" t="s">
        <v>4494</v>
      </c>
      <c r="E1089"/>
      <c r="F1089" t="s">
        <v>4706</v>
      </c>
      <c r="G1089"/>
      <c r="H1089" s="3" t="s">
        <v>3602</v>
      </c>
      <c r="I1089"/>
      <c r="J1089" s="165"/>
      <c r="K1089" s="11"/>
      <c r="L1089" s="15"/>
      <c r="M1089" s="13">
        <v>45565</v>
      </c>
      <c r="N1089" s="96">
        <v>521898</v>
      </c>
      <c r="O1089" s="25"/>
      <c r="P1089" s="1" t="s">
        <v>44</v>
      </c>
      <c r="Q1089" s="141"/>
      <c r="R1089" s="200">
        <v>521898</v>
      </c>
    </row>
    <row r="1090" spans="1:18" ht="15.75" customHeight="1" x14ac:dyDescent="0.3">
      <c r="A1090" s="53" t="s">
        <v>3603</v>
      </c>
      <c r="B1090" s="53" t="s">
        <v>3603</v>
      </c>
      <c r="C1090" s="54" t="s">
        <v>4488</v>
      </c>
      <c r="D1090" t="s">
        <v>4494</v>
      </c>
      <c r="E1090"/>
      <c r="F1090" t="s">
        <v>4640</v>
      </c>
      <c r="G1090"/>
      <c r="H1090" s="55" t="s">
        <v>3604</v>
      </c>
      <c r="I1090" s="160"/>
      <c r="J1090" s="165"/>
      <c r="K1090" s="54"/>
      <c r="L1090" s="56"/>
      <c r="M1090" s="57">
        <v>45565</v>
      </c>
      <c r="N1090" s="98">
        <v>200535</v>
      </c>
      <c r="O1090" s="25"/>
      <c r="P1090" s="58" t="s">
        <v>44</v>
      </c>
      <c r="Q1090" s="141"/>
      <c r="R1090" s="202">
        <v>200535</v>
      </c>
    </row>
    <row r="1091" spans="1:18" ht="15.75" customHeight="1" x14ac:dyDescent="0.3">
      <c r="A1091" s="9" t="s">
        <v>3605</v>
      </c>
      <c r="B1091" s="9" t="s">
        <v>3605</v>
      </c>
      <c r="C1091" s="11" t="s">
        <v>4488</v>
      </c>
      <c r="D1091" t="s">
        <v>4493</v>
      </c>
      <c r="E1091" s="3"/>
      <c r="F1091" s="15"/>
      <c r="G1091" s="15"/>
      <c r="H1091" s="3" t="s">
        <v>3606</v>
      </c>
      <c r="I1091"/>
      <c r="J1091" s="165"/>
      <c r="K1091" s="11"/>
      <c r="L1091" s="15"/>
      <c r="M1091" s="13"/>
      <c r="N1091" s="96">
        <v>396209</v>
      </c>
      <c r="O1091" s="25"/>
      <c r="P1091" s="1" t="s">
        <v>78</v>
      </c>
      <c r="Q1091" s="141"/>
      <c r="R1091" s="200">
        <v>396209</v>
      </c>
    </row>
    <row r="1092" spans="1:18" ht="15.75" customHeight="1" x14ac:dyDescent="0.3">
      <c r="A1092" s="131" t="s">
        <v>3607</v>
      </c>
      <c r="B1092" s="9" t="s">
        <v>3607</v>
      </c>
      <c r="C1092" s="11" t="s">
        <v>4488</v>
      </c>
      <c r="D1092" t="s">
        <v>4494</v>
      </c>
      <c r="E1092" s="160"/>
      <c r="F1092" t="s">
        <v>4641</v>
      </c>
      <c r="G1092"/>
      <c r="H1092" s="3" t="s">
        <v>3608</v>
      </c>
      <c r="I1092"/>
      <c r="J1092" s="165"/>
      <c r="K1092" s="11"/>
      <c r="L1092" s="15"/>
      <c r="M1092" s="13">
        <v>45565</v>
      </c>
      <c r="N1092" s="96">
        <v>138402</v>
      </c>
      <c r="O1092" s="25"/>
      <c r="P1092" s="1" t="s">
        <v>44</v>
      </c>
      <c r="Q1092" s="141"/>
      <c r="R1092" s="200">
        <v>138402</v>
      </c>
    </row>
    <row r="1093" spans="1:18" ht="15.75" customHeight="1" x14ac:dyDescent="0.3">
      <c r="A1093" s="131" t="s">
        <v>3609</v>
      </c>
      <c r="B1093" s="9" t="s">
        <v>3609</v>
      </c>
      <c r="C1093" s="11" t="s">
        <v>4488</v>
      </c>
      <c r="D1093" t="s">
        <v>4494</v>
      </c>
      <c r="E1093"/>
      <c r="F1093"/>
      <c r="G1093"/>
      <c r="H1093" s="3" t="s">
        <v>3610</v>
      </c>
      <c r="I1093"/>
      <c r="J1093" s="165"/>
      <c r="K1093" s="11"/>
      <c r="L1093" s="15"/>
      <c r="M1093" s="13">
        <v>45565</v>
      </c>
      <c r="N1093" s="86">
        <v>0</v>
      </c>
      <c r="O1093" s="25"/>
      <c r="P1093" s="1" t="s">
        <v>44</v>
      </c>
      <c r="Q1093" s="141"/>
      <c r="R1093" s="191">
        <v>0</v>
      </c>
    </row>
    <row r="1094" spans="1:18" ht="15.75" customHeight="1" x14ac:dyDescent="0.3">
      <c r="A1094" s="131" t="s">
        <v>3611</v>
      </c>
      <c r="B1094" s="9" t="s">
        <v>3611</v>
      </c>
      <c r="C1094" s="11" t="s">
        <v>4488</v>
      </c>
      <c r="D1094" t="s">
        <v>4492</v>
      </c>
      <c r="E1094"/>
      <c r="F1094"/>
      <c r="G1094"/>
      <c r="H1094" s="3" t="s">
        <v>3612</v>
      </c>
      <c r="I1094"/>
      <c r="J1094" s="165"/>
      <c r="K1094" s="11"/>
      <c r="L1094" s="15"/>
      <c r="M1094" s="13"/>
      <c r="N1094" s="86">
        <v>23015</v>
      </c>
      <c r="O1094" s="25"/>
      <c r="P1094" s="1" t="s">
        <v>91</v>
      </c>
      <c r="Q1094" s="141"/>
      <c r="R1094" s="191">
        <v>23015</v>
      </c>
    </row>
    <row r="1095" spans="1:18" ht="15.75" customHeight="1" x14ac:dyDescent="0.3">
      <c r="A1095" s="131" t="s">
        <v>3613</v>
      </c>
      <c r="B1095" s="9" t="s">
        <v>3613</v>
      </c>
      <c r="C1095" s="11" t="s">
        <v>4488</v>
      </c>
      <c r="D1095" t="s">
        <v>4492</v>
      </c>
      <c r="E1095"/>
      <c r="F1095"/>
      <c r="G1095"/>
      <c r="H1095" s="3" t="s">
        <v>3614</v>
      </c>
      <c r="I1095"/>
      <c r="J1095" s="165"/>
      <c r="K1095" s="11"/>
      <c r="L1095" s="15"/>
      <c r="M1095" s="13"/>
      <c r="N1095" s="96">
        <v>19680</v>
      </c>
      <c r="O1095" s="25"/>
      <c r="P1095" s="1" t="s">
        <v>91</v>
      </c>
      <c r="Q1095" s="141"/>
      <c r="R1095" s="200">
        <v>19680</v>
      </c>
    </row>
    <row r="1096" spans="1:18" ht="15.75" hidden="1" customHeight="1" x14ac:dyDescent="0.3">
      <c r="A1096" s="155" t="s">
        <v>3615</v>
      </c>
      <c r="B1096" s="53" t="s">
        <v>3615</v>
      </c>
      <c r="C1096" s="54" t="s">
        <v>4488</v>
      </c>
      <c r="D1096" t="s">
        <v>4495</v>
      </c>
      <c r="E1096"/>
      <c r="F1096"/>
      <c r="G1096"/>
      <c r="H1096" s="55" t="s">
        <v>3616</v>
      </c>
      <c r="I1096"/>
      <c r="J1096" s="179"/>
      <c r="K1096" s="54"/>
      <c r="L1096" s="56"/>
      <c r="M1096" s="57"/>
      <c r="N1096" s="98"/>
      <c r="O1096" s="82"/>
      <c r="P1096" s="58"/>
      <c r="Q1096" s="141"/>
      <c r="R1096" s="202"/>
    </row>
    <row r="1097" spans="1:18" ht="15.75" customHeight="1" x14ac:dyDescent="0.3">
      <c r="A1097" s="9" t="s">
        <v>3617</v>
      </c>
      <c r="B1097" s="9" t="s">
        <v>3617</v>
      </c>
      <c r="C1097" s="11" t="s">
        <v>4489</v>
      </c>
      <c r="D1097" t="s">
        <v>4495</v>
      </c>
      <c r="E1097" s="3"/>
      <c r="F1097" s="15"/>
      <c r="G1097" s="15"/>
      <c r="H1097" s="3" t="s">
        <v>3618</v>
      </c>
      <c r="I1097"/>
      <c r="J1097" s="166">
        <v>135497</v>
      </c>
      <c r="K1097" s="11" t="s">
        <v>683</v>
      </c>
      <c r="L1097" s="11" t="s">
        <v>684</v>
      </c>
      <c r="M1097" s="13">
        <v>45400</v>
      </c>
      <c r="N1097" s="86">
        <v>3923.01</v>
      </c>
      <c r="O1097" s="28"/>
      <c r="P1097" s="1"/>
      <c r="Q1097" s="141"/>
      <c r="R1097" s="191" t="s">
        <v>4968</v>
      </c>
    </row>
    <row r="1098" spans="1:18" ht="15.75" customHeight="1" x14ac:dyDescent="0.3">
      <c r="A1098" s="131" t="s">
        <v>3619</v>
      </c>
      <c r="B1098" s="9" t="s">
        <v>3619</v>
      </c>
      <c r="C1098" s="11" t="s">
        <v>4490</v>
      </c>
      <c r="D1098" t="s">
        <v>4493</v>
      </c>
      <c r="E1098"/>
      <c r="F1098" t="s">
        <v>3620</v>
      </c>
      <c r="G1098" t="s">
        <v>4557</v>
      </c>
      <c r="H1098" s="3" t="s">
        <v>3464</v>
      </c>
      <c r="I1098"/>
      <c r="J1098" s="165">
        <v>689</v>
      </c>
      <c r="K1098" s="11" t="s">
        <v>3465</v>
      </c>
      <c r="L1098" s="15" t="s">
        <v>1326</v>
      </c>
      <c r="M1098" s="13">
        <v>45348</v>
      </c>
      <c r="N1098" s="86">
        <v>680000</v>
      </c>
      <c r="O1098" s="28" t="s">
        <v>20</v>
      </c>
      <c r="P1098" s="1" t="s">
        <v>78</v>
      </c>
      <c r="Q1098" s="141"/>
      <c r="R1098" s="191">
        <v>680000</v>
      </c>
    </row>
    <row r="1099" spans="1:18" ht="15.75" customHeight="1" x14ac:dyDescent="0.3">
      <c r="A1099" s="131" t="s">
        <v>3621</v>
      </c>
      <c r="B1099" s="9" t="s">
        <v>3621</v>
      </c>
      <c r="C1099" s="11" t="s">
        <v>4490</v>
      </c>
      <c r="D1099" t="s">
        <v>4493</v>
      </c>
      <c r="E1099"/>
      <c r="F1099" t="s">
        <v>3622</v>
      </c>
      <c r="G1099" t="s">
        <v>4557</v>
      </c>
      <c r="H1099" s="3" t="s">
        <v>3464</v>
      </c>
      <c r="I1099"/>
      <c r="J1099" s="165">
        <v>689</v>
      </c>
      <c r="K1099" s="11" t="s">
        <v>3465</v>
      </c>
      <c r="L1099" s="15" t="s">
        <v>1326</v>
      </c>
      <c r="M1099" s="13">
        <v>45348</v>
      </c>
      <c r="N1099" s="86">
        <v>680000</v>
      </c>
      <c r="O1099" s="28" t="s">
        <v>20</v>
      </c>
      <c r="P1099" s="1" t="s">
        <v>78</v>
      </c>
      <c r="Q1099" s="141"/>
      <c r="R1099" s="191">
        <v>680000</v>
      </c>
    </row>
    <row r="1100" spans="1:18" ht="15.75" customHeight="1" x14ac:dyDescent="0.3">
      <c r="A1100" s="9" t="s">
        <v>3623</v>
      </c>
      <c r="B1100" s="9" t="s">
        <v>3623</v>
      </c>
      <c r="C1100" s="11" t="s">
        <v>4490</v>
      </c>
      <c r="D1100" t="s">
        <v>4492</v>
      </c>
      <c r="E1100"/>
      <c r="F1100" t="s">
        <v>3624</v>
      </c>
      <c r="G1100" t="s">
        <v>4557</v>
      </c>
      <c r="H1100" s="3" t="s">
        <v>3464</v>
      </c>
      <c r="I1100"/>
      <c r="J1100" s="165">
        <v>689</v>
      </c>
      <c r="K1100" s="11" t="s">
        <v>3465</v>
      </c>
      <c r="L1100" s="15" t="s">
        <v>1326</v>
      </c>
      <c r="M1100" s="13">
        <v>45348</v>
      </c>
      <c r="N1100" s="86">
        <v>680000</v>
      </c>
      <c r="O1100" s="28"/>
      <c r="P1100" s="1"/>
      <c r="Q1100" s="141"/>
      <c r="R1100" s="191">
        <v>680000</v>
      </c>
    </row>
    <row r="1101" spans="1:18" ht="15.75" customHeight="1" x14ac:dyDescent="0.3">
      <c r="A1101" s="131" t="s">
        <v>3625</v>
      </c>
      <c r="B1101" s="9" t="s">
        <v>3625</v>
      </c>
      <c r="C1101" s="11" t="s">
        <v>4490</v>
      </c>
      <c r="D1101" t="s">
        <v>4492</v>
      </c>
      <c r="E1101"/>
      <c r="F1101" t="s">
        <v>3626</v>
      </c>
      <c r="G1101" t="s">
        <v>4557</v>
      </c>
      <c r="H1101" s="3" t="s">
        <v>3464</v>
      </c>
      <c r="I1101"/>
      <c r="J1101" s="165">
        <v>689</v>
      </c>
      <c r="K1101" s="11" t="s">
        <v>3465</v>
      </c>
      <c r="L1101" s="15" t="s">
        <v>1326</v>
      </c>
      <c r="M1101" s="13">
        <v>45348</v>
      </c>
      <c r="N1101" s="86">
        <v>680000</v>
      </c>
      <c r="O1101" s="28" t="s">
        <v>20</v>
      </c>
      <c r="P1101" s="1"/>
      <c r="Q1101" s="141"/>
      <c r="R1101" s="191">
        <v>680000</v>
      </c>
    </row>
    <row r="1102" spans="1:18" ht="15.75" customHeight="1" x14ac:dyDescent="0.3">
      <c r="A1102" s="9" t="s">
        <v>3627</v>
      </c>
      <c r="B1102" s="9" t="s">
        <v>3627</v>
      </c>
      <c r="C1102" s="11" t="s">
        <v>4519</v>
      </c>
      <c r="D1102" t="s">
        <v>4492</v>
      </c>
      <c r="E1102" s="3"/>
      <c r="F1102" s="15"/>
      <c r="G1102" s="15"/>
      <c r="H1102" s="3" t="s">
        <v>2340</v>
      </c>
      <c r="I1102"/>
      <c r="J1102" s="166">
        <v>1794</v>
      </c>
      <c r="K1102" s="11" t="s">
        <v>3355</v>
      </c>
      <c r="L1102" s="11" t="s">
        <v>3628</v>
      </c>
      <c r="M1102" s="13">
        <v>45418</v>
      </c>
      <c r="N1102" s="86">
        <v>2514.5300000000002</v>
      </c>
      <c r="O1102" s="28"/>
      <c r="P1102" s="1"/>
      <c r="Q1102" s="141"/>
      <c r="R1102" s="191" t="s">
        <v>4969</v>
      </c>
    </row>
    <row r="1103" spans="1:18" ht="15.75" customHeight="1" x14ac:dyDescent="0.3">
      <c r="A1103" s="3" t="s">
        <v>3629</v>
      </c>
      <c r="B1103" s="3" t="s">
        <v>3629</v>
      </c>
      <c r="C1103" s="11" t="s">
        <v>4519</v>
      </c>
      <c r="D1103" t="s">
        <v>4492</v>
      </c>
      <c r="E1103" s="3"/>
      <c r="F1103" s="15"/>
      <c r="G1103" s="15"/>
      <c r="H1103" s="3" t="s">
        <v>2340</v>
      </c>
      <c r="I1103"/>
      <c r="J1103" s="166">
        <v>1794</v>
      </c>
      <c r="K1103" s="11" t="s">
        <v>3355</v>
      </c>
      <c r="L1103" s="11" t="s">
        <v>3630</v>
      </c>
      <c r="M1103" s="13">
        <v>45419</v>
      </c>
      <c r="N1103" s="86">
        <v>2514.5300000000002</v>
      </c>
      <c r="O1103" s="28"/>
      <c r="P1103" s="1"/>
      <c r="Q1103" s="141"/>
      <c r="R1103" s="191" t="s">
        <v>4969</v>
      </c>
    </row>
    <row r="1104" spans="1:18" ht="15.75" customHeight="1" x14ac:dyDescent="0.3">
      <c r="A1104" s="3" t="s">
        <v>3631</v>
      </c>
      <c r="B1104" s="3" t="s">
        <v>3631</v>
      </c>
      <c r="C1104" s="11" t="s">
        <v>4519</v>
      </c>
      <c r="D1104" t="s">
        <v>4492</v>
      </c>
      <c r="E1104" s="3"/>
      <c r="F1104" s="15"/>
      <c r="G1104" s="15"/>
      <c r="H1104" s="3" t="s">
        <v>2340</v>
      </c>
      <c r="I1104"/>
      <c r="J1104" s="166">
        <v>1794</v>
      </c>
      <c r="K1104" s="11" t="s">
        <v>3355</v>
      </c>
      <c r="L1104" s="11" t="s">
        <v>3632</v>
      </c>
      <c r="M1104" s="13">
        <v>45420</v>
      </c>
      <c r="N1104" s="86">
        <v>2514.5300000000002</v>
      </c>
      <c r="O1104" s="28"/>
      <c r="P1104" s="1"/>
      <c r="Q1104" s="141"/>
      <c r="R1104" s="191" t="s">
        <v>4969</v>
      </c>
    </row>
    <row r="1105" spans="1:18" ht="15.75" customHeight="1" x14ac:dyDescent="0.3">
      <c r="A1105" s="3" t="s">
        <v>3633</v>
      </c>
      <c r="B1105" s="3" t="s">
        <v>3633</v>
      </c>
      <c r="C1105" s="11" t="s">
        <v>4489</v>
      </c>
      <c r="D1105" t="s">
        <v>4501</v>
      </c>
      <c r="E1105" s="3"/>
      <c r="F1105" s="15"/>
      <c r="G1105" s="15"/>
      <c r="H1105" s="3" t="s">
        <v>3634</v>
      </c>
      <c r="I1105"/>
      <c r="J1105" s="166">
        <v>10766</v>
      </c>
      <c r="K1105" s="11" t="s">
        <v>3635</v>
      </c>
      <c r="L1105" s="11" t="s">
        <v>3636</v>
      </c>
      <c r="M1105" s="13">
        <v>45481</v>
      </c>
      <c r="N1105" s="86">
        <v>2772.85</v>
      </c>
      <c r="O1105" s="28"/>
      <c r="P1105" s="1"/>
      <c r="Q1105" s="141"/>
      <c r="R1105" s="191" t="s">
        <v>4970</v>
      </c>
    </row>
    <row r="1106" spans="1:18" ht="15.75" customHeight="1" x14ac:dyDescent="0.3">
      <c r="A1106" s="132" t="s">
        <v>3637</v>
      </c>
      <c r="B1106" s="3" t="s">
        <v>3637</v>
      </c>
      <c r="C1106" s="11" t="s">
        <v>4489</v>
      </c>
      <c r="D1106" t="s">
        <v>4494</v>
      </c>
      <c r="E1106" s="3"/>
      <c r="F1106" s="15"/>
      <c r="G1106" s="15"/>
      <c r="H1106" s="3" t="s">
        <v>3638</v>
      </c>
      <c r="I1106"/>
      <c r="J1106" s="166">
        <v>202703</v>
      </c>
      <c r="K1106" s="11" t="s">
        <v>1769</v>
      </c>
      <c r="L1106" s="11" t="s">
        <v>1770</v>
      </c>
      <c r="M1106" s="13">
        <v>45406</v>
      </c>
      <c r="N1106" s="86">
        <v>1395</v>
      </c>
      <c r="O1106" s="28"/>
      <c r="P1106" s="1"/>
      <c r="Q1106" s="141"/>
      <c r="R1106" s="191">
        <v>1395</v>
      </c>
    </row>
    <row r="1107" spans="1:18" ht="15.75" customHeight="1" x14ac:dyDescent="0.3">
      <c r="A1107" s="132" t="s">
        <v>3639</v>
      </c>
      <c r="B1107" s="3" t="s">
        <v>3639</v>
      </c>
      <c r="C1107" s="11" t="s">
        <v>4489</v>
      </c>
      <c r="D1107" t="s">
        <v>4494</v>
      </c>
      <c r="E1107"/>
      <c r="F1107"/>
      <c r="G1107" t="s">
        <v>4642</v>
      </c>
      <c r="H1107" s="3" t="s">
        <v>3640</v>
      </c>
      <c r="I1107"/>
      <c r="J1107" s="166">
        <v>135707</v>
      </c>
      <c r="K1107" s="11" t="s">
        <v>683</v>
      </c>
      <c r="L1107" s="15" t="s">
        <v>684</v>
      </c>
      <c r="M1107" s="13">
        <v>45404</v>
      </c>
      <c r="N1107" s="86">
        <v>2766.59</v>
      </c>
      <c r="O1107" s="28" t="s">
        <v>20</v>
      </c>
      <c r="P1107" s="1" t="s">
        <v>44</v>
      </c>
      <c r="Q1107" s="141"/>
      <c r="R1107" s="191" t="s">
        <v>4971</v>
      </c>
    </row>
    <row r="1108" spans="1:18" ht="15.75" customHeight="1" x14ac:dyDescent="0.3">
      <c r="A1108" s="132" t="s">
        <v>3641</v>
      </c>
      <c r="B1108" s="3" t="s">
        <v>3641</v>
      </c>
      <c r="C1108" s="11" t="s">
        <v>4490</v>
      </c>
      <c r="D1108" t="s">
        <v>4493</v>
      </c>
      <c r="E1108"/>
      <c r="F1108" t="s">
        <v>3642</v>
      </c>
      <c r="G1108" t="s">
        <v>4629</v>
      </c>
      <c r="H1108" s="3" t="s">
        <v>3643</v>
      </c>
      <c r="I1108"/>
      <c r="J1108" s="166">
        <v>4590</v>
      </c>
      <c r="K1108" s="11" t="s">
        <v>2255</v>
      </c>
      <c r="L1108" s="11" t="s">
        <v>834</v>
      </c>
      <c r="M1108" s="13">
        <v>45392</v>
      </c>
      <c r="N1108" s="86">
        <v>142000</v>
      </c>
      <c r="O1108" s="28" t="s">
        <v>20</v>
      </c>
      <c r="P1108" s="1" t="s">
        <v>78</v>
      </c>
      <c r="Q1108" s="141"/>
      <c r="R1108" s="191">
        <v>142000</v>
      </c>
    </row>
    <row r="1109" spans="1:18" ht="15.75" customHeight="1" x14ac:dyDescent="0.3">
      <c r="A1109" s="132" t="s">
        <v>3644</v>
      </c>
      <c r="B1109" s="3" t="s">
        <v>3644</v>
      </c>
      <c r="C1109" s="11" t="s">
        <v>4490</v>
      </c>
      <c r="D1109" t="s">
        <v>4493</v>
      </c>
      <c r="E1109"/>
      <c r="F1109" t="s">
        <v>3645</v>
      </c>
      <c r="G1109"/>
      <c r="H1109" s="3" t="s">
        <v>3646</v>
      </c>
      <c r="I1109" t="s">
        <v>4567</v>
      </c>
      <c r="J1109" s="166">
        <v>4590</v>
      </c>
      <c r="K1109" s="11" t="s">
        <v>2255</v>
      </c>
      <c r="L1109" s="11" t="s">
        <v>834</v>
      </c>
      <c r="M1109" s="13">
        <v>45392</v>
      </c>
      <c r="N1109" s="86">
        <v>250000</v>
      </c>
      <c r="O1109" s="28" t="s">
        <v>20</v>
      </c>
      <c r="P1109" s="1" t="s">
        <v>78</v>
      </c>
      <c r="Q1109" s="141"/>
      <c r="R1109" s="191">
        <v>250000</v>
      </c>
    </row>
    <row r="1110" spans="1:18" ht="15.75" customHeight="1" x14ac:dyDescent="0.3">
      <c r="A1110" s="132" t="s">
        <v>3647</v>
      </c>
      <c r="B1110" s="3" t="s">
        <v>3647</v>
      </c>
      <c r="C1110" s="11" t="s">
        <v>4490</v>
      </c>
      <c r="D1110" t="s">
        <v>4493</v>
      </c>
      <c r="E1110"/>
      <c r="F1110" t="s">
        <v>3648</v>
      </c>
      <c r="G1110" t="s">
        <v>4643</v>
      </c>
      <c r="H1110" s="3" t="s">
        <v>3649</v>
      </c>
      <c r="I1110" s="160"/>
      <c r="J1110" s="166">
        <v>4590</v>
      </c>
      <c r="K1110" s="11" t="s">
        <v>2255</v>
      </c>
      <c r="L1110" s="11" t="s">
        <v>834</v>
      </c>
      <c r="M1110" s="13">
        <v>45392</v>
      </c>
      <c r="N1110" s="86">
        <v>230000</v>
      </c>
      <c r="O1110" s="28" t="s">
        <v>20</v>
      </c>
      <c r="P1110" s="1" t="s">
        <v>78</v>
      </c>
      <c r="Q1110" s="141"/>
      <c r="R1110" s="191">
        <v>230000</v>
      </c>
    </row>
    <row r="1111" spans="1:18" ht="15.75" hidden="1" customHeight="1" x14ac:dyDescent="0.3">
      <c r="A1111" s="132" t="s">
        <v>3650</v>
      </c>
      <c r="B1111" s="3" t="s">
        <v>3650</v>
      </c>
      <c r="C1111" s="11" t="s">
        <v>4490</v>
      </c>
      <c r="D1111" t="s">
        <v>4493</v>
      </c>
      <c r="E1111"/>
      <c r="F1111">
        <v>61151515003001</v>
      </c>
      <c r="G1111"/>
      <c r="H1111" s="3" t="s">
        <v>3651</v>
      </c>
      <c r="I1111"/>
      <c r="J1111" s="166"/>
      <c r="K1111" s="11"/>
      <c r="L1111" s="11"/>
      <c r="M1111" s="13"/>
      <c r="N1111" s="86"/>
      <c r="O1111" s="28"/>
      <c r="P1111" s="1" t="s">
        <v>78</v>
      </c>
      <c r="Q1111" s="141"/>
      <c r="R1111" s="191"/>
    </row>
    <row r="1112" spans="1:18" ht="15.75" customHeight="1" x14ac:dyDescent="0.3">
      <c r="A1112" s="132" t="s">
        <v>3652</v>
      </c>
      <c r="B1112" s="3" t="s">
        <v>3652</v>
      </c>
      <c r="C1112" s="11" t="s">
        <v>4490</v>
      </c>
      <c r="D1112" t="s">
        <v>4493</v>
      </c>
      <c r="E1112"/>
      <c r="F1112" t="s">
        <v>3653</v>
      </c>
      <c r="G1112" t="s">
        <v>4629</v>
      </c>
      <c r="H1112" s="3" t="s">
        <v>3654</v>
      </c>
      <c r="I1112"/>
      <c r="J1112" s="165">
        <v>159163</v>
      </c>
      <c r="K1112" s="11" t="s">
        <v>176</v>
      </c>
      <c r="L1112" s="15" t="s">
        <v>1015</v>
      </c>
      <c r="M1112" s="13">
        <v>45442</v>
      </c>
      <c r="N1112" s="86">
        <v>275000</v>
      </c>
      <c r="O1112" s="28" t="s">
        <v>20</v>
      </c>
      <c r="P1112" s="1" t="s">
        <v>44</v>
      </c>
      <c r="Q1112" s="141"/>
      <c r="R1112" s="191">
        <v>275000</v>
      </c>
    </row>
    <row r="1113" spans="1:18" ht="15.75" customHeight="1" x14ac:dyDescent="0.3">
      <c r="A1113" s="132" t="s">
        <v>3655</v>
      </c>
      <c r="B1113" s="3" t="s">
        <v>3655</v>
      </c>
      <c r="C1113" s="11" t="s">
        <v>4490</v>
      </c>
      <c r="D1113" t="s">
        <v>4493</v>
      </c>
      <c r="E1113"/>
      <c r="F1113" t="s">
        <v>3656</v>
      </c>
      <c r="G1113" t="s">
        <v>4629</v>
      </c>
      <c r="H1113" s="3" t="s">
        <v>3654</v>
      </c>
      <c r="I1113"/>
      <c r="J1113" s="165">
        <v>159160</v>
      </c>
      <c r="K1113" s="11" t="s">
        <v>176</v>
      </c>
      <c r="L1113" s="15" t="s">
        <v>1015</v>
      </c>
      <c r="M1113" s="13">
        <v>45443</v>
      </c>
      <c r="N1113" s="86">
        <v>275000</v>
      </c>
      <c r="O1113" s="28" t="s">
        <v>20</v>
      </c>
      <c r="P1113" s="1"/>
      <c r="Q1113" s="141"/>
      <c r="R1113" s="191">
        <v>275000</v>
      </c>
    </row>
    <row r="1114" spans="1:18" ht="15.75" customHeight="1" x14ac:dyDescent="0.3">
      <c r="A1114" s="132" t="s">
        <v>3657</v>
      </c>
      <c r="B1114" s="3" t="s">
        <v>3657</v>
      </c>
      <c r="C1114" s="11" t="s">
        <v>4490</v>
      </c>
      <c r="D1114" t="s">
        <v>4493</v>
      </c>
      <c r="E1114"/>
      <c r="F1114" t="s">
        <v>3658</v>
      </c>
      <c r="G1114" t="s">
        <v>4629</v>
      </c>
      <c r="H1114" s="3" t="s">
        <v>3654</v>
      </c>
      <c r="I1114"/>
      <c r="J1114" s="165">
        <v>159166</v>
      </c>
      <c r="K1114" s="11" t="s">
        <v>176</v>
      </c>
      <c r="L1114" s="15" t="s">
        <v>1015</v>
      </c>
      <c r="M1114" s="13">
        <v>45443</v>
      </c>
      <c r="N1114" s="86">
        <v>275000</v>
      </c>
      <c r="O1114" s="28" t="s">
        <v>20</v>
      </c>
      <c r="P1114" s="1"/>
      <c r="Q1114" s="141"/>
      <c r="R1114" s="191">
        <v>275000</v>
      </c>
    </row>
    <row r="1115" spans="1:18" ht="15.75" customHeight="1" x14ac:dyDescent="0.3">
      <c r="A1115" s="132" t="s">
        <v>3659</v>
      </c>
      <c r="B1115" s="3" t="s">
        <v>3659</v>
      </c>
      <c r="C1115" s="11" t="s">
        <v>4490</v>
      </c>
      <c r="D1115" t="s">
        <v>4493</v>
      </c>
      <c r="E1115"/>
      <c r="F1115" t="s">
        <v>3660</v>
      </c>
      <c r="G1115" t="s">
        <v>4629</v>
      </c>
      <c r="H1115" s="3" t="s">
        <v>3654</v>
      </c>
      <c r="I1115"/>
      <c r="J1115" s="165">
        <v>159159</v>
      </c>
      <c r="K1115" s="11" t="s">
        <v>176</v>
      </c>
      <c r="L1115" s="15" t="s">
        <v>1015</v>
      </c>
      <c r="M1115" s="13">
        <v>45443</v>
      </c>
      <c r="N1115" s="86">
        <v>275000</v>
      </c>
      <c r="O1115" s="28" t="s">
        <v>20</v>
      </c>
      <c r="P1115" s="1"/>
      <c r="Q1115" s="141"/>
      <c r="R1115" s="191">
        <v>275000</v>
      </c>
    </row>
    <row r="1116" spans="1:18" ht="15.75" customHeight="1" x14ac:dyDescent="0.3">
      <c r="A1116" s="132" t="s">
        <v>3661</v>
      </c>
      <c r="B1116" s="3" t="s">
        <v>3661</v>
      </c>
      <c r="C1116" s="11" t="s">
        <v>4490</v>
      </c>
      <c r="D1116" t="s">
        <v>4493</v>
      </c>
      <c r="E1116"/>
      <c r="F1116" t="s">
        <v>3662</v>
      </c>
      <c r="G1116" t="s">
        <v>4629</v>
      </c>
      <c r="H1116" s="3" t="s">
        <v>3654</v>
      </c>
      <c r="I1116"/>
      <c r="J1116" s="165">
        <v>159162</v>
      </c>
      <c r="K1116" s="11" t="s">
        <v>176</v>
      </c>
      <c r="L1116" s="15" t="s">
        <v>1015</v>
      </c>
      <c r="M1116" s="13">
        <v>45443</v>
      </c>
      <c r="N1116" s="86">
        <v>275000</v>
      </c>
      <c r="O1116" s="28"/>
      <c r="P1116" s="1"/>
      <c r="Q1116" s="141"/>
      <c r="R1116" s="191">
        <v>275000</v>
      </c>
    </row>
    <row r="1117" spans="1:18" ht="15.75" customHeight="1" x14ac:dyDescent="0.3">
      <c r="A1117" s="3" t="s">
        <v>3663</v>
      </c>
      <c r="B1117" s="3" t="s">
        <v>3663</v>
      </c>
      <c r="C1117" s="11" t="s">
        <v>4489</v>
      </c>
      <c r="D1117" t="s">
        <v>4493</v>
      </c>
      <c r="E1117" s="3"/>
      <c r="F1117" s="15"/>
      <c r="G1117" s="15"/>
      <c r="H1117" s="3" t="s">
        <v>3664</v>
      </c>
      <c r="I1117"/>
      <c r="J1117" s="166">
        <v>235282</v>
      </c>
      <c r="K1117" s="11" t="s">
        <v>3665</v>
      </c>
      <c r="L1117" s="11" t="s">
        <v>2297</v>
      </c>
      <c r="M1117" s="13">
        <v>45412</v>
      </c>
      <c r="N1117" s="86">
        <v>4433.2299999999996</v>
      </c>
      <c r="O1117" s="28"/>
      <c r="P1117" s="1"/>
      <c r="Q1117" s="141"/>
      <c r="R1117" s="191" t="s">
        <v>4972</v>
      </c>
    </row>
    <row r="1118" spans="1:18" ht="15.75" customHeight="1" x14ac:dyDescent="0.3">
      <c r="A1118" s="132" t="s">
        <v>3666</v>
      </c>
      <c r="B1118" s="3" t="s">
        <v>3666</v>
      </c>
      <c r="C1118" s="11" t="s">
        <v>4489</v>
      </c>
      <c r="D1118" t="s">
        <v>4493</v>
      </c>
      <c r="E1118" s="3"/>
      <c r="F1118" s="15"/>
      <c r="G1118" s="15"/>
      <c r="H1118" s="3" t="s">
        <v>3667</v>
      </c>
      <c r="I1118"/>
      <c r="J1118" s="166">
        <v>1883</v>
      </c>
      <c r="K1118" s="11" t="s">
        <v>3668</v>
      </c>
      <c r="L1118" s="11" t="s">
        <v>3669</v>
      </c>
      <c r="M1118" s="13">
        <v>45426</v>
      </c>
      <c r="N1118" s="86">
        <v>2060</v>
      </c>
      <c r="O1118" s="28" t="s">
        <v>20</v>
      </c>
      <c r="P1118" s="1" t="s">
        <v>66</v>
      </c>
      <c r="Q1118" s="141"/>
      <c r="R1118" s="191">
        <v>2060</v>
      </c>
    </row>
    <row r="1119" spans="1:18" ht="15.75" customHeight="1" x14ac:dyDescent="0.3">
      <c r="A1119" s="132" t="s">
        <v>3670</v>
      </c>
      <c r="B1119" s="3" t="s">
        <v>3671</v>
      </c>
      <c r="C1119" s="11" t="s">
        <v>4490</v>
      </c>
      <c r="D1119" t="s">
        <v>4494</v>
      </c>
      <c r="E1119"/>
      <c r="F1119" t="s">
        <v>3672</v>
      </c>
      <c r="G1119" t="s">
        <v>4644</v>
      </c>
      <c r="H1119" s="3" t="s">
        <v>3673</v>
      </c>
      <c r="I1119"/>
      <c r="J1119" s="165">
        <v>159173</v>
      </c>
      <c r="K1119" s="11" t="s">
        <v>176</v>
      </c>
      <c r="L1119" s="15" t="s">
        <v>1015</v>
      </c>
      <c r="M1119" s="13">
        <v>45443</v>
      </c>
      <c r="N1119" s="86">
        <v>460000</v>
      </c>
      <c r="O1119" s="28" t="s">
        <v>20</v>
      </c>
      <c r="P1119" s="1" t="s">
        <v>78</v>
      </c>
      <c r="Q1119" s="141"/>
      <c r="R1119" s="191">
        <v>460000</v>
      </c>
    </row>
    <row r="1120" spans="1:18" ht="15.75" customHeight="1" x14ac:dyDescent="0.3">
      <c r="A1120" s="132" t="s">
        <v>3671</v>
      </c>
      <c r="B1120" s="3" t="s">
        <v>3670</v>
      </c>
      <c r="C1120" s="11" t="s">
        <v>4490</v>
      </c>
      <c r="D1120" t="s">
        <v>4494</v>
      </c>
      <c r="E1120"/>
      <c r="F1120" t="s">
        <v>3674</v>
      </c>
      <c r="G1120" t="s">
        <v>4644</v>
      </c>
      <c r="H1120" s="3" t="s">
        <v>3673</v>
      </c>
      <c r="I1120"/>
      <c r="J1120" s="165">
        <v>159169</v>
      </c>
      <c r="K1120" s="11" t="s">
        <v>176</v>
      </c>
      <c r="L1120" s="15" t="s">
        <v>1015</v>
      </c>
      <c r="M1120" s="13">
        <v>45443</v>
      </c>
      <c r="N1120" s="86">
        <v>460000</v>
      </c>
      <c r="O1120" s="28" t="s">
        <v>20</v>
      </c>
      <c r="P1120" s="1" t="s">
        <v>44</v>
      </c>
      <c r="Q1120" s="141"/>
      <c r="R1120" s="191">
        <v>460000</v>
      </c>
    </row>
    <row r="1121" spans="1:18" ht="15.75" customHeight="1" x14ac:dyDescent="0.3">
      <c r="A1121" s="132" t="s">
        <v>3675</v>
      </c>
      <c r="B1121" s="3" t="s">
        <v>3675</v>
      </c>
      <c r="C1121" s="11" t="s">
        <v>4490</v>
      </c>
      <c r="D1121" t="s">
        <v>4494</v>
      </c>
      <c r="E1121"/>
      <c r="F1121" t="s">
        <v>3676</v>
      </c>
      <c r="G1121" t="s">
        <v>4644</v>
      </c>
      <c r="H1121" s="3" t="s">
        <v>3673</v>
      </c>
      <c r="I1121"/>
      <c r="J1121" s="165">
        <v>159168</v>
      </c>
      <c r="K1121" s="11" t="s">
        <v>176</v>
      </c>
      <c r="L1121" s="15" t="s">
        <v>1015</v>
      </c>
      <c r="M1121" s="13">
        <v>45443</v>
      </c>
      <c r="N1121" s="86">
        <v>460000</v>
      </c>
      <c r="O1121" s="28" t="s">
        <v>20</v>
      </c>
      <c r="P1121" s="1" t="s">
        <v>78</v>
      </c>
      <c r="Q1121" s="141"/>
      <c r="R1121" s="191">
        <v>460000</v>
      </c>
    </row>
    <row r="1122" spans="1:18" ht="15.75" customHeight="1" x14ac:dyDescent="0.3">
      <c r="A1122" s="3" t="s">
        <v>3677</v>
      </c>
      <c r="B1122" s="3" t="s">
        <v>3677</v>
      </c>
      <c r="C1122" s="11" t="s">
        <v>4490</v>
      </c>
      <c r="D1122" t="s">
        <v>4492</v>
      </c>
      <c r="E1122" s="132"/>
      <c r="F1122" s="15"/>
      <c r="G1122" s="15"/>
      <c r="H1122" s="3" t="s">
        <v>3678</v>
      </c>
      <c r="I1122"/>
      <c r="J1122" s="165">
        <v>7288</v>
      </c>
      <c r="K1122" s="11" t="s">
        <v>1275</v>
      </c>
      <c r="L1122" s="11" t="s">
        <v>1526</v>
      </c>
      <c r="M1122" s="13">
        <v>45405</v>
      </c>
      <c r="N1122" s="86">
        <v>110000</v>
      </c>
      <c r="O1122" s="28"/>
      <c r="P1122" s="1"/>
      <c r="Q1122" s="141"/>
      <c r="R1122" s="191">
        <v>110000</v>
      </c>
    </row>
    <row r="1123" spans="1:18" ht="15.75" customHeight="1" x14ac:dyDescent="0.3">
      <c r="A1123" s="3" t="s">
        <v>3679</v>
      </c>
      <c r="B1123" s="3" t="s">
        <v>3679</v>
      </c>
      <c r="C1123" s="11" t="s">
        <v>4519</v>
      </c>
      <c r="D1123" t="s">
        <v>4493</v>
      </c>
      <c r="E1123" s="3"/>
      <c r="F1123" s="15"/>
      <c r="G1123" s="15"/>
      <c r="H1123" s="3" t="s">
        <v>3680</v>
      </c>
      <c r="I1123"/>
      <c r="J1123" s="166">
        <v>4009</v>
      </c>
      <c r="K1123" s="11" t="s">
        <v>3681</v>
      </c>
      <c r="L1123" s="11" t="s">
        <v>3682</v>
      </c>
      <c r="M1123" s="13">
        <v>45414</v>
      </c>
      <c r="N1123" s="86">
        <v>5237.1000000000004</v>
      </c>
      <c r="O1123" s="28"/>
      <c r="P1123" s="1"/>
      <c r="Q1123" s="141"/>
      <c r="R1123" s="191" t="s">
        <v>4973</v>
      </c>
    </row>
    <row r="1124" spans="1:18" ht="15.75" customHeight="1" x14ac:dyDescent="0.3">
      <c r="A1124" s="3" t="s">
        <v>3683</v>
      </c>
      <c r="B1124" s="3" t="s">
        <v>3683</v>
      </c>
      <c r="C1124" s="11" t="s">
        <v>4489</v>
      </c>
      <c r="D1124" t="s">
        <v>4495</v>
      </c>
      <c r="E1124" s="3"/>
      <c r="F1124" s="15"/>
      <c r="G1124" s="15"/>
      <c r="H1124" s="3" t="s">
        <v>3684</v>
      </c>
      <c r="I1124" s="160"/>
      <c r="J1124" s="165">
        <v>36543</v>
      </c>
      <c r="K1124" s="11" t="s">
        <v>2281</v>
      </c>
      <c r="L1124" s="11" t="s">
        <v>1155</v>
      </c>
      <c r="M1124" s="13">
        <v>45383</v>
      </c>
      <c r="N1124" s="86">
        <v>223522</v>
      </c>
      <c r="O1124" s="28"/>
      <c r="P1124" s="1"/>
      <c r="Q1124" s="141"/>
      <c r="R1124" s="191">
        <v>223522</v>
      </c>
    </row>
    <row r="1125" spans="1:18" ht="15.75" customHeight="1" x14ac:dyDescent="0.3">
      <c r="A1125" s="3" t="s">
        <v>3685</v>
      </c>
      <c r="B1125" s="3" t="s">
        <v>3685</v>
      </c>
      <c r="C1125" s="11" t="s">
        <v>4519</v>
      </c>
      <c r="D1125" t="s">
        <v>4495</v>
      </c>
      <c r="E1125" s="3"/>
      <c r="F1125" s="15"/>
      <c r="G1125" s="15"/>
      <c r="H1125" s="3" t="s">
        <v>3686</v>
      </c>
      <c r="I1125"/>
      <c r="J1125" s="165">
        <v>1166349</v>
      </c>
      <c r="K1125" s="11" t="s">
        <v>3687</v>
      </c>
      <c r="L1125" s="11" t="s">
        <v>3688</v>
      </c>
      <c r="M1125" s="13">
        <v>45386</v>
      </c>
      <c r="N1125" s="86">
        <v>3399.9</v>
      </c>
      <c r="O1125" s="28" t="s">
        <v>20</v>
      </c>
      <c r="P1125" s="1" t="s">
        <v>66</v>
      </c>
      <c r="Q1125" s="141"/>
      <c r="R1125" s="191" t="s">
        <v>4859</v>
      </c>
    </row>
    <row r="1126" spans="1:18" ht="15.75" customHeight="1" x14ac:dyDescent="0.3">
      <c r="A1126" s="3" t="s">
        <v>3689</v>
      </c>
      <c r="B1126" s="3" t="s">
        <v>3689</v>
      </c>
      <c r="C1126" s="11" t="s">
        <v>4489</v>
      </c>
      <c r="D1126" t="s">
        <v>4493</v>
      </c>
      <c r="E1126" s="3"/>
      <c r="F1126" s="15"/>
      <c r="G1126" s="15"/>
      <c r="H1126" s="3" t="s">
        <v>3690</v>
      </c>
      <c r="I1126"/>
      <c r="J1126" s="166">
        <v>236400</v>
      </c>
      <c r="K1126" s="11" t="s">
        <v>3665</v>
      </c>
      <c r="L1126" s="11" t="s">
        <v>2297</v>
      </c>
      <c r="M1126" s="13">
        <v>45419</v>
      </c>
      <c r="N1126" s="86">
        <v>4887.78</v>
      </c>
      <c r="O1126" s="28" t="s">
        <v>20</v>
      </c>
      <c r="P1126" s="1" t="s">
        <v>78</v>
      </c>
      <c r="Q1126" s="141"/>
      <c r="R1126" s="191" t="s">
        <v>4974</v>
      </c>
    </row>
    <row r="1127" spans="1:18" ht="15.75" customHeight="1" x14ac:dyDescent="0.3">
      <c r="A1127" s="3" t="s">
        <v>3691</v>
      </c>
      <c r="B1127" s="3" t="s">
        <v>3691</v>
      </c>
      <c r="C1127" s="11" t="s">
        <v>4519</v>
      </c>
      <c r="D1127" t="s">
        <v>4495</v>
      </c>
      <c r="E1127" s="3"/>
      <c r="F1127" s="15"/>
      <c r="G1127" s="15"/>
      <c r="H1127" s="3" t="s">
        <v>3692</v>
      </c>
      <c r="I1127"/>
      <c r="J1127" s="166">
        <v>260830</v>
      </c>
      <c r="K1127" s="11" t="s">
        <v>1089</v>
      </c>
      <c r="L1127" s="11" t="s">
        <v>1090</v>
      </c>
      <c r="M1127" s="13">
        <v>45425</v>
      </c>
      <c r="N1127" s="86">
        <v>2824.68</v>
      </c>
      <c r="O1127" s="13" t="s">
        <v>20</v>
      </c>
      <c r="P1127" s="1"/>
      <c r="Q1127" s="141"/>
      <c r="R1127" s="191" t="s">
        <v>4975</v>
      </c>
    </row>
    <row r="1128" spans="1:18" ht="15.75" customHeight="1" x14ac:dyDescent="0.3">
      <c r="A1128" s="3" t="s">
        <v>3693</v>
      </c>
      <c r="B1128" s="3" t="s">
        <v>3693</v>
      </c>
      <c r="C1128" s="11" t="s">
        <v>4519</v>
      </c>
      <c r="D1128" t="s">
        <v>4495</v>
      </c>
      <c r="E1128" s="3"/>
      <c r="F1128" s="15"/>
      <c r="G1128" s="15"/>
      <c r="H1128" s="3" t="s">
        <v>3694</v>
      </c>
      <c r="I1128"/>
      <c r="J1128" s="166">
        <v>260830</v>
      </c>
      <c r="K1128" s="11" t="s">
        <v>1089</v>
      </c>
      <c r="L1128" s="11" t="s">
        <v>1090</v>
      </c>
      <c r="M1128" s="13">
        <v>45425</v>
      </c>
      <c r="N1128" s="86">
        <v>3383.32</v>
      </c>
      <c r="O1128" s="28" t="s">
        <v>20</v>
      </c>
      <c r="P1128" s="1"/>
      <c r="Q1128" s="164"/>
      <c r="R1128" s="191" t="s">
        <v>4976</v>
      </c>
    </row>
    <row r="1129" spans="1:18" ht="15.75" customHeight="1" x14ac:dyDescent="0.3">
      <c r="A1129" s="132" t="s">
        <v>3695</v>
      </c>
      <c r="B1129" s="3" t="s">
        <v>3695</v>
      </c>
      <c r="C1129" s="11" t="s">
        <v>4489</v>
      </c>
      <c r="D1129" t="s">
        <v>4493</v>
      </c>
      <c r="E1129" s="3"/>
      <c r="F1129" s="15"/>
      <c r="G1129" s="15"/>
      <c r="H1129" s="3" t="s">
        <v>2444</v>
      </c>
      <c r="I1129"/>
      <c r="J1129" s="166">
        <v>1016</v>
      </c>
      <c r="K1129" s="11" t="s">
        <v>104</v>
      </c>
      <c r="L1129" s="11" t="s">
        <v>105</v>
      </c>
      <c r="M1129" s="13">
        <v>45405</v>
      </c>
      <c r="N1129" s="86">
        <v>1698</v>
      </c>
      <c r="O1129" s="28"/>
      <c r="P1129" s="1"/>
      <c r="Q1129" s="32"/>
      <c r="R1129" s="191">
        <v>1698</v>
      </c>
    </row>
    <row r="1130" spans="1:18" ht="15.75" customHeight="1" x14ac:dyDescent="0.3">
      <c r="A1130" s="132" t="s">
        <v>3696</v>
      </c>
      <c r="B1130" s="3" t="s">
        <v>3696</v>
      </c>
      <c r="C1130" s="11" t="s">
        <v>4490</v>
      </c>
      <c r="D1130" t="s">
        <v>4493</v>
      </c>
      <c r="E1130"/>
      <c r="F1130" t="s">
        <v>3697</v>
      </c>
      <c r="G1130"/>
      <c r="H1130" s="3" t="s">
        <v>2574</v>
      </c>
      <c r="I1130" t="s">
        <v>4568</v>
      </c>
      <c r="J1130" s="166">
        <v>3071</v>
      </c>
      <c r="K1130" s="11" t="s">
        <v>2575</v>
      </c>
      <c r="L1130" s="11" t="s">
        <v>3062</v>
      </c>
      <c r="M1130" s="13">
        <v>45502</v>
      </c>
      <c r="N1130" s="86">
        <v>530000</v>
      </c>
      <c r="O1130" s="28" t="s">
        <v>20</v>
      </c>
      <c r="P1130" s="1" t="s">
        <v>78</v>
      </c>
      <c r="Q1130" s="32"/>
      <c r="R1130" s="191">
        <v>530000</v>
      </c>
    </row>
    <row r="1131" spans="1:18" ht="15.75" customHeight="1" x14ac:dyDescent="0.3">
      <c r="A1131" s="132" t="s">
        <v>3698</v>
      </c>
      <c r="B1131" s="3" t="s">
        <v>3698</v>
      </c>
      <c r="C1131" s="3" t="s">
        <v>4520</v>
      </c>
      <c r="D1131" t="s">
        <v>4496</v>
      </c>
      <c r="E1131" s="3"/>
      <c r="F1131" s="14"/>
      <c r="G1131" s="14"/>
      <c r="H1131" s="3" t="s">
        <v>3699</v>
      </c>
      <c r="I1131"/>
      <c r="J1131" s="166">
        <v>2256</v>
      </c>
      <c r="K1131" s="3" t="s">
        <v>104</v>
      </c>
      <c r="L1131" s="11" t="s">
        <v>105</v>
      </c>
      <c r="M1131" s="29">
        <v>45755</v>
      </c>
      <c r="N1131" s="86">
        <v>1350</v>
      </c>
      <c r="O1131" s="28" t="s">
        <v>20</v>
      </c>
      <c r="P1131" s="1" t="s">
        <v>106</v>
      </c>
      <c r="Q1131" s="32" t="s">
        <v>4710</v>
      </c>
      <c r="R1131" s="191">
        <v>1350</v>
      </c>
    </row>
    <row r="1132" spans="1:18" ht="15.75" customHeight="1" x14ac:dyDescent="0.3">
      <c r="A1132" s="3" t="s">
        <v>3700</v>
      </c>
      <c r="B1132" s="3" t="s">
        <v>3700</v>
      </c>
      <c r="C1132" s="11" t="s">
        <v>4519</v>
      </c>
      <c r="D1132" t="s">
        <v>4495</v>
      </c>
      <c r="E1132" s="3"/>
      <c r="F1132" s="15"/>
      <c r="G1132" s="15"/>
      <c r="H1132" s="3" t="s">
        <v>2814</v>
      </c>
      <c r="I1132"/>
      <c r="J1132" s="166">
        <v>8176096</v>
      </c>
      <c r="K1132" s="11" t="s">
        <v>3701</v>
      </c>
      <c r="L1132" s="11" t="s">
        <v>3702</v>
      </c>
      <c r="M1132" s="13">
        <v>45386</v>
      </c>
      <c r="N1132" s="86">
        <v>4079.9</v>
      </c>
      <c r="O1132" s="28" t="s">
        <v>20</v>
      </c>
      <c r="P1132" s="1" t="s">
        <v>66</v>
      </c>
      <c r="Q1132" s="32"/>
      <c r="R1132" s="191" t="s">
        <v>4977</v>
      </c>
    </row>
    <row r="1133" spans="1:18" ht="15.75" customHeight="1" x14ac:dyDescent="0.3">
      <c r="A1133" s="132" t="s">
        <v>3703</v>
      </c>
      <c r="B1133" s="3" t="s">
        <v>3703</v>
      </c>
      <c r="C1133" s="11" t="s">
        <v>4519</v>
      </c>
      <c r="D1133" t="s">
        <v>4493</v>
      </c>
      <c r="E1133" s="3"/>
      <c r="F1133" s="15"/>
      <c r="G1133" s="15"/>
      <c r="H1133" s="3" t="s">
        <v>3704</v>
      </c>
      <c r="I1133"/>
      <c r="J1133" s="175"/>
      <c r="K1133" s="11"/>
      <c r="L1133" s="11"/>
      <c r="M1133" s="13"/>
      <c r="N1133" s="86">
        <v>3000</v>
      </c>
      <c r="O1133" s="28" t="s">
        <v>20</v>
      </c>
      <c r="P1133" s="1" t="s">
        <v>78</v>
      </c>
      <c r="Q1133" s="32"/>
      <c r="R1133" s="191">
        <v>3000</v>
      </c>
    </row>
    <row r="1134" spans="1:18" ht="15.75" customHeight="1" x14ac:dyDescent="0.3">
      <c r="A1134" s="3" t="s">
        <v>3705</v>
      </c>
      <c r="B1134" s="3" t="s">
        <v>3705</v>
      </c>
      <c r="C1134" s="3" t="s">
        <v>4520</v>
      </c>
      <c r="D1134" t="s">
        <v>4495</v>
      </c>
      <c r="E1134" s="3"/>
      <c r="F1134" s="15"/>
      <c r="G1134" s="15"/>
      <c r="H1134" s="3" t="s">
        <v>195</v>
      </c>
      <c r="I1134"/>
      <c r="J1134" s="166">
        <v>31929</v>
      </c>
      <c r="K1134" s="11" t="s">
        <v>196</v>
      </c>
      <c r="L1134" s="11" t="s">
        <v>197</v>
      </c>
      <c r="M1134" s="29">
        <v>45887</v>
      </c>
      <c r="N1134" s="86">
        <v>1705.2</v>
      </c>
      <c r="O1134" s="28"/>
      <c r="P1134" s="1" t="s">
        <v>66</v>
      </c>
      <c r="Q1134" s="32"/>
      <c r="R1134" s="191" t="s">
        <v>4727</v>
      </c>
    </row>
    <row r="1135" spans="1:18" ht="15.75" customHeight="1" x14ac:dyDescent="0.3">
      <c r="A1135" s="132" t="s">
        <v>3706</v>
      </c>
      <c r="B1135" s="3" t="s">
        <v>3706</v>
      </c>
      <c r="C1135" s="11" t="s">
        <v>4490</v>
      </c>
      <c r="D1135" t="s">
        <v>4492</v>
      </c>
      <c r="E1135"/>
      <c r="F1135" t="s">
        <v>3707</v>
      </c>
      <c r="G1135" t="s">
        <v>4629</v>
      </c>
      <c r="H1135" s="3" t="s">
        <v>3673</v>
      </c>
      <c r="I1135"/>
      <c r="J1135" s="166">
        <v>159172</v>
      </c>
      <c r="K1135" s="11" t="s">
        <v>176</v>
      </c>
      <c r="L1135" s="11" t="s">
        <v>1015</v>
      </c>
      <c r="M1135" s="13">
        <v>45443</v>
      </c>
      <c r="N1135" s="86">
        <v>460000</v>
      </c>
      <c r="O1135" s="28" t="s">
        <v>20</v>
      </c>
      <c r="P1135" s="1" t="s">
        <v>78</v>
      </c>
      <c r="Q1135" s="32"/>
      <c r="R1135" s="191">
        <v>460000</v>
      </c>
    </row>
    <row r="1136" spans="1:18" ht="15.75" customHeight="1" x14ac:dyDescent="0.3">
      <c r="A1136" s="132" t="s">
        <v>3708</v>
      </c>
      <c r="B1136" s="3" t="s">
        <v>3708</v>
      </c>
      <c r="C1136" s="11" t="s">
        <v>4490</v>
      </c>
      <c r="D1136" t="s">
        <v>4492</v>
      </c>
      <c r="E1136"/>
      <c r="F1136" t="s">
        <v>3709</v>
      </c>
      <c r="G1136" t="s">
        <v>4629</v>
      </c>
      <c r="H1136" s="3" t="s">
        <v>3673</v>
      </c>
      <c r="I1136"/>
      <c r="J1136" s="166">
        <v>159171</v>
      </c>
      <c r="K1136" s="11" t="s">
        <v>176</v>
      </c>
      <c r="L1136" s="11" t="s">
        <v>1015</v>
      </c>
      <c r="M1136" s="13">
        <v>45443</v>
      </c>
      <c r="N1136" s="86">
        <v>460000</v>
      </c>
      <c r="O1136" s="28" t="s">
        <v>20</v>
      </c>
      <c r="P1136" s="1" t="s">
        <v>44</v>
      </c>
      <c r="Q1136" s="32"/>
      <c r="R1136" s="191">
        <v>460000</v>
      </c>
    </row>
    <row r="1137" spans="1:18" ht="15.75" customHeight="1" x14ac:dyDescent="0.3">
      <c r="A1137" s="132" t="s">
        <v>3710</v>
      </c>
      <c r="B1137" s="3" t="s">
        <v>3710</v>
      </c>
      <c r="C1137" s="11" t="s">
        <v>4490</v>
      </c>
      <c r="D1137" t="s">
        <v>4492</v>
      </c>
      <c r="E1137"/>
      <c r="F1137" t="s">
        <v>3711</v>
      </c>
      <c r="G1137" t="s">
        <v>4629</v>
      </c>
      <c r="H1137" s="3" t="s">
        <v>3673</v>
      </c>
      <c r="I1137"/>
      <c r="J1137" s="166">
        <v>159170</v>
      </c>
      <c r="K1137" s="11" t="s">
        <v>176</v>
      </c>
      <c r="L1137" s="11" t="s">
        <v>1015</v>
      </c>
      <c r="M1137" s="13">
        <v>45443</v>
      </c>
      <c r="N1137" s="86">
        <v>460000</v>
      </c>
      <c r="O1137" s="28" t="s">
        <v>20</v>
      </c>
      <c r="P1137" s="1" t="s">
        <v>91</v>
      </c>
      <c r="Q1137" s="32"/>
      <c r="R1137" s="191">
        <v>460000</v>
      </c>
    </row>
    <row r="1138" spans="1:18" ht="15.75" customHeight="1" x14ac:dyDescent="0.3">
      <c r="A1138" s="132" t="s">
        <v>3712</v>
      </c>
      <c r="B1138" s="3" t="s">
        <v>3712</v>
      </c>
      <c r="C1138" s="11" t="s">
        <v>4490</v>
      </c>
      <c r="D1138" t="s">
        <v>4492</v>
      </c>
      <c r="E1138"/>
      <c r="F1138" t="s">
        <v>3713</v>
      </c>
      <c r="G1138" t="s">
        <v>4629</v>
      </c>
      <c r="H1138" s="3" t="s">
        <v>3673</v>
      </c>
      <c r="I1138"/>
      <c r="J1138" s="166">
        <v>159167</v>
      </c>
      <c r="K1138" s="11" t="s">
        <v>176</v>
      </c>
      <c r="L1138" s="11" t="s">
        <v>1015</v>
      </c>
      <c r="M1138" s="13">
        <v>45443</v>
      </c>
      <c r="N1138" s="86">
        <v>460000</v>
      </c>
      <c r="O1138" s="28" t="s">
        <v>20</v>
      </c>
      <c r="P1138" s="1"/>
      <c r="Q1138" s="32"/>
      <c r="R1138" s="191">
        <v>460000</v>
      </c>
    </row>
    <row r="1139" spans="1:18" ht="15.75" customHeight="1" x14ac:dyDescent="0.3">
      <c r="A1139" s="132" t="s">
        <v>3714</v>
      </c>
      <c r="B1139" s="3" t="s">
        <v>3714</v>
      </c>
      <c r="C1139" s="11" t="s">
        <v>4490</v>
      </c>
      <c r="D1139" t="s">
        <v>4492</v>
      </c>
      <c r="E1139"/>
      <c r="F1139" t="s">
        <v>3715</v>
      </c>
      <c r="G1139" t="s">
        <v>4629</v>
      </c>
      <c r="H1139" s="3" t="s">
        <v>3654</v>
      </c>
      <c r="I1139"/>
      <c r="J1139" s="166">
        <v>159161</v>
      </c>
      <c r="K1139" s="11" t="s">
        <v>176</v>
      </c>
      <c r="L1139" s="11" t="s">
        <v>1015</v>
      </c>
      <c r="M1139" s="13">
        <v>45443</v>
      </c>
      <c r="N1139" s="86">
        <v>275000</v>
      </c>
      <c r="O1139" s="28" t="s">
        <v>20</v>
      </c>
      <c r="P1139" s="1"/>
      <c r="Q1139" s="32"/>
      <c r="R1139" s="191">
        <v>275000</v>
      </c>
    </row>
    <row r="1140" spans="1:18" ht="15.75" customHeight="1" x14ac:dyDescent="0.3">
      <c r="A1140" s="132" t="s">
        <v>3716</v>
      </c>
      <c r="B1140" s="3" t="s">
        <v>3716</v>
      </c>
      <c r="C1140" s="11" t="s">
        <v>4490</v>
      </c>
      <c r="D1140" t="s">
        <v>4492</v>
      </c>
      <c r="E1140"/>
      <c r="F1140" t="s">
        <v>3717</v>
      </c>
      <c r="G1140" t="s">
        <v>4629</v>
      </c>
      <c r="H1140" s="3" t="s">
        <v>3654</v>
      </c>
      <c r="I1140"/>
      <c r="J1140" s="166">
        <v>159158</v>
      </c>
      <c r="K1140" s="11" t="s">
        <v>176</v>
      </c>
      <c r="L1140" s="11" t="s">
        <v>1015</v>
      </c>
      <c r="M1140" s="13">
        <v>45443</v>
      </c>
      <c r="N1140" s="86">
        <v>275000</v>
      </c>
      <c r="O1140" s="28" t="s">
        <v>20</v>
      </c>
      <c r="P1140" s="1"/>
      <c r="Q1140" s="32"/>
      <c r="R1140" s="191">
        <v>275000</v>
      </c>
    </row>
    <row r="1141" spans="1:18" ht="15.75" customHeight="1" x14ac:dyDescent="0.3">
      <c r="A1141" s="132" t="s">
        <v>3718</v>
      </c>
      <c r="B1141" s="3" t="s">
        <v>3718</v>
      </c>
      <c r="C1141" s="11" t="s">
        <v>4490</v>
      </c>
      <c r="D1141" t="s">
        <v>4492</v>
      </c>
      <c r="E1141"/>
      <c r="F1141" t="s">
        <v>3719</v>
      </c>
      <c r="G1141" t="s">
        <v>4629</v>
      </c>
      <c r="H1141" s="3" t="s">
        <v>3654</v>
      </c>
      <c r="I1141"/>
      <c r="J1141" s="166">
        <v>159165</v>
      </c>
      <c r="K1141" s="11" t="s">
        <v>176</v>
      </c>
      <c r="L1141" s="11" t="s">
        <v>1015</v>
      </c>
      <c r="M1141" s="13">
        <v>45443</v>
      </c>
      <c r="N1141" s="86">
        <v>275000</v>
      </c>
      <c r="O1141" s="28" t="s">
        <v>20</v>
      </c>
      <c r="P1141" s="1"/>
      <c r="Q1141" s="32"/>
      <c r="R1141" s="191">
        <v>275000</v>
      </c>
    </row>
    <row r="1142" spans="1:18" ht="15.75" customHeight="1" x14ac:dyDescent="0.3">
      <c r="A1142" s="132" t="s">
        <v>3720</v>
      </c>
      <c r="B1142" s="3" t="s">
        <v>3720</v>
      </c>
      <c r="C1142" s="11" t="s">
        <v>4489</v>
      </c>
      <c r="D1142" t="s">
        <v>4493</v>
      </c>
      <c r="E1142" s="3"/>
      <c r="F1142" s="15"/>
      <c r="G1142" s="15"/>
      <c r="H1142" s="3" t="s">
        <v>3721</v>
      </c>
      <c r="I1142"/>
      <c r="J1142" s="166">
        <v>4512</v>
      </c>
      <c r="K1142" s="11" t="s">
        <v>3722</v>
      </c>
      <c r="L1142" s="11" t="s">
        <v>3723</v>
      </c>
      <c r="M1142" s="13">
        <v>45415</v>
      </c>
      <c r="N1142" s="86">
        <v>30000</v>
      </c>
      <c r="O1142" s="28"/>
      <c r="P1142" s="1"/>
      <c r="Q1142" s="32"/>
      <c r="R1142" s="191">
        <v>30000</v>
      </c>
    </row>
    <row r="1143" spans="1:18" ht="15.75" customHeight="1" x14ac:dyDescent="0.3">
      <c r="A1143" s="132" t="s">
        <v>3724</v>
      </c>
      <c r="B1143" s="3" t="s">
        <v>3724</v>
      </c>
      <c r="C1143" s="11" t="s">
        <v>4489</v>
      </c>
      <c r="D1143" t="s">
        <v>4494</v>
      </c>
      <c r="E1143" s="3"/>
      <c r="F1143" s="15"/>
      <c r="G1143" s="15"/>
      <c r="H1143" s="3" t="s">
        <v>2444</v>
      </c>
      <c r="I1143"/>
      <c r="J1143" s="166">
        <v>1085</v>
      </c>
      <c r="K1143" s="11" t="s">
        <v>104</v>
      </c>
      <c r="L1143" s="11" t="s">
        <v>105</v>
      </c>
      <c r="M1143" s="13">
        <v>45433</v>
      </c>
      <c r="N1143" s="86">
        <v>1698</v>
      </c>
      <c r="O1143" s="28"/>
      <c r="P1143" s="1"/>
      <c r="Q1143" s="32"/>
      <c r="R1143" s="191">
        <v>1698</v>
      </c>
    </row>
    <row r="1144" spans="1:18" ht="15.75" customHeight="1" x14ac:dyDescent="0.3">
      <c r="A1144" s="3" t="s">
        <v>3725</v>
      </c>
      <c r="B1144" s="3" t="s">
        <v>3725</v>
      </c>
      <c r="C1144" s="11" t="s">
        <v>4490</v>
      </c>
      <c r="D1144" t="s">
        <v>4493</v>
      </c>
      <c r="E1144" s="3"/>
      <c r="F1144" s="11"/>
      <c r="G1144" s="11"/>
      <c r="H1144" s="3" t="s">
        <v>3726</v>
      </c>
      <c r="I1144" t="s">
        <v>4569</v>
      </c>
      <c r="J1144" s="166">
        <v>4590</v>
      </c>
      <c r="K1144" s="11" t="s">
        <v>2255</v>
      </c>
      <c r="L1144" s="11" t="s">
        <v>834</v>
      </c>
      <c r="M1144" s="13">
        <v>45392</v>
      </c>
      <c r="N1144" s="86">
        <v>250000</v>
      </c>
      <c r="O1144" s="28" t="s">
        <v>20</v>
      </c>
      <c r="P1144" s="1" t="s">
        <v>78</v>
      </c>
      <c r="Q1144" s="32"/>
      <c r="R1144" s="191">
        <v>250000</v>
      </c>
    </row>
    <row r="1145" spans="1:18" ht="15.75" customHeight="1" x14ac:dyDescent="0.3">
      <c r="A1145" s="3" t="s">
        <v>3727</v>
      </c>
      <c r="B1145" s="3" t="s">
        <v>3727</v>
      </c>
      <c r="C1145" s="11" t="s">
        <v>4519</v>
      </c>
      <c r="D1145" t="s">
        <v>4493</v>
      </c>
      <c r="E1145" s="3"/>
      <c r="F1145" s="15"/>
      <c r="G1145" s="15"/>
      <c r="H1145" s="3" t="s">
        <v>3728</v>
      </c>
      <c r="I1145"/>
      <c r="J1145" s="166">
        <v>1908359</v>
      </c>
      <c r="K1145" s="11" t="s">
        <v>3729</v>
      </c>
      <c r="L1145" s="11" t="s">
        <v>3730</v>
      </c>
      <c r="M1145" s="13">
        <v>45427</v>
      </c>
      <c r="N1145" s="86">
        <v>1680.12</v>
      </c>
      <c r="O1145" s="28" t="s">
        <v>20</v>
      </c>
      <c r="P1145" s="1" t="s">
        <v>78</v>
      </c>
      <c r="Q1145" s="32"/>
      <c r="R1145" s="191" t="s">
        <v>4978</v>
      </c>
    </row>
    <row r="1146" spans="1:18" ht="15.75" customHeight="1" x14ac:dyDescent="0.3">
      <c r="A1146" s="3" t="s">
        <v>3731</v>
      </c>
      <c r="B1146" s="3" t="s">
        <v>3731</v>
      </c>
      <c r="C1146" s="11" t="s">
        <v>4519</v>
      </c>
      <c r="D1146" t="s">
        <v>4493</v>
      </c>
      <c r="E1146" s="3"/>
      <c r="F1146" s="15"/>
      <c r="G1146" s="15"/>
      <c r="H1146" s="3" t="s">
        <v>3728</v>
      </c>
      <c r="I1146"/>
      <c r="J1146" s="166">
        <v>1908357</v>
      </c>
      <c r="K1146" s="11" t="s">
        <v>3729</v>
      </c>
      <c r="L1146" s="11" t="s">
        <v>3732</v>
      </c>
      <c r="M1146" s="13">
        <v>45428</v>
      </c>
      <c r="N1146" s="86">
        <v>1680.12</v>
      </c>
      <c r="O1146" s="28" t="s">
        <v>20</v>
      </c>
      <c r="P1146" s="1" t="s">
        <v>78</v>
      </c>
      <c r="Q1146" s="32"/>
      <c r="R1146" s="191" t="s">
        <v>4978</v>
      </c>
    </row>
    <row r="1147" spans="1:18" ht="15.75" customHeight="1" x14ac:dyDescent="0.3">
      <c r="A1147" s="132" t="s">
        <v>3733</v>
      </c>
      <c r="B1147" s="3" t="s">
        <v>3733</v>
      </c>
      <c r="C1147" s="11" t="s">
        <v>4519</v>
      </c>
      <c r="D1147" t="s">
        <v>4493</v>
      </c>
      <c r="E1147" s="3"/>
      <c r="F1147" s="15"/>
      <c r="G1147" s="15"/>
      <c r="H1147" s="3" t="s">
        <v>3734</v>
      </c>
      <c r="I1147"/>
      <c r="J1147" s="166">
        <v>3484</v>
      </c>
      <c r="K1147" s="11" t="s">
        <v>1692</v>
      </c>
      <c r="L1147" s="11" t="s">
        <v>1693</v>
      </c>
      <c r="M1147" s="13">
        <v>45422</v>
      </c>
      <c r="N1147" s="86">
        <v>3499</v>
      </c>
      <c r="O1147" s="28"/>
      <c r="P1147" s="1"/>
      <c r="Q1147" s="32"/>
      <c r="R1147" s="191">
        <v>3499</v>
      </c>
    </row>
    <row r="1148" spans="1:18" ht="15.75" customHeight="1" x14ac:dyDescent="0.3">
      <c r="A1148" s="132" t="s">
        <v>3735</v>
      </c>
      <c r="B1148" s="3" t="s">
        <v>3735</v>
      </c>
      <c r="C1148" s="11" t="s">
        <v>4489</v>
      </c>
      <c r="D1148" t="s">
        <v>4492</v>
      </c>
      <c r="E1148" s="3"/>
      <c r="F1148" s="15"/>
      <c r="G1148" s="15"/>
      <c r="H1148" s="3" t="s">
        <v>2653</v>
      </c>
      <c r="I1148"/>
      <c r="J1148" s="166">
        <v>9726</v>
      </c>
      <c r="K1148" s="3" t="s">
        <v>3736</v>
      </c>
      <c r="L1148" s="11" t="s">
        <v>3737</v>
      </c>
      <c r="M1148" s="29">
        <v>45454</v>
      </c>
      <c r="N1148" s="86">
        <v>8900</v>
      </c>
      <c r="O1148" s="28" t="s">
        <v>20</v>
      </c>
      <c r="P1148" s="1" t="s">
        <v>91</v>
      </c>
      <c r="Q1148" s="32"/>
      <c r="R1148" s="191">
        <v>8900</v>
      </c>
    </row>
    <row r="1149" spans="1:18" ht="15.75" customHeight="1" x14ac:dyDescent="0.3">
      <c r="A1149" s="132" t="s">
        <v>3738</v>
      </c>
      <c r="B1149" s="3" t="s">
        <v>3738</v>
      </c>
      <c r="C1149" s="11" t="s">
        <v>4489</v>
      </c>
      <c r="D1149" t="s">
        <v>4492</v>
      </c>
      <c r="E1149" s="3"/>
      <c r="F1149" s="15"/>
      <c r="G1149" s="15"/>
      <c r="H1149" s="3" t="s">
        <v>3739</v>
      </c>
      <c r="I1149"/>
      <c r="J1149" s="166">
        <v>9726</v>
      </c>
      <c r="K1149" s="3" t="s">
        <v>3736</v>
      </c>
      <c r="L1149" s="11" t="s">
        <v>3737</v>
      </c>
      <c r="M1149" s="29">
        <v>45454</v>
      </c>
      <c r="N1149" s="86">
        <v>1100</v>
      </c>
      <c r="O1149" s="28"/>
      <c r="P1149" s="1" t="s">
        <v>91</v>
      </c>
      <c r="Q1149" s="32"/>
      <c r="R1149" s="191">
        <v>1100</v>
      </c>
    </row>
    <row r="1150" spans="1:18" ht="15.75" customHeight="1" x14ac:dyDescent="0.3">
      <c r="A1150" s="132" t="s">
        <v>3740</v>
      </c>
      <c r="B1150" s="3" t="s">
        <v>3740</v>
      </c>
      <c r="C1150" s="3" t="s">
        <v>4487</v>
      </c>
      <c r="D1150" t="s">
        <v>4496</v>
      </c>
      <c r="E1150" t="s">
        <v>3741</v>
      </c>
      <c r="F1150" t="s">
        <v>3742</v>
      </c>
      <c r="G1150" t="s">
        <v>4626</v>
      </c>
      <c r="H1150" s="3" t="s">
        <v>3743</v>
      </c>
      <c r="I1150" t="s">
        <v>4570</v>
      </c>
      <c r="J1150" s="166">
        <v>75506</v>
      </c>
      <c r="K1150" s="11" t="s">
        <v>3273</v>
      </c>
      <c r="L1150" s="11" t="s">
        <v>3274</v>
      </c>
      <c r="M1150" s="29">
        <v>45838</v>
      </c>
      <c r="N1150" s="86">
        <v>208230.63</v>
      </c>
      <c r="O1150" s="28"/>
      <c r="P1150" s="1" t="s">
        <v>106</v>
      </c>
      <c r="Q1150" s="32"/>
      <c r="R1150" s="191" t="s">
        <v>4979</v>
      </c>
    </row>
    <row r="1151" spans="1:18" ht="15.75" customHeight="1" x14ac:dyDescent="0.3">
      <c r="A1151" s="132" t="s">
        <v>3744</v>
      </c>
      <c r="B1151" s="3" t="s">
        <v>3744</v>
      </c>
      <c r="C1151" s="11" t="s">
        <v>4489</v>
      </c>
      <c r="D1151" t="s">
        <v>4492</v>
      </c>
      <c r="E1151" s="3"/>
      <c r="F1151" s="15"/>
      <c r="G1151" s="15"/>
      <c r="H1151" s="3" t="s">
        <v>3745</v>
      </c>
      <c r="I1151"/>
      <c r="J1151" s="166">
        <v>1903</v>
      </c>
      <c r="K1151" s="3" t="s">
        <v>3668</v>
      </c>
      <c r="L1151" s="11" t="s">
        <v>3669</v>
      </c>
      <c r="M1151" s="29">
        <v>45441</v>
      </c>
      <c r="N1151" s="86">
        <v>2060</v>
      </c>
      <c r="O1151" s="28" t="s">
        <v>20</v>
      </c>
      <c r="P1151" s="1" t="s">
        <v>91</v>
      </c>
      <c r="Q1151" s="32"/>
      <c r="R1151" s="191">
        <v>2060</v>
      </c>
    </row>
    <row r="1152" spans="1:18" ht="15.75" customHeight="1" x14ac:dyDescent="0.3">
      <c r="A1152" s="132" t="s">
        <v>3746</v>
      </c>
      <c r="B1152" s="3" t="s">
        <v>3746</v>
      </c>
      <c r="C1152" s="11" t="s">
        <v>4489</v>
      </c>
      <c r="D1152" t="s">
        <v>4492</v>
      </c>
      <c r="E1152" s="3"/>
      <c r="F1152" s="15"/>
      <c r="G1152" s="15"/>
      <c r="H1152" s="3" t="s">
        <v>3747</v>
      </c>
      <c r="I1152"/>
      <c r="J1152" s="166">
        <v>4047</v>
      </c>
      <c r="K1152" s="3" t="s">
        <v>3681</v>
      </c>
      <c r="L1152" s="11" t="s">
        <v>3682</v>
      </c>
      <c r="M1152" s="29">
        <v>45434</v>
      </c>
      <c r="N1152" s="86">
        <v>5190</v>
      </c>
      <c r="O1152" s="28" t="s">
        <v>20</v>
      </c>
      <c r="P1152" s="1" t="s">
        <v>91</v>
      </c>
      <c r="Q1152" s="32"/>
      <c r="R1152" s="191">
        <v>5190</v>
      </c>
    </row>
    <row r="1153" spans="1:18" ht="15.75" customHeight="1" x14ac:dyDescent="0.3">
      <c r="A1153" s="132" t="s">
        <v>3748</v>
      </c>
      <c r="B1153" s="3" t="s">
        <v>3748</v>
      </c>
      <c r="C1153" s="11" t="s">
        <v>4518</v>
      </c>
      <c r="D1153" t="s">
        <v>4492</v>
      </c>
      <c r="E1153"/>
      <c r="F1153"/>
      <c r="G1153"/>
      <c r="H1153" s="3" t="s">
        <v>3749</v>
      </c>
      <c r="I1153"/>
      <c r="J1153" s="166">
        <v>241977</v>
      </c>
      <c r="K1153" s="3" t="s">
        <v>2296</v>
      </c>
      <c r="L1153" s="11" t="s">
        <v>2297</v>
      </c>
      <c r="M1153" s="29">
        <v>45448</v>
      </c>
      <c r="N1153" s="86">
        <v>2954.5</v>
      </c>
      <c r="O1153" s="28" t="s">
        <v>20</v>
      </c>
      <c r="P1153" s="1"/>
      <c r="Q1153" s="32"/>
      <c r="R1153" s="191" t="s">
        <v>4980</v>
      </c>
    </row>
    <row r="1154" spans="1:18" ht="15.75" customHeight="1" x14ac:dyDescent="0.3">
      <c r="A1154" s="132" t="s">
        <v>3750</v>
      </c>
      <c r="B1154" s="3" t="s">
        <v>3750</v>
      </c>
      <c r="C1154" s="11" t="s">
        <v>4518</v>
      </c>
      <c r="D1154" t="s">
        <v>4492</v>
      </c>
      <c r="E1154"/>
      <c r="F1154"/>
      <c r="G1154"/>
      <c r="H1154" s="3" t="s">
        <v>3751</v>
      </c>
      <c r="I1154"/>
      <c r="J1154" s="166">
        <v>76426</v>
      </c>
      <c r="K1154" s="3" t="s">
        <v>3308</v>
      </c>
      <c r="L1154" s="11" t="s">
        <v>551</v>
      </c>
      <c r="M1154" s="29">
        <v>45909</v>
      </c>
      <c r="N1154" s="86">
        <v>5348.2</v>
      </c>
      <c r="O1154" s="28"/>
      <c r="P1154" s="1"/>
      <c r="Q1154" s="32"/>
      <c r="R1154" s="191" t="s">
        <v>4981</v>
      </c>
    </row>
    <row r="1155" spans="1:18" ht="15.75" customHeight="1" x14ac:dyDescent="0.3">
      <c r="A1155" s="3" t="s">
        <v>3752</v>
      </c>
      <c r="B1155" s="3" t="s">
        <v>3752</v>
      </c>
      <c r="C1155" s="11" t="s">
        <v>4518</v>
      </c>
      <c r="D1155" t="s">
        <v>4493</v>
      </c>
      <c r="E1155" s="3"/>
      <c r="F1155" s="10"/>
      <c r="G1155" s="10"/>
      <c r="H1155" s="3" t="s">
        <v>3753</v>
      </c>
      <c r="I1155"/>
      <c r="J1155" s="166">
        <v>138214</v>
      </c>
      <c r="K1155" s="3" t="s">
        <v>683</v>
      </c>
      <c r="L1155" s="11" t="s">
        <v>684</v>
      </c>
      <c r="M1155" s="29">
        <v>45446</v>
      </c>
      <c r="N1155" s="86">
        <v>1861.27</v>
      </c>
      <c r="O1155" s="28"/>
      <c r="P1155" s="1"/>
      <c r="Q1155" s="32"/>
      <c r="R1155" s="191" t="s">
        <v>4982</v>
      </c>
    </row>
    <row r="1156" spans="1:18" ht="15.75" customHeight="1" x14ac:dyDescent="0.3">
      <c r="A1156" s="3" t="s">
        <v>3754</v>
      </c>
      <c r="B1156" s="3" t="s">
        <v>3754</v>
      </c>
      <c r="C1156" s="11" t="s">
        <v>4518</v>
      </c>
      <c r="D1156" t="s">
        <v>4493</v>
      </c>
      <c r="E1156" s="3"/>
      <c r="F1156" s="10"/>
      <c r="G1156" s="10"/>
      <c r="H1156" s="3" t="s">
        <v>3753</v>
      </c>
      <c r="I1156"/>
      <c r="J1156" s="166">
        <v>138214</v>
      </c>
      <c r="K1156" s="3" t="s">
        <v>683</v>
      </c>
      <c r="L1156" s="11" t="s">
        <v>684</v>
      </c>
      <c r="M1156" s="29">
        <v>45446</v>
      </c>
      <c r="N1156" s="86">
        <v>1861.28</v>
      </c>
      <c r="O1156" s="28"/>
      <c r="P1156" s="1"/>
      <c r="Q1156" s="32"/>
      <c r="R1156" s="191" t="s">
        <v>4983</v>
      </c>
    </row>
    <row r="1157" spans="1:18" ht="15.75" customHeight="1" x14ac:dyDescent="0.3">
      <c r="A1157" s="3" t="s">
        <v>3755</v>
      </c>
      <c r="B1157" s="3" t="s">
        <v>3755</v>
      </c>
      <c r="C1157" s="11" t="s">
        <v>4519</v>
      </c>
      <c r="D1157" t="s">
        <v>4494</v>
      </c>
      <c r="E1157" s="3"/>
      <c r="F1157" s="11"/>
      <c r="G1157" s="11"/>
      <c r="H1157" s="3" t="s">
        <v>3756</v>
      </c>
      <c r="I1157"/>
      <c r="J1157" s="166">
        <v>68558</v>
      </c>
      <c r="K1157" s="3" t="s">
        <v>3757</v>
      </c>
      <c r="L1157" s="13" t="s">
        <v>3758</v>
      </c>
      <c r="M1157" s="29">
        <v>45463</v>
      </c>
      <c r="N1157" s="86">
        <v>2133.0300000000002</v>
      </c>
      <c r="O1157" s="28"/>
      <c r="P1157" s="1"/>
      <c r="Q1157" s="32"/>
      <c r="R1157" s="191" t="s">
        <v>4984</v>
      </c>
    </row>
    <row r="1158" spans="1:18" ht="15.75" customHeight="1" x14ac:dyDescent="0.3">
      <c r="A1158" s="3" t="s">
        <v>3759</v>
      </c>
      <c r="B1158" s="3" t="s">
        <v>3759</v>
      </c>
      <c r="C1158" s="11" t="s">
        <v>4519</v>
      </c>
      <c r="D1158" t="s">
        <v>4494</v>
      </c>
      <c r="E1158" s="3"/>
      <c r="F1158" s="11"/>
      <c r="G1158" s="11"/>
      <c r="H1158" s="3" t="s">
        <v>3756</v>
      </c>
      <c r="I1158"/>
      <c r="J1158" s="166">
        <v>68558</v>
      </c>
      <c r="K1158" s="3" t="s">
        <v>3757</v>
      </c>
      <c r="L1158" s="13" t="s">
        <v>3758</v>
      </c>
      <c r="M1158" s="29">
        <v>45463</v>
      </c>
      <c r="N1158" s="86">
        <v>2133.0300000000002</v>
      </c>
      <c r="O1158" s="28"/>
      <c r="P1158" s="1"/>
      <c r="Q1158" s="32"/>
      <c r="R1158" s="191" t="s">
        <v>4984</v>
      </c>
    </row>
    <row r="1159" spans="1:18" ht="15.75" customHeight="1" x14ac:dyDescent="0.3">
      <c r="A1159" s="3" t="s">
        <v>3760</v>
      </c>
      <c r="B1159" s="3" t="s">
        <v>3760</v>
      </c>
      <c r="C1159" s="11" t="s">
        <v>4519</v>
      </c>
      <c r="D1159" t="s">
        <v>4494</v>
      </c>
      <c r="E1159" s="3"/>
      <c r="F1159" s="11"/>
      <c r="G1159" s="11"/>
      <c r="H1159" s="3" t="s">
        <v>3756</v>
      </c>
      <c r="I1159"/>
      <c r="J1159" s="166">
        <v>68558</v>
      </c>
      <c r="K1159" s="3" t="s">
        <v>3757</v>
      </c>
      <c r="L1159" s="13" t="s">
        <v>3758</v>
      </c>
      <c r="M1159" s="29">
        <v>45463</v>
      </c>
      <c r="N1159" s="86">
        <v>2133.0300000000002</v>
      </c>
      <c r="O1159" s="28"/>
      <c r="P1159" s="1"/>
      <c r="Q1159" s="32"/>
      <c r="R1159" s="191" t="s">
        <v>4984</v>
      </c>
    </row>
    <row r="1160" spans="1:18" ht="15.75" customHeight="1" x14ac:dyDescent="0.3">
      <c r="A1160" s="132" t="s">
        <v>3761</v>
      </c>
      <c r="B1160" s="3" t="s">
        <v>3761</v>
      </c>
      <c r="C1160" s="11" t="s">
        <v>4518</v>
      </c>
      <c r="D1160" t="s">
        <v>4495</v>
      </c>
      <c r="E1160" s="3"/>
      <c r="F1160" s="15"/>
      <c r="G1160" s="15"/>
      <c r="H1160" s="3" t="s">
        <v>1098</v>
      </c>
      <c r="I1160"/>
      <c r="J1160" s="166">
        <v>2842</v>
      </c>
      <c r="K1160" s="3" t="s">
        <v>1137</v>
      </c>
      <c r="L1160" s="11" t="s">
        <v>3762</v>
      </c>
      <c r="M1160" s="29">
        <v>45462</v>
      </c>
      <c r="N1160" s="86">
        <v>8404</v>
      </c>
      <c r="O1160" s="28"/>
      <c r="P1160" s="1"/>
      <c r="Q1160" s="32"/>
      <c r="R1160" s="191">
        <v>8404</v>
      </c>
    </row>
    <row r="1161" spans="1:18" ht="15.75" customHeight="1" x14ac:dyDescent="0.3">
      <c r="A1161" s="132" t="s">
        <v>3763</v>
      </c>
      <c r="B1161" s="3" t="s">
        <v>3763</v>
      </c>
      <c r="C1161" s="11" t="s">
        <v>4520</v>
      </c>
      <c r="D1161" t="s">
        <v>4496</v>
      </c>
      <c r="E1161" s="3"/>
      <c r="F1161" s="11"/>
      <c r="G1161" s="11"/>
      <c r="H1161" s="3" t="s">
        <v>3764</v>
      </c>
      <c r="I1161"/>
      <c r="J1161" s="166">
        <v>98215</v>
      </c>
      <c r="K1161" s="3" t="s">
        <v>3765</v>
      </c>
      <c r="L1161" s="11" t="s">
        <v>3766</v>
      </c>
      <c r="M1161" s="29">
        <v>45400</v>
      </c>
      <c r="N1161" s="86">
        <v>5299</v>
      </c>
      <c r="O1161" s="28"/>
      <c r="P1161" s="1"/>
      <c r="Q1161" s="32"/>
      <c r="R1161" s="191">
        <v>5299</v>
      </c>
    </row>
    <row r="1162" spans="1:18" ht="15.75" customHeight="1" x14ac:dyDescent="0.3">
      <c r="A1162" s="132" t="s">
        <v>3767</v>
      </c>
      <c r="B1162" s="3" t="s">
        <v>3767</v>
      </c>
      <c r="C1162" s="11" t="s">
        <v>4490</v>
      </c>
      <c r="D1162" t="s">
        <v>4495</v>
      </c>
      <c r="E1162"/>
      <c r="F1162" t="s">
        <v>3768</v>
      </c>
      <c r="G1162" t="s">
        <v>4629</v>
      </c>
      <c r="H1162" s="3" t="s">
        <v>3769</v>
      </c>
      <c r="I1162"/>
      <c r="J1162" s="166">
        <v>447308</v>
      </c>
      <c r="K1162" s="11" t="s">
        <v>3770</v>
      </c>
      <c r="L1162" s="11" t="s">
        <v>3771</v>
      </c>
      <c r="M1162" s="13">
        <v>45441</v>
      </c>
      <c r="N1162" s="86">
        <v>1408000</v>
      </c>
      <c r="O1162" s="28" t="s">
        <v>20</v>
      </c>
      <c r="P1162" s="1"/>
      <c r="Q1162" s="32"/>
      <c r="R1162" s="191">
        <v>1408000</v>
      </c>
    </row>
    <row r="1163" spans="1:18" ht="15.75" customHeight="1" x14ac:dyDescent="0.3">
      <c r="A1163" s="132" t="s">
        <v>3772</v>
      </c>
      <c r="B1163" s="3" t="s">
        <v>3772</v>
      </c>
      <c r="C1163" s="11" t="s">
        <v>4518</v>
      </c>
      <c r="D1163" t="s">
        <v>4492</v>
      </c>
      <c r="E1163"/>
      <c r="F1163"/>
      <c r="G1163" t="s">
        <v>4626</v>
      </c>
      <c r="H1163" s="3" t="s">
        <v>1445</v>
      </c>
      <c r="I1163"/>
      <c r="J1163" s="166">
        <v>139467</v>
      </c>
      <c r="K1163" s="3" t="s">
        <v>683</v>
      </c>
      <c r="L1163" s="11" t="s">
        <v>684</v>
      </c>
      <c r="M1163" s="29">
        <v>45468</v>
      </c>
      <c r="N1163" s="86">
        <v>3181.93</v>
      </c>
      <c r="O1163" s="28" t="s">
        <v>20</v>
      </c>
      <c r="P1163" s="1" t="s">
        <v>91</v>
      </c>
      <c r="Q1163" s="32"/>
      <c r="R1163" s="191" t="s">
        <v>4985</v>
      </c>
    </row>
    <row r="1164" spans="1:18" ht="15.75" customHeight="1" x14ac:dyDescent="0.3">
      <c r="A1164" s="132" t="s">
        <v>3773</v>
      </c>
      <c r="B1164" s="3" t="s">
        <v>3773</v>
      </c>
      <c r="C1164" s="11" t="s">
        <v>4518</v>
      </c>
      <c r="D1164" t="s">
        <v>4495</v>
      </c>
      <c r="E1164"/>
      <c r="F1164"/>
      <c r="G1164" t="s">
        <v>4616</v>
      </c>
      <c r="H1164" s="3" t="s">
        <v>3774</v>
      </c>
      <c r="I1164"/>
      <c r="J1164" s="166">
        <v>1571</v>
      </c>
      <c r="K1164" s="3" t="s">
        <v>3775</v>
      </c>
      <c r="L1164" s="11" t="s">
        <v>3776</v>
      </c>
      <c r="M1164" s="29">
        <v>45468</v>
      </c>
      <c r="N1164" s="86">
        <v>21000</v>
      </c>
      <c r="O1164" s="28" t="s">
        <v>20</v>
      </c>
      <c r="P1164" s="1"/>
      <c r="Q1164" s="32"/>
      <c r="R1164" s="191">
        <v>21000</v>
      </c>
    </row>
    <row r="1165" spans="1:18" ht="15.75" customHeight="1" x14ac:dyDescent="0.3">
      <c r="A1165" s="3" t="s">
        <v>3777</v>
      </c>
      <c r="B1165" s="3" t="s">
        <v>3777</v>
      </c>
      <c r="C1165" s="11" t="s">
        <v>4519</v>
      </c>
      <c r="D1165" t="s">
        <v>4494</v>
      </c>
      <c r="E1165" s="3"/>
      <c r="F1165" s="11"/>
      <c r="G1165" s="11"/>
      <c r="H1165" s="3" t="s">
        <v>3434</v>
      </c>
      <c r="I1165"/>
      <c r="J1165" s="166">
        <v>264563</v>
      </c>
      <c r="K1165" s="3" t="s">
        <v>1089</v>
      </c>
      <c r="L1165" s="11" t="s">
        <v>1090</v>
      </c>
      <c r="M1165" s="29">
        <v>45481</v>
      </c>
      <c r="N1165" s="86">
        <v>2663.33</v>
      </c>
      <c r="O1165" s="28"/>
      <c r="P1165" s="1"/>
      <c r="Q1165" s="32"/>
      <c r="R1165" s="191" t="s">
        <v>4986</v>
      </c>
    </row>
    <row r="1166" spans="1:18" ht="15.75" customHeight="1" x14ac:dyDescent="0.3">
      <c r="A1166" s="3" t="s">
        <v>3778</v>
      </c>
      <c r="B1166" s="3" t="s">
        <v>3778</v>
      </c>
      <c r="C1166" s="11" t="s">
        <v>4519</v>
      </c>
      <c r="D1166" t="s">
        <v>4494</v>
      </c>
      <c r="E1166" s="3"/>
      <c r="F1166" s="11"/>
      <c r="G1166" s="11"/>
      <c r="H1166" s="3" t="s">
        <v>3434</v>
      </c>
      <c r="I1166"/>
      <c r="J1166" s="166">
        <v>264563</v>
      </c>
      <c r="K1166" s="3" t="s">
        <v>1089</v>
      </c>
      <c r="L1166" s="11" t="s">
        <v>1090</v>
      </c>
      <c r="M1166" s="29">
        <v>45481</v>
      </c>
      <c r="N1166" s="86">
        <v>2663.33</v>
      </c>
      <c r="O1166" s="28"/>
      <c r="P1166" s="1"/>
      <c r="Q1166" s="32"/>
      <c r="R1166" s="191" t="s">
        <v>4986</v>
      </c>
    </row>
    <row r="1167" spans="1:18" ht="15.75" customHeight="1" x14ac:dyDescent="0.3">
      <c r="A1167" s="3" t="s">
        <v>3779</v>
      </c>
      <c r="B1167" s="3" t="s">
        <v>3779</v>
      </c>
      <c r="C1167" s="11" t="s">
        <v>4519</v>
      </c>
      <c r="D1167" t="s">
        <v>4494</v>
      </c>
      <c r="E1167" s="3"/>
      <c r="F1167" s="11"/>
      <c r="G1167" s="11"/>
      <c r="H1167" s="3" t="s">
        <v>3434</v>
      </c>
      <c r="I1167"/>
      <c r="J1167" s="166">
        <v>264563</v>
      </c>
      <c r="K1167" s="3" t="s">
        <v>1089</v>
      </c>
      <c r="L1167" s="11" t="s">
        <v>1090</v>
      </c>
      <c r="M1167" s="29">
        <v>45481</v>
      </c>
      <c r="N1167" s="86">
        <v>2663.33</v>
      </c>
      <c r="O1167" s="28"/>
      <c r="P1167" s="1"/>
      <c r="Q1167" s="32"/>
      <c r="R1167" s="191" t="s">
        <v>4986</v>
      </c>
    </row>
    <row r="1168" spans="1:18" ht="15.75" customHeight="1" x14ac:dyDescent="0.3">
      <c r="A1168" s="3" t="s">
        <v>3780</v>
      </c>
      <c r="B1168" s="3" t="s">
        <v>3780</v>
      </c>
      <c r="C1168" s="11" t="s">
        <v>4519</v>
      </c>
      <c r="D1168" t="s">
        <v>4494</v>
      </c>
      <c r="E1168" s="3"/>
      <c r="F1168" s="11"/>
      <c r="G1168" s="11"/>
      <c r="H1168" s="3" t="s">
        <v>3434</v>
      </c>
      <c r="I1168"/>
      <c r="J1168" s="166">
        <v>264563</v>
      </c>
      <c r="K1168" s="3" t="s">
        <v>1089</v>
      </c>
      <c r="L1168" s="11" t="s">
        <v>1090</v>
      </c>
      <c r="M1168" s="29">
        <v>45481</v>
      </c>
      <c r="N1168" s="86">
        <v>2663.33</v>
      </c>
      <c r="O1168" s="28"/>
      <c r="P1168" s="1"/>
      <c r="Q1168" s="32"/>
      <c r="R1168" s="191" t="s">
        <v>4986</v>
      </c>
    </row>
    <row r="1169" spans="1:18" ht="15.75" customHeight="1" x14ac:dyDescent="0.3">
      <c r="A1169" s="3" t="s">
        <v>3781</v>
      </c>
      <c r="B1169" s="3" t="s">
        <v>3781</v>
      </c>
      <c r="C1169" s="11" t="s">
        <v>4519</v>
      </c>
      <c r="D1169" t="s">
        <v>4494</v>
      </c>
      <c r="E1169" s="3"/>
      <c r="F1169" s="11"/>
      <c r="G1169" s="11"/>
      <c r="H1169" s="3" t="s">
        <v>3434</v>
      </c>
      <c r="I1169"/>
      <c r="J1169" s="166">
        <v>264563</v>
      </c>
      <c r="K1169" s="3" t="s">
        <v>1089</v>
      </c>
      <c r="L1169" s="11" t="s">
        <v>1090</v>
      </c>
      <c r="M1169" s="29">
        <v>45481</v>
      </c>
      <c r="N1169" s="86">
        <v>2663.33</v>
      </c>
      <c r="O1169" s="28"/>
      <c r="P1169" s="1"/>
      <c r="Q1169" s="32"/>
      <c r="R1169" s="191" t="s">
        <v>4986</v>
      </c>
    </row>
    <row r="1170" spans="1:18" ht="15.75" customHeight="1" x14ac:dyDescent="0.3">
      <c r="A1170" s="3" t="s">
        <v>3782</v>
      </c>
      <c r="B1170" s="3" t="s">
        <v>3782</v>
      </c>
      <c r="C1170" s="11" t="s">
        <v>4519</v>
      </c>
      <c r="D1170" t="s">
        <v>4494</v>
      </c>
      <c r="E1170" s="3"/>
      <c r="F1170" s="11"/>
      <c r="G1170" s="11"/>
      <c r="H1170" s="3" t="s">
        <v>3434</v>
      </c>
      <c r="I1170"/>
      <c r="J1170" s="166">
        <v>264563</v>
      </c>
      <c r="K1170" s="3" t="s">
        <v>1089</v>
      </c>
      <c r="L1170" s="11" t="s">
        <v>1090</v>
      </c>
      <c r="M1170" s="29">
        <v>45481</v>
      </c>
      <c r="N1170" s="86">
        <v>2663.33</v>
      </c>
      <c r="O1170" s="28"/>
      <c r="P1170" s="1"/>
      <c r="Q1170" s="32"/>
      <c r="R1170" s="191" t="s">
        <v>4986</v>
      </c>
    </row>
    <row r="1171" spans="1:18" ht="15.75" customHeight="1" x14ac:dyDescent="0.3">
      <c r="A1171" s="3" t="s">
        <v>3783</v>
      </c>
      <c r="B1171" s="3" t="s">
        <v>3783</v>
      </c>
      <c r="C1171" s="11" t="s">
        <v>4489</v>
      </c>
      <c r="D1171" t="s">
        <v>4492</v>
      </c>
      <c r="E1171" s="3"/>
      <c r="F1171" s="15"/>
      <c r="G1171" s="15"/>
      <c r="H1171" s="3" t="s">
        <v>3784</v>
      </c>
      <c r="I1171"/>
      <c r="J1171" s="166">
        <v>356</v>
      </c>
      <c r="K1171" s="3" t="s">
        <v>3785</v>
      </c>
      <c r="L1171" s="11" t="s">
        <v>3786</v>
      </c>
      <c r="M1171" s="29">
        <v>45469</v>
      </c>
      <c r="N1171" s="86">
        <v>18899.990000000002</v>
      </c>
      <c r="O1171" s="28"/>
      <c r="P1171" s="1"/>
      <c r="Q1171" s="32"/>
      <c r="R1171" s="191" t="s">
        <v>4987</v>
      </c>
    </row>
    <row r="1172" spans="1:18" ht="15.75" customHeight="1" x14ac:dyDescent="0.3">
      <c r="A1172" s="132" t="s">
        <v>3787</v>
      </c>
      <c r="B1172" s="3" t="s">
        <v>3787</v>
      </c>
      <c r="C1172" s="11" t="s">
        <v>4490</v>
      </c>
      <c r="D1172" t="s">
        <v>4492</v>
      </c>
      <c r="E1172"/>
      <c r="F1172">
        <v>1047840</v>
      </c>
      <c r="G1172" t="s">
        <v>4645</v>
      </c>
      <c r="H1172" s="3" t="s">
        <v>1699</v>
      </c>
      <c r="I1172" s="160"/>
      <c r="J1172" s="166">
        <v>81607</v>
      </c>
      <c r="K1172" s="3" t="s">
        <v>2106</v>
      </c>
      <c r="L1172" s="11" t="s">
        <v>2107</v>
      </c>
      <c r="M1172" s="29">
        <v>45461</v>
      </c>
      <c r="N1172" s="86">
        <v>154000</v>
      </c>
      <c r="O1172" s="28" t="s">
        <v>20</v>
      </c>
      <c r="P1172" s="1" t="s">
        <v>91</v>
      </c>
      <c r="Q1172" s="32"/>
      <c r="R1172" s="191">
        <v>154000</v>
      </c>
    </row>
    <row r="1173" spans="1:18" ht="15.75" customHeight="1" x14ac:dyDescent="0.3">
      <c r="A1173" s="3" t="s">
        <v>3788</v>
      </c>
      <c r="B1173" s="3" t="s">
        <v>3788</v>
      </c>
      <c r="C1173" s="11" t="s">
        <v>4489</v>
      </c>
      <c r="D1173" t="s">
        <v>4492</v>
      </c>
      <c r="E1173" s="3"/>
      <c r="F1173" s="15"/>
      <c r="G1173" s="15"/>
      <c r="H1173" s="3" t="s">
        <v>3789</v>
      </c>
      <c r="I1173"/>
      <c r="J1173" s="166">
        <v>148511</v>
      </c>
      <c r="K1173" s="3" t="s">
        <v>2116</v>
      </c>
      <c r="L1173" s="11" t="s">
        <v>3240</v>
      </c>
      <c r="M1173" s="29">
        <v>45437</v>
      </c>
      <c r="N1173" s="86">
        <v>454000</v>
      </c>
      <c r="O1173" s="28"/>
      <c r="P1173" s="1"/>
      <c r="Q1173" s="32"/>
      <c r="R1173" s="191">
        <v>454000</v>
      </c>
    </row>
    <row r="1174" spans="1:18" ht="15.75" customHeight="1" x14ac:dyDescent="0.3">
      <c r="A1174" s="132" t="s">
        <v>3790</v>
      </c>
      <c r="B1174" s="3" t="s">
        <v>3790</v>
      </c>
      <c r="C1174" s="11" t="s">
        <v>4487</v>
      </c>
      <c r="D1174" t="s">
        <v>4496</v>
      </c>
      <c r="E1174" t="s">
        <v>3791</v>
      </c>
      <c r="F1174" t="s">
        <v>3792</v>
      </c>
      <c r="G1174" t="s">
        <v>4626</v>
      </c>
      <c r="H1174" s="3" t="s">
        <v>3333</v>
      </c>
      <c r="I1174" t="s">
        <v>4571</v>
      </c>
      <c r="J1174" s="166">
        <v>291769</v>
      </c>
      <c r="K1174" s="3" t="s">
        <v>1748</v>
      </c>
      <c r="L1174" s="11" t="s">
        <v>2270</v>
      </c>
      <c r="M1174" s="29">
        <v>45905</v>
      </c>
      <c r="N1174" s="86">
        <v>227897.74</v>
      </c>
      <c r="O1174" s="28"/>
      <c r="P1174" s="1" t="s">
        <v>106</v>
      </c>
      <c r="Q1174" s="32"/>
      <c r="R1174" s="191" t="s">
        <v>4940</v>
      </c>
    </row>
    <row r="1175" spans="1:18" ht="15.75" customHeight="1" x14ac:dyDescent="0.3">
      <c r="A1175" s="132" t="s">
        <v>3793</v>
      </c>
      <c r="B1175" s="3" t="s">
        <v>3793</v>
      </c>
      <c r="C1175" s="3" t="s">
        <v>4520</v>
      </c>
      <c r="D1175" t="s">
        <v>4496</v>
      </c>
      <c r="E1175" s="3"/>
      <c r="F1175" s="14"/>
      <c r="G1175" s="14"/>
      <c r="H1175" s="3" t="s">
        <v>3699</v>
      </c>
      <c r="I1175"/>
      <c r="J1175" s="166">
        <v>2791</v>
      </c>
      <c r="K1175" s="3" t="s">
        <v>735</v>
      </c>
      <c r="L1175" s="11" t="s">
        <v>105</v>
      </c>
      <c r="M1175" s="29">
        <v>45898</v>
      </c>
      <c r="N1175" s="86">
        <v>1300</v>
      </c>
      <c r="O1175" s="28"/>
      <c r="P1175" s="1" t="s">
        <v>106</v>
      </c>
      <c r="Q1175" s="32"/>
      <c r="R1175" s="191">
        <v>1300</v>
      </c>
    </row>
    <row r="1176" spans="1:18" ht="15.75" customHeight="1" x14ac:dyDescent="0.3">
      <c r="A1176" s="132" t="s">
        <v>3794</v>
      </c>
      <c r="B1176" s="3" t="s">
        <v>3794</v>
      </c>
      <c r="C1176" s="11" t="s">
        <v>4489</v>
      </c>
      <c r="D1176" t="s">
        <v>4495</v>
      </c>
      <c r="E1176" s="3"/>
      <c r="F1176" s="15"/>
      <c r="G1176" s="15"/>
      <c r="H1176" s="3" t="s">
        <v>3455</v>
      </c>
      <c r="I1176"/>
      <c r="J1176" s="166">
        <v>118881</v>
      </c>
      <c r="K1176" s="3" t="s">
        <v>2592</v>
      </c>
      <c r="L1176" s="11" t="s">
        <v>2593</v>
      </c>
      <c r="M1176" s="29">
        <v>45302</v>
      </c>
      <c r="N1176" s="86">
        <v>31000</v>
      </c>
      <c r="O1176" s="28"/>
      <c r="P1176" s="1"/>
      <c r="Q1176" s="32"/>
      <c r="R1176" s="191">
        <v>31000</v>
      </c>
    </row>
    <row r="1177" spans="1:18" ht="15.75" customHeight="1" x14ac:dyDescent="0.3">
      <c r="A1177" s="132" t="s">
        <v>3795</v>
      </c>
      <c r="B1177" s="3" t="s">
        <v>3795</v>
      </c>
      <c r="C1177" s="11" t="s">
        <v>4519</v>
      </c>
      <c r="D1177" t="s">
        <v>4492</v>
      </c>
      <c r="E1177" s="3"/>
      <c r="F1177" s="15"/>
      <c r="G1177" s="15"/>
      <c r="H1177" s="3" t="s">
        <v>3434</v>
      </c>
      <c r="I1177"/>
      <c r="J1177" s="166">
        <v>21834</v>
      </c>
      <c r="K1177" s="11" t="s">
        <v>3796</v>
      </c>
      <c r="L1177" s="11" t="s">
        <v>188</v>
      </c>
      <c r="M1177" s="13">
        <v>45365</v>
      </c>
      <c r="N1177" s="86">
        <v>2399</v>
      </c>
      <c r="O1177" s="28"/>
      <c r="P1177" s="1"/>
      <c r="Q1177" s="32"/>
      <c r="R1177" s="191">
        <v>2399</v>
      </c>
    </row>
    <row r="1178" spans="1:18" ht="15.75" customHeight="1" x14ac:dyDescent="0.3">
      <c r="A1178" s="132" t="s">
        <v>3797</v>
      </c>
      <c r="B1178" s="3" t="s">
        <v>3797</v>
      </c>
      <c r="C1178" s="11" t="s">
        <v>4519</v>
      </c>
      <c r="D1178" t="s">
        <v>4492</v>
      </c>
      <c r="E1178" s="3"/>
      <c r="F1178" s="15"/>
      <c r="G1178" s="15"/>
      <c r="H1178" s="3" t="s">
        <v>3434</v>
      </c>
      <c r="I1178"/>
      <c r="J1178" s="166">
        <v>21834</v>
      </c>
      <c r="K1178" s="11" t="s">
        <v>3798</v>
      </c>
      <c r="L1178" s="11" t="s">
        <v>3429</v>
      </c>
      <c r="M1178" s="13">
        <v>45366</v>
      </c>
      <c r="N1178" s="86">
        <v>2399</v>
      </c>
      <c r="O1178" s="28"/>
      <c r="P1178" s="1"/>
      <c r="Q1178" s="32"/>
      <c r="R1178" s="191">
        <v>2399</v>
      </c>
    </row>
    <row r="1179" spans="1:18" ht="15.75" customHeight="1" x14ac:dyDescent="0.3">
      <c r="A1179" s="132" t="s">
        <v>3799</v>
      </c>
      <c r="B1179" s="3" t="s">
        <v>3799</v>
      </c>
      <c r="C1179" s="11" t="s">
        <v>4519</v>
      </c>
      <c r="D1179" t="s">
        <v>4492</v>
      </c>
      <c r="E1179" s="3"/>
      <c r="F1179" s="15"/>
      <c r="G1179" s="15"/>
      <c r="H1179" s="3" t="s">
        <v>3434</v>
      </c>
      <c r="I1179"/>
      <c r="J1179" s="166">
        <v>21834</v>
      </c>
      <c r="K1179" s="11" t="s">
        <v>3800</v>
      </c>
      <c r="L1179" s="11" t="s">
        <v>3801</v>
      </c>
      <c r="M1179" s="13">
        <v>45367</v>
      </c>
      <c r="N1179" s="86">
        <v>2399</v>
      </c>
      <c r="O1179" s="28"/>
      <c r="P1179" s="1"/>
      <c r="Q1179" s="32"/>
      <c r="R1179" s="191">
        <v>2399</v>
      </c>
    </row>
    <row r="1180" spans="1:18" ht="15.75" customHeight="1" x14ac:dyDescent="0.3">
      <c r="A1180" s="132" t="s">
        <v>3802</v>
      </c>
      <c r="B1180" s="3" t="s">
        <v>3802</v>
      </c>
      <c r="C1180" s="11" t="s">
        <v>4519</v>
      </c>
      <c r="D1180" t="s">
        <v>4492</v>
      </c>
      <c r="E1180" s="3"/>
      <c r="F1180" s="15"/>
      <c r="G1180" s="15"/>
      <c r="H1180" s="3" t="s">
        <v>3434</v>
      </c>
      <c r="I1180"/>
      <c r="J1180" s="166">
        <v>21834</v>
      </c>
      <c r="K1180" s="11" t="s">
        <v>187</v>
      </c>
      <c r="L1180" s="11" t="s">
        <v>3435</v>
      </c>
      <c r="M1180" s="13">
        <v>45368</v>
      </c>
      <c r="N1180" s="86">
        <v>2399</v>
      </c>
      <c r="O1180" s="28"/>
      <c r="P1180" s="1"/>
      <c r="Q1180" s="32"/>
      <c r="R1180" s="191">
        <v>2399</v>
      </c>
    </row>
    <row r="1181" spans="1:18" ht="15.75" customHeight="1" x14ac:dyDescent="0.3">
      <c r="A1181" s="3" t="s">
        <v>3803</v>
      </c>
      <c r="B1181" s="3" t="s">
        <v>3803</v>
      </c>
      <c r="C1181" s="11" t="s">
        <v>4519</v>
      </c>
      <c r="D1181" t="s">
        <v>4495</v>
      </c>
      <c r="E1181" s="3"/>
      <c r="F1181" s="15"/>
      <c r="G1181" s="15"/>
      <c r="H1181" s="3" t="s">
        <v>3487</v>
      </c>
      <c r="I1181"/>
      <c r="J1181" s="166">
        <v>256744</v>
      </c>
      <c r="K1181" s="11" t="s">
        <v>1089</v>
      </c>
      <c r="L1181" s="11" t="s">
        <v>3520</v>
      </c>
      <c r="M1181" s="13">
        <v>45364</v>
      </c>
      <c r="N1181" s="86">
        <v>4448.6899999999996</v>
      </c>
      <c r="O1181" s="28" t="s">
        <v>20</v>
      </c>
      <c r="P1181" s="1"/>
      <c r="Q1181" s="32"/>
      <c r="R1181" s="191" t="s">
        <v>4988</v>
      </c>
    </row>
    <row r="1182" spans="1:18" ht="15.75" customHeight="1" x14ac:dyDescent="0.3">
      <c r="A1182" s="3" t="s">
        <v>3804</v>
      </c>
      <c r="B1182" s="3" t="s">
        <v>3804</v>
      </c>
      <c r="C1182" s="11" t="s">
        <v>4519</v>
      </c>
      <c r="D1182" t="s">
        <v>4495</v>
      </c>
      <c r="E1182" s="3"/>
      <c r="F1182" s="15"/>
      <c r="G1182" s="15"/>
      <c r="H1182" s="3" t="s">
        <v>3515</v>
      </c>
      <c r="I1182"/>
      <c r="J1182" s="166">
        <v>256744</v>
      </c>
      <c r="K1182" s="11" t="s">
        <v>1089</v>
      </c>
      <c r="L1182" s="11" t="s">
        <v>3520</v>
      </c>
      <c r="M1182" s="13">
        <v>45364</v>
      </c>
      <c r="N1182" s="86">
        <v>4342.46</v>
      </c>
      <c r="O1182" s="28" t="s">
        <v>20</v>
      </c>
      <c r="P1182" s="1"/>
      <c r="Q1182" s="32"/>
      <c r="R1182" s="191" t="s">
        <v>4958</v>
      </c>
    </row>
    <row r="1183" spans="1:18" ht="15.75" customHeight="1" x14ac:dyDescent="0.3">
      <c r="A1183" s="132" t="s">
        <v>3805</v>
      </c>
      <c r="B1183" s="3" t="s">
        <v>3805</v>
      </c>
      <c r="C1183" s="11" t="s">
        <v>4490</v>
      </c>
      <c r="D1183" t="s">
        <v>4495</v>
      </c>
      <c r="E1183"/>
      <c r="F1183" t="s">
        <v>3806</v>
      </c>
      <c r="G1183" t="s">
        <v>4557</v>
      </c>
      <c r="H1183" s="3" t="s">
        <v>3807</v>
      </c>
      <c r="I1183"/>
      <c r="J1183" s="166">
        <v>271</v>
      </c>
      <c r="K1183" s="3" t="s">
        <v>3808</v>
      </c>
      <c r="L1183" s="3" t="s">
        <v>3809</v>
      </c>
      <c r="M1183" s="29">
        <v>45848</v>
      </c>
      <c r="N1183" s="86">
        <v>1552906.82</v>
      </c>
      <c r="O1183" s="28" t="s">
        <v>20</v>
      </c>
      <c r="P1183" s="1" t="s">
        <v>66</v>
      </c>
      <c r="Q1183" s="32"/>
      <c r="R1183" s="191" t="s">
        <v>4989</v>
      </c>
    </row>
    <row r="1184" spans="1:18" ht="15.75" customHeight="1" x14ac:dyDescent="0.3">
      <c r="A1184" s="132" t="s">
        <v>3810</v>
      </c>
      <c r="B1184" s="3" t="s">
        <v>3810</v>
      </c>
      <c r="C1184" s="11" t="s">
        <v>4490</v>
      </c>
      <c r="D1184" t="s">
        <v>4493</v>
      </c>
      <c r="E1184" s="160"/>
      <c r="F1184" t="s">
        <v>4646</v>
      </c>
      <c r="G1184" t="s">
        <v>4629</v>
      </c>
      <c r="H1184" s="3" t="s">
        <v>3649</v>
      </c>
      <c r="I1184"/>
      <c r="J1184" s="166">
        <v>4988</v>
      </c>
      <c r="K1184" s="3" t="s">
        <v>2255</v>
      </c>
      <c r="L1184" s="11" t="s">
        <v>834</v>
      </c>
      <c r="M1184" s="29">
        <v>45519</v>
      </c>
      <c r="N1184" s="86">
        <v>82500</v>
      </c>
      <c r="O1184" s="28" t="s">
        <v>20</v>
      </c>
      <c r="P1184" s="1" t="s">
        <v>78</v>
      </c>
      <c r="Q1184" s="32"/>
      <c r="R1184" s="191">
        <v>82500</v>
      </c>
    </row>
    <row r="1185" spans="1:18" ht="15.75" customHeight="1" x14ac:dyDescent="0.3">
      <c r="A1185" s="132" t="s">
        <v>3811</v>
      </c>
      <c r="B1185" s="3" t="s">
        <v>3811</v>
      </c>
      <c r="C1185" s="11" t="s">
        <v>4490</v>
      </c>
      <c r="D1185" t="s">
        <v>4493</v>
      </c>
      <c r="E1185" s="160"/>
      <c r="F1185" t="s">
        <v>4647</v>
      </c>
      <c r="G1185" t="s">
        <v>4629</v>
      </c>
      <c r="H1185" s="3" t="s">
        <v>3649</v>
      </c>
      <c r="I1185"/>
      <c r="J1185" s="166">
        <v>4988</v>
      </c>
      <c r="K1185" s="3" t="s">
        <v>2255</v>
      </c>
      <c r="L1185" s="11" t="s">
        <v>834</v>
      </c>
      <c r="M1185" s="29">
        <v>45519</v>
      </c>
      <c r="N1185" s="86">
        <v>82500</v>
      </c>
      <c r="O1185" s="28" t="s">
        <v>20</v>
      </c>
      <c r="P1185" s="1" t="s">
        <v>78</v>
      </c>
      <c r="Q1185" s="32"/>
      <c r="R1185" s="191">
        <v>82500</v>
      </c>
    </row>
    <row r="1186" spans="1:18" ht="15.75" customHeight="1" x14ac:dyDescent="0.3">
      <c r="A1186" s="132" t="s">
        <v>3812</v>
      </c>
      <c r="B1186" s="3" t="s">
        <v>3812</v>
      </c>
      <c r="C1186" s="11" t="s">
        <v>4490</v>
      </c>
      <c r="D1186" t="s">
        <v>4493</v>
      </c>
      <c r="E1186" s="160"/>
      <c r="F1186" t="s">
        <v>4648</v>
      </c>
      <c r="G1186" t="s">
        <v>4629</v>
      </c>
      <c r="H1186" s="3" t="s">
        <v>3649</v>
      </c>
      <c r="I1186"/>
      <c r="J1186" s="166">
        <v>4988</v>
      </c>
      <c r="K1186" s="3" t="s">
        <v>2255</v>
      </c>
      <c r="L1186" s="11" t="s">
        <v>834</v>
      </c>
      <c r="M1186" s="29">
        <v>45519</v>
      </c>
      <c r="N1186" s="86">
        <v>82500</v>
      </c>
      <c r="O1186" s="28" t="s">
        <v>20</v>
      </c>
      <c r="P1186" s="1" t="s">
        <v>78</v>
      </c>
      <c r="Q1186" s="32"/>
      <c r="R1186" s="191">
        <v>82500</v>
      </c>
    </row>
    <row r="1187" spans="1:18" ht="15.75" customHeight="1" x14ac:dyDescent="0.3">
      <c r="A1187" s="132" t="s">
        <v>3813</v>
      </c>
      <c r="B1187" s="3" t="s">
        <v>3813</v>
      </c>
      <c r="C1187" s="11" t="s">
        <v>4490</v>
      </c>
      <c r="D1187" t="s">
        <v>4493</v>
      </c>
      <c r="E1187" s="160"/>
      <c r="F1187" t="s">
        <v>4649</v>
      </c>
      <c r="G1187" t="s">
        <v>4629</v>
      </c>
      <c r="H1187" s="3" t="s">
        <v>3649</v>
      </c>
      <c r="I1187"/>
      <c r="J1187" s="166">
        <v>4988</v>
      </c>
      <c r="K1187" s="3" t="s">
        <v>2255</v>
      </c>
      <c r="L1187" s="11" t="s">
        <v>834</v>
      </c>
      <c r="M1187" s="29">
        <v>45519</v>
      </c>
      <c r="N1187" s="86">
        <v>82500</v>
      </c>
      <c r="O1187" s="28" t="s">
        <v>20</v>
      </c>
      <c r="P1187" s="1" t="s">
        <v>78</v>
      </c>
      <c r="Q1187" s="32"/>
      <c r="R1187" s="191">
        <v>82500</v>
      </c>
    </row>
    <row r="1188" spans="1:18" ht="15.75" customHeight="1" x14ac:dyDescent="0.3">
      <c r="A1188" s="132" t="s">
        <v>3814</v>
      </c>
      <c r="B1188" s="3" t="s">
        <v>3814</v>
      </c>
      <c r="C1188" s="11" t="s">
        <v>4487</v>
      </c>
      <c r="D1188" t="s">
        <v>4495</v>
      </c>
      <c r="E1188" t="s">
        <v>3815</v>
      </c>
      <c r="F1188" t="s">
        <v>3816</v>
      </c>
      <c r="G1188" t="s">
        <v>4618</v>
      </c>
      <c r="H1188" s="3" t="s">
        <v>3817</v>
      </c>
      <c r="I1188" t="s">
        <v>4572</v>
      </c>
      <c r="J1188" s="166">
        <v>20232</v>
      </c>
      <c r="K1188" s="11" t="s">
        <v>3223</v>
      </c>
      <c r="L1188" s="11" t="s">
        <v>3224</v>
      </c>
      <c r="M1188" s="13">
        <v>45441</v>
      </c>
      <c r="N1188" s="86">
        <v>750000</v>
      </c>
      <c r="O1188" s="28" t="s">
        <v>20</v>
      </c>
      <c r="P1188" s="1" t="s">
        <v>66</v>
      </c>
      <c r="Q1188" s="32"/>
      <c r="R1188" s="191">
        <v>750000</v>
      </c>
    </row>
    <row r="1189" spans="1:18" ht="15.75" customHeight="1" x14ac:dyDescent="0.3">
      <c r="A1189" s="55" t="s">
        <v>3818</v>
      </c>
      <c r="B1189" s="55" t="s">
        <v>3818</v>
      </c>
      <c r="C1189" s="54" t="s">
        <v>4488</v>
      </c>
      <c r="D1189" t="s">
        <v>5040</v>
      </c>
      <c r="E1189" s="3"/>
      <c r="F1189" s="15"/>
      <c r="G1189" s="15"/>
      <c r="H1189" s="55" t="s">
        <v>3819</v>
      </c>
      <c r="I1189"/>
      <c r="J1189" s="165"/>
      <c r="K1189" s="55"/>
      <c r="L1189" s="54"/>
      <c r="M1189" s="61"/>
      <c r="N1189" s="95">
        <v>900765.78</v>
      </c>
      <c r="O1189" s="25"/>
      <c r="P1189" s="58"/>
      <c r="Q1189" s="32"/>
      <c r="R1189" s="197" t="s">
        <v>4990</v>
      </c>
    </row>
    <row r="1190" spans="1:18" ht="15.75" customHeight="1" x14ac:dyDescent="0.3">
      <c r="A1190" s="3" t="s">
        <v>3820</v>
      </c>
      <c r="B1190" s="3" t="s">
        <v>3820</v>
      </c>
      <c r="C1190" s="11" t="s">
        <v>4490</v>
      </c>
      <c r="D1190" t="s">
        <v>4494</v>
      </c>
      <c r="E1190"/>
      <c r="F1190">
        <v>5224</v>
      </c>
      <c r="G1190"/>
      <c r="H1190" s="3" t="s">
        <v>3821</v>
      </c>
      <c r="I1190"/>
      <c r="J1190" s="166">
        <v>43809</v>
      </c>
      <c r="K1190" s="3" t="s">
        <v>3822</v>
      </c>
      <c r="L1190" s="11" t="s">
        <v>3823</v>
      </c>
      <c r="M1190" s="29">
        <v>45470</v>
      </c>
      <c r="N1190" s="86">
        <v>378625</v>
      </c>
      <c r="O1190" s="28" t="s">
        <v>20</v>
      </c>
      <c r="P1190" s="1" t="s">
        <v>66</v>
      </c>
      <c r="Q1190" s="32"/>
      <c r="R1190" s="191">
        <v>378625</v>
      </c>
    </row>
    <row r="1191" spans="1:18" ht="15.75" customHeight="1" x14ac:dyDescent="0.3">
      <c r="A1191" s="3" t="s">
        <v>3824</v>
      </c>
      <c r="B1191" s="3" t="s">
        <v>3824</v>
      </c>
      <c r="C1191" s="11" t="s">
        <v>4519</v>
      </c>
      <c r="D1191" t="s">
        <v>4495</v>
      </c>
      <c r="E1191" s="3"/>
      <c r="F1191" s="15"/>
      <c r="G1191" s="15"/>
      <c r="H1191" s="3" t="s">
        <v>3825</v>
      </c>
      <c r="I1191"/>
      <c r="J1191" s="166">
        <v>375</v>
      </c>
      <c r="K1191" s="3" t="s">
        <v>3826</v>
      </c>
      <c r="L1191" s="11" t="s">
        <v>3827</v>
      </c>
      <c r="M1191" s="29">
        <v>45426</v>
      </c>
      <c r="N1191" s="86">
        <v>15136.82</v>
      </c>
      <c r="O1191" s="28"/>
      <c r="P1191" s="1"/>
      <c r="Q1191" s="32"/>
      <c r="R1191" s="191" t="s">
        <v>4991</v>
      </c>
    </row>
    <row r="1192" spans="1:18" ht="15.75" customHeight="1" x14ac:dyDescent="0.3">
      <c r="A1192" s="132" t="s">
        <v>3828</v>
      </c>
      <c r="B1192" s="3" t="s">
        <v>3828</v>
      </c>
      <c r="C1192" s="11" t="s">
        <v>4519</v>
      </c>
      <c r="D1192" t="s">
        <v>4495</v>
      </c>
      <c r="E1192" s="3"/>
      <c r="F1192" s="15"/>
      <c r="G1192" s="15"/>
      <c r="H1192" s="3" t="s">
        <v>3829</v>
      </c>
      <c r="I1192"/>
      <c r="J1192" s="166">
        <v>375</v>
      </c>
      <c r="K1192" s="3" t="s">
        <v>3826</v>
      </c>
      <c r="L1192" s="11" t="s">
        <v>3827</v>
      </c>
      <c r="M1192" s="29">
        <v>45426</v>
      </c>
      <c r="N1192" s="86">
        <v>7000</v>
      </c>
      <c r="O1192" s="28"/>
      <c r="P1192" s="1"/>
      <c r="Q1192" s="32"/>
      <c r="R1192" s="191">
        <v>7000</v>
      </c>
    </row>
    <row r="1193" spans="1:18" ht="15.75" customHeight="1" x14ac:dyDescent="0.3">
      <c r="A1193" s="3" t="s">
        <v>3830</v>
      </c>
      <c r="B1193" s="3" t="s">
        <v>3830</v>
      </c>
      <c r="C1193" s="11" t="s">
        <v>4519</v>
      </c>
      <c r="D1193" t="s">
        <v>4495</v>
      </c>
      <c r="E1193" s="3"/>
      <c r="F1193" s="15"/>
      <c r="G1193" s="15"/>
      <c r="H1193" s="3" t="s">
        <v>3831</v>
      </c>
      <c r="I1193"/>
      <c r="J1193" s="166">
        <v>375</v>
      </c>
      <c r="K1193" s="3" t="s">
        <v>3826</v>
      </c>
      <c r="L1193" s="11" t="s">
        <v>3827</v>
      </c>
      <c r="M1193" s="29">
        <v>45426</v>
      </c>
      <c r="N1193" s="86">
        <v>6568.41</v>
      </c>
      <c r="O1193" s="28"/>
      <c r="P1193" s="1" t="s">
        <v>66</v>
      </c>
      <c r="Q1193" s="32"/>
      <c r="R1193" s="191" t="s">
        <v>4992</v>
      </c>
    </row>
    <row r="1194" spans="1:18" ht="15.75" customHeight="1" x14ac:dyDescent="0.3">
      <c r="A1194" s="132" t="s">
        <v>3832</v>
      </c>
      <c r="B1194" s="3" t="s">
        <v>3832</v>
      </c>
      <c r="C1194" s="11" t="s">
        <v>4519</v>
      </c>
      <c r="D1194" t="s">
        <v>4495</v>
      </c>
      <c r="E1194" s="3"/>
      <c r="F1194" s="15"/>
      <c r="G1194" s="15"/>
      <c r="H1194" s="3" t="s">
        <v>3833</v>
      </c>
      <c r="I1194"/>
      <c r="J1194" s="166">
        <v>375</v>
      </c>
      <c r="K1194" s="3" t="s">
        <v>3826</v>
      </c>
      <c r="L1194" s="11" t="s">
        <v>3827</v>
      </c>
      <c r="M1194" s="29">
        <v>45426</v>
      </c>
      <c r="N1194" s="86">
        <v>29868</v>
      </c>
      <c r="O1194" s="28"/>
      <c r="P1194" s="1"/>
      <c r="Q1194" s="32"/>
      <c r="R1194" s="191">
        <v>29868</v>
      </c>
    </row>
    <row r="1195" spans="1:18" ht="15.75" customHeight="1" x14ac:dyDescent="0.3">
      <c r="A1195" s="132" t="s">
        <v>3834</v>
      </c>
      <c r="B1195" s="3" t="s">
        <v>3834</v>
      </c>
      <c r="C1195" s="11" t="s">
        <v>4519</v>
      </c>
      <c r="D1195" t="s">
        <v>4495</v>
      </c>
      <c r="E1195" s="3"/>
      <c r="F1195" s="15"/>
      <c r="G1195" s="15"/>
      <c r="H1195" s="3" t="s">
        <v>3835</v>
      </c>
      <c r="I1195"/>
      <c r="J1195" s="166">
        <v>375</v>
      </c>
      <c r="K1195" s="3" t="s">
        <v>3826</v>
      </c>
      <c r="L1195" s="11" t="s">
        <v>3827</v>
      </c>
      <c r="M1195" s="29">
        <v>45426</v>
      </c>
      <c r="N1195" s="86">
        <v>9000</v>
      </c>
      <c r="O1195" s="28"/>
      <c r="P1195" s="1"/>
      <c r="Q1195" s="32"/>
      <c r="R1195" s="191">
        <v>9000</v>
      </c>
    </row>
    <row r="1196" spans="1:18" ht="15.75" customHeight="1" x14ac:dyDescent="0.3">
      <c r="A1196" s="132" t="s">
        <v>3836</v>
      </c>
      <c r="B1196" s="3" t="s">
        <v>3836</v>
      </c>
      <c r="C1196" s="11" t="s">
        <v>4520</v>
      </c>
      <c r="D1196" t="s">
        <v>4492</v>
      </c>
      <c r="E1196" s="3"/>
      <c r="F1196" s="15"/>
      <c r="G1196" s="15"/>
      <c r="H1196" s="3" t="s">
        <v>2444</v>
      </c>
      <c r="I1196"/>
      <c r="J1196" s="166">
        <v>2912</v>
      </c>
      <c r="K1196" s="3" t="s">
        <v>735</v>
      </c>
      <c r="L1196" s="3" t="s">
        <v>105</v>
      </c>
      <c r="M1196" s="29">
        <v>45929</v>
      </c>
      <c r="N1196" s="86">
        <v>1971</v>
      </c>
      <c r="O1196" s="28"/>
      <c r="P1196" s="1" t="s">
        <v>91</v>
      </c>
      <c r="Q1196" s="32"/>
      <c r="R1196" s="191">
        <v>1971</v>
      </c>
    </row>
    <row r="1197" spans="1:18" ht="15.75" customHeight="1" x14ac:dyDescent="0.3">
      <c r="A1197" s="132" t="s">
        <v>3837</v>
      </c>
      <c r="B1197" s="3" t="s">
        <v>3837</v>
      </c>
      <c r="C1197" s="11" t="s">
        <v>4490</v>
      </c>
      <c r="D1197" t="s">
        <v>4492</v>
      </c>
      <c r="E1197"/>
      <c r="F1197">
        <v>611348880002001</v>
      </c>
      <c r="G1197" t="s">
        <v>4631</v>
      </c>
      <c r="H1197" s="3" t="s">
        <v>3838</v>
      </c>
      <c r="I1197"/>
      <c r="J1197" s="166">
        <v>7901</v>
      </c>
      <c r="K1197" s="3" t="s">
        <v>1275</v>
      </c>
      <c r="L1197" s="11" t="s">
        <v>1526</v>
      </c>
      <c r="M1197" s="29">
        <v>45485</v>
      </c>
      <c r="N1197" s="86">
        <v>42000</v>
      </c>
      <c r="O1197" s="28" t="s">
        <v>20</v>
      </c>
      <c r="P1197" s="1" t="s">
        <v>91</v>
      </c>
      <c r="Q1197" s="32"/>
      <c r="R1197" s="191">
        <v>42000</v>
      </c>
    </row>
    <row r="1198" spans="1:18" ht="15.75" customHeight="1" x14ac:dyDescent="0.3">
      <c r="A1198" s="132" t="s">
        <v>3839</v>
      </c>
      <c r="B1198" s="3" t="s">
        <v>3839</v>
      </c>
      <c r="C1198" s="11" t="s">
        <v>4490</v>
      </c>
      <c r="D1198" t="s">
        <v>4492</v>
      </c>
      <c r="E1198"/>
      <c r="F1198" t="s">
        <v>4650</v>
      </c>
      <c r="G1198" t="s">
        <v>4617</v>
      </c>
      <c r="H1198" s="3" t="s">
        <v>3840</v>
      </c>
      <c r="I1198"/>
      <c r="J1198" s="166">
        <v>3074</v>
      </c>
      <c r="K1198" s="11" t="s">
        <v>2575</v>
      </c>
      <c r="L1198" s="11" t="s">
        <v>3841</v>
      </c>
      <c r="M1198" s="13">
        <v>45503</v>
      </c>
      <c r="N1198" s="86">
        <v>530000</v>
      </c>
      <c r="O1198" s="28" t="s">
        <v>20</v>
      </c>
      <c r="P1198" s="1"/>
      <c r="Q1198" s="32"/>
      <c r="R1198" s="191">
        <v>530000</v>
      </c>
    </row>
    <row r="1199" spans="1:18" ht="15.75" customHeight="1" x14ac:dyDescent="0.3">
      <c r="A1199" s="132" t="s">
        <v>3842</v>
      </c>
      <c r="B1199" s="3" t="s">
        <v>3842</v>
      </c>
      <c r="C1199" s="11" t="s">
        <v>4490</v>
      </c>
      <c r="D1199" t="s">
        <v>4493</v>
      </c>
      <c r="E1199"/>
      <c r="F1199" t="s">
        <v>3843</v>
      </c>
      <c r="G1199" t="s">
        <v>4617</v>
      </c>
      <c r="H1199" s="3" t="s">
        <v>3844</v>
      </c>
      <c r="I1199" s="160"/>
      <c r="J1199" s="166">
        <v>82148</v>
      </c>
      <c r="K1199" s="3" t="s">
        <v>2106</v>
      </c>
      <c r="L1199" s="11" t="s">
        <v>2107</v>
      </c>
      <c r="M1199" s="29">
        <v>45485</v>
      </c>
      <c r="N1199" s="86">
        <v>154000</v>
      </c>
      <c r="O1199" s="28"/>
      <c r="P1199" s="1"/>
      <c r="Q1199" s="32"/>
      <c r="R1199" s="191">
        <v>154000</v>
      </c>
    </row>
    <row r="1200" spans="1:18" ht="15.75" customHeight="1" x14ac:dyDescent="0.3">
      <c r="A1200" s="132" t="s">
        <v>3845</v>
      </c>
      <c r="B1200" s="3" t="s">
        <v>3845</v>
      </c>
      <c r="C1200" s="11" t="s">
        <v>4487</v>
      </c>
      <c r="D1200" t="s">
        <v>4492</v>
      </c>
      <c r="E1200" s="160" t="s">
        <v>4651</v>
      </c>
      <c r="F1200" t="s">
        <v>3846</v>
      </c>
      <c r="G1200" t="s">
        <v>4616</v>
      </c>
      <c r="H1200" s="3" t="s">
        <v>3847</v>
      </c>
      <c r="I1200" t="s">
        <v>4573</v>
      </c>
      <c r="J1200" s="166">
        <v>1212</v>
      </c>
      <c r="K1200" s="3" t="s">
        <v>3848</v>
      </c>
      <c r="L1200" s="3" t="s">
        <v>3542</v>
      </c>
      <c r="M1200" s="29">
        <v>45589</v>
      </c>
      <c r="N1200" s="86">
        <v>97500</v>
      </c>
      <c r="O1200" s="28"/>
      <c r="P1200" s="1"/>
      <c r="Q1200" s="32"/>
      <c r="R1200" s="191">
        <v>97500</v>
      </c>
    </row>
    <row r="1201" spans="1:18" ht="15.75" customHeight="1" x14ac:dyDescent="0.3">
      <c r="A1201" s="132" t="s">
        <v>3849</v>
      </c>
      <c r="B1201" s="3" t="s">
        <v>3849</v>
      </c>
      <c r="C1201" s="11" t="s">
        <v>4487</v>
      </c>
      <c r="D1201" t="s">
        <v>4492</v>
      </c>
      <c r="E1201" s="160" t="s">
        <v>4652</v>
      </c>
      <c r="F1201" t="s">
        <v>3850</v>
      </c>
      <c r="G1201" t="s">
        <v>4616</v>
      </c>
      <c r="H1201" s="3" t="s">
        <v>3851</v>
      </c>
      <c r="I1201" t="s">
        <v>4574</v>
      </c>
      <c r="J1201" s="166">
        <v>1212</v>
      </c>
      <c r="K1201" s="3" t="s">
        <v>3848</v>
      </c>
      <c r="L1201" s="3" t="s">
        <v>3542</v>
      </c>
      <c r="M1201" s="29">
        <v>45589</v>
      </c>
      <c r="N1201" s="86">
        <v>97500</v>
      </c>
      <c r="O1201" s="28"/>
      <c r="P1201" s="1"/>
      <c r="Q1201" s="32"/>
      <c r="R1201" s="191">
        <v>97500</v>
      </c>
    </row>
    <row r="1202" spans="1:18" ht="15.75" customHeight="1" x14ac:dyDescent="0.3">
      <c r="A1202" s="132" t="s">
        <v>3852</v>
      </c>
      <c r="B1202" s="3" t="s">
        <v>3852</v>
      </c>
      <c r="C1202" s="3" t="s">
        <v>4520</v>
      </c>
      <c r="D1202" t="s">
        <v>4495</v>
      </c>
      <c r="E1202" s="3"/>
      <c r="F1202" s="11"/>
      <c r="G1202" s="11"/>
      <c r="H1202" s="3" t="s">
        <v>3853</v>
      </c>
      <c r="I1202"/>
      <c r="J1202" s="166">
        <v>24733</v>
      </c>
      <c r="K1202" s="3" t="s">
        <v>2034</v>
      </c>
      <c r="L1202" s="11" t="s">
        <v>197</v>
      </c>
      <c r="M1202" s="29">
        <v>45488</v>
      </c>
      <c r="N1202" s="86">
        <v>3500</v>
      </c>
      <c r="O1202" s="28" t="s">
        <v>20</v>
      </c>
      <c r="P1202" s="1" t="s">
        <v>91</v>
      </c>
      <c r="Q1202" s="32"/>
      <c r="R1202" s="191">
        <v>3500</v>
      </c>
    </row>
    <row r="1203" spans="1:18" ht="15.75" customHeight="1" x14ac:dyDescent="0.3">
      <c r="A1203" s="132" t="s">
        <v>3854</v>
      </c>
      <c r="B1203" s="3" t="s">
        <v>3854</v>
      </c>
      <c r="C1203" s="3" t="s">
        <v>4520</v>
      </c>
      <c r="D1203" t="s">
        <v>4495</v>
      </c>
      <c r="E1203" s="3"/>
      <c r="F1203" s="11"/>
      <c r="G1203" s="11"/>
      <c r="H1203" s="3" t="s">
        <v>3853</v>
      </c>
      <c r="I1203"/>
      <c r="J1203" s="166">
        <v>24734</v>
      </c>
      <c r="K1203" s="3" t="s">
        <v>2034</v>
      </c>
      <c r="L1203" s="11" t="s">
        <v>197</v>
      </c>
      <c r="M1203" s="29">
        <v>45488</v>
      </c>
      <c r="N1203" s="86">
        <v>3500</v>
      </c>
      <c r="O1203" s="28" t="s">
        <v>20</v>
      </c>
      <c r="P1203" s="1" t="s">
        <v>91</v>
      </c>
      <c r="Q1203" s="32"/>
      <c r="R1203" s="191">
        <v>3500</v>
      </c>
    </row>
    <row r="1204" spans="1:18" ht="15.75" customHeight="1" x14ac:dyDescent="0.3">
      <c r="A1204" s="3" t="s">
        <v>3855</v>
      </c>
      <c r="B1204" s="3" t="s">
        <v>3855</v>
      </c>
      <c r="C1204" s="11" t="s">
        <v>4519</v>
      </c>
      <c r="D1204" t="s">
        <v>4495</v>
      </c>
      <c r="E1204" s="3"/>
      <c r="F1204" s="15"/>
      <c r="G1204" s="15"/>
      <c r="H1204" s="3" t="s">
        <v>3856</v>
      </c>
      <c r="I1204"/>
      <c r="J1204" s="166">
        <v>399449</v>
      </c>
      <c r="K1204" s="3" t="s">
        <v>3857</v>
      </c>
      <c r="L1204" s="11" t="s">
        <v>3858</v>
      </c>
      <c r="M1204" s="29">
        <v>45331</v>
      </c>
      <c r="N1204" s="86">
        <v>2180.31</v>
      </c>
      <c r="O1204" s="28" t="s">
        <v>20</v>
      </c>
      <c r="P1204" s="1"/>
      <c r="Q1204" s="32"/>
      <c r="R1204" s="191" t="s">
        <v>4993</v>
      </c>
    </row>
    <row r="1205" spans="1:18" ht="15.75" customHeight="1" x14ac:dyDescent="0.3">
      <c r="A1205" s="3" t="s">
        <v>3859</v>
      </c>
      <c r="B1205" s="3" t="s">
        <v>3859</v>
      </c>
      <c r="C1205" s="11" t="s">
        <v>4519</v>
      </c>
      <c r="D1205" t="s">
        <v>4495</v>
      </c>
      <c r="E1205" s="3"/>
      <c r="F1205" s="15"/>
      <c r="G1205" s="15"/>
      <c r="H1205" s="3" t="s">
        <v>3426</v>
      </c>
      <c r="I1205"/>
      <c r="J1205" s="166">
        <v>399449</v>
      </c>
      <c r="K1205" s="3" t="s">
        <v>3857</v>
      </c>
      <c r="L1205" s="11" t="s">
        <v>3858</v>
      </c>
      <c r="M1205" s="29">
        <v>45331</v>
      </c>
      <c r="N1205" s="86">
        <v>2469.0500000000002</v>
      </c>
      <c r="O1205" s="28"/>
      <c r="P1205" s="1"/>
      <c r="Q1205" s="32"/>
      <c r="R1205" s="191" t="s">
        <v>4994</v>
      </c>
    </row>
    <row r="1206" spans="1:18" ht="15.75" customHeight="1" x14ac:dyDescent="0.3">
      <c r="A1206" s="3" t="s">
        <v>3860</v>
      </c>
      <c r="B1206" s="3" t="s">
        <v>3860</v>
      </c>
      <c r="C1206" s="11" t="s">
        <v>4519</v>
      </c>
      <c r="D1206" t="s">
        <v>4495</v>
      </c>
      <c r="E1206" s="3"/>
      <c r="F1206" s="15"/>
      <c r="G1206" s="15"/>
      <c r="H1206" s="3" t="s">
        <v>3861</v>
      </c>
      <c r="I1206"/>
      <c r="J1206" s="166">
        <v>399449</v>
      </c>
      <c r="K1206" s="3" t="s">
        <v>3857</v>
      </c>
      <c r="L1206" s="11" t="s">
        <v>3858</v>
      </c>
      <c r="M1206" s="29">
        <v>45331</v>
      </c>
      <c r="N1206" s="86">
        <v>3766.71</v>
      </c>
      <c r="O1206" s="28" t="s">
        <v>20</v>
      </c>
      <c r="P1206" s="1"/>
      <c r="Q1206" s="32"/>
      <c r="R1206" s="191" t="s">
        <v>4995</v>
      </c>
    </row>
    <row r="1207" spans="1:18" ht="15.75" customHeight="1" x14ac:dyDescent="0.3">
      <c r="A1207" s="3" t="s">
        <v>3862</v>
      </c>
      <c r="B1207" s="3" t="s">
        <v>3862</v>
      </c>
      <c r="C1207" s="11" t="s">
        <v>4519</v>
      </c>
      <c r="D1207" t="s">
        <v>4495</v>
      </c>
      <c r="E1207" s="3"/>
      <c r="F1207" s="15"/>
      <c r="G1207" s="15"/>
      <c r="H1207" s="3" t="s">
        <v>3863</v>
      </c>
      <c r="I1207"/>
      <c r="J1207" s="166">
        <v>399449</v>
      </c>
      <c r="K1207" s="3" t="s">
        <v>3857</v>
      </c>
      <c r="L1207" s="11" t="s">
        <v>3858</v>
      </c>
      <c r="M1207" s="29">
        <v>45331</v>
      </c>
      <c r="N1207" s="86">
        <v>6705.44</v>
      </c>
      <c r="O1207" s="28" t="s">
        <v>20</v>
      </c>
      <c r="P1207" s="1"/>
      <c r="Q1207" s="32"/>
      <c r="R1207" s="191" t="s">
        <v>4996</v>
      </c>
    </row>
    <row r="1208" spans="1:18" ht="15.75" customHeight="1" x14ac:dyDescent="0.3">
      <c r="A1208" s="132" t="s">
        <v>3864</v>
      </c>
      <c r="B1208" s="3" t="s">
        <v>3864</v>
      </c>
      <c r="C1208" s="11" t="s">
        <v>4520</v>
      </c>
      <c r="D1208" t="s">
        <v>4496</v>
      </c>
      <c r="E1208" s="3"/>
      <c r="F1208" s="11"/>
      <c r="G1208" s="11"/>
      <c r="H1208" s="3" t="s">
        <v>3865</v>
      </c>
      <c r="I1208"/>
      <c r="J1208" s="166">
        <v>1326</v>
      </c>
      <c r="K1208" s="3" t="s">
        <v>735</v>
      </c>
      <c r="L1208" s="11" t="s">
        <v>105</v>
      </c>
      <c r="M1208" s="29">
        <v>45509</v>
      </c>
      <c r="N1208" s="86">
        <v>1692</v>
      </c>
      <c r="O1208" s="28" t="s">
        <v>20</v>
      </c>
      <c r="P1208" s="1"/>
      <c r="Q1208" s="32" t="s">
        <v>4711</v>
      </c>
      <c r="R1208" s="191">
        <v>1692</v>
      </c>
    </row>
    <row r="1209" spans="1:18" ht="15.75" customHeight="1" x14ac:dyDescent="0.3">
      <c r="A1209" s="132" t="s">
        <v>3866</v>
      </c>
      <c r="B1209" s="3" t="s">
        <v>3866</v>
      </c>
      <c r="C1209" s="11" t="s">
        <v>4490</v>
      </c>
      <c r="D1209" t="s">
        <v>4494</v>
      </c>
      <c r="E1209" s="3"/>
      <c r="F1209" s="11"/>
      <c r="G1209" s="11"/>
      <c r="H1209" s="3" t="s">
        <v>3867</v>
      </c>
      <c r="I1209"/>
      <c r="J1209" s="166">
        <v>3099</v>
      </c>
      <c r="K1209" s="3" t="s">
        <v>2575</v>
      </c>
      <c r="L1209" s="11" t="s">
        <v>3062</v>
      </c>
      <c r="M1209" s="29">
        <v>45504</v>
      </c>
      <c r="N1209" s="86">
        <v>14500</v>
      </c>
      <c r="O1209" s="28"/>
      <c r="P1209" s="1"/>
      <c r="Q1209" s="32"/>
      <c r="R1209" s="191">
        <v>14500</v>
      </c>
    </row>
    <row r="1210" spans="1:18" ht="15.75" customHeight="1" x14ac:dyDescent="0.3">
      <c r="A1210" s="3" t="s">
        <v>3868</v>
      </c>
      <c r="B1210" s="3" t="s">
        <v>3868</v>
      </c>
      <c r="C1210" s="11" t="s">
        <v>4518</v>
      </c>
      <c r="D1210" t="s">
        <v>4495</v>
      </c>
      <c r="E1210" s="132"/>
      <c r="F1210" s="15"/>
      <c r="G1210" s="15"/>
      <c r="H1210" s="3" t="s">
        <v>3869</v>
      </c>
      <c r="I1210"/>
      <c r="J1210" s="166">
        <v>515830</v>
      </c>
      <c r="K1210" s="3" t="s">
        <v>3870</v>
      </c>
      <c r="L1210" s="11" t="s">
        <v>3871</v>
      </c>
      <c r="M1210" s="29">
        <v>45503</v>
      </c>
      <c r="N1210" s="86">
        <v>75000</v>
      </c>
      <c r="O1210" s="28"/>
      <c r="P1210" s="1"/>
      <c r="Q1210" s="32"/>
      <c r="R1210" s="191">
        <v>75000</v>
      </c>
    </row>
    <row r="1211" spans="1:18" ht="15.75" customHeight="1" x14ac:dyDescent="0.3">
      <c r="A1211" s="3" t="s">
        <v>3872</v>
      </c>
      <c r="B1211" s="3" t="s">
        <v>3872</v>
      </c>
      <c r="C1211" s="11" t="s">
        <v>4518</v>
      </c>
      <c r="D1211" t="s">
        <v>4495</v>
      </c>
      <c r="E1211" s="3"/>
      <c r="F1211" s="15"/>
      <c r="G1211" s="15"/>
      <c r="H1211" s="3" t="s">
        <v>3873</v>
      </c>
      <c r="I1211"/>
      <c r="J1211" s="166">
        <v>515830</v>
      </c>
      <c r="K1211" s="3" t="s">
        <v>3870</v>
      </c>
      <c r="L1211" s="11" t="s">
        <v>3871</v>
      </c>
      <c r="M1211" s="29">
        <v>45503</v>
      </c>
      <c r="N1211" s="86">
        <v>4123.04</v>
      </c>
      <c r="O1211" s="28"/>
      <c r="P1211" s="1"/>
      <c r="Q1211" s="32"/>
      <c r="R1211" s="191" t="s">
        <v>4997</v>
      </c>
    </row>
    <row r="1212" spans="1:18" ht="15.75" customHeight="1" x14ac:dyDescent="0.3">
      <c r="A1212" s="132" t="s">
        <v>3874</v>
      </c>
      <c r="B1212" s="3" t="s">
        <v>3874</v>
      </c>
      <c r="C1212" s="11" t="s">
        <v>4490</v>
      </c>
      <c r="D1212" t="s">
        <v>4492</v>
      </c>
      <c r="E1212"/>
      <c r="F1212"/>
      <c r="G1212" t="s">
        <v>4645</v>
      </c>
      <c r="H1212" s="3" t="s">
        <v>3875</v>
      </c>
      <c r="I1212"/>
      <c r="J1212" s="166">
        <v>84</v>
      </c>
      <c r="K1212" s="3" t="s">
        <v>3876</v>
      </c>
      <c r="L1212" s="11" t="s">
        <v>3877</v>
      </c>
      <c r="M1212" s="29">
        <v>45505</v>
      </c>
      <c r="N1212" s="86">
        <v>24000</v>
      </c>
      <c r="O1212" s="28" t="s">
        <v>20</v>
      </c>
      <c r="P1212" s="1" t="s">
        <v>91</v>
      </c>
      <c r="Q1212" s="32"/>
      <c r="R1212" s="191">
        <v>24000</v>
      </c>
    </row>
    <row r="1213" spans="1:18" ht="15.75" customHeight="1" x14ac:dyDescent="0.3">
      <c r="A1213" s="3" t="s">
        <v>3878</v>
      </c>
      <c r="B1213" s="3" t="s">
        <v>3878</v>
      </c>
      <c r="C1213" s="11" t="s">
        <v>4519</v>
      </c>
      <c r="D1213" t="s">
        <v>4495</v>
      </c>
      <c r="E1213" s="3"/>
      <c r="F1213" s="15"/>
      <c r="G1213" s="15"/>
      <c r="H1213" s="3" t="s">
        <v>3863</v>
      </c>
      <c r="I1213"/>
      <c r="J1213" s="166">
        <v>399449</v>
      </c>
      <c r="K1213" s="3" t="s">
        <v>3857</v>
      </c>
      <c r="L1213" s="11" t="s">
        <v>3858</v>
      </c>
      <c r="M1213" s="29">
        <v>45331</v>
      </c>
      <c r="N1213" s="86">
        <v>6998.34</v>
      </c>
      <c r="O1213" s="28" t="s">
        <v>20</v>
      </c>
      <c r="P1213" s="1"/>
      <c r="Q1213" s="32"/>
      <c r="R1213" s="191" t="s">
        <v>4998</v>
      </c>
    </row>
    <row r="1214" spans="1:18" ht="15.75" customHeight="1" x14ac:dyDescent="0.3">
      <c r="A1214" s="3" t="s">
        <v>3879</v>
      </c>
      <c r="B1214" s="3" t="s">
        <v>3879</v>
      </c>
      <c r="C1214" s="11" t="s">
        <v>4519</v>
      </c>
      <c r="D1214" t="s">
        <v>4495</v>
      </c>
      <c r="E1214" s="3"/>
      <c r="F1214" s="15"/>
      <c r="G1214" s="15"/>
      <c r="H1214" s="3" t="s">
        <v>3426</v>
      </c>
      <c r="I1214"/>
      <c r="J1214" s="166">
        <v>399449</v>
      </c>
      <c r="K1214" s="3" t="s">
        <v>3857</v>
      </c>
      <c r="L1214" s="11" t="s">
        <v>3858</v>
      </c>
      <c r="M1214" s="29">
        <v>45331</v>
      </c>
      <c r="N1214" s="86">
        <v>2576.91</v>
      </c>
      <c r="O1214" s="28" t="s">
        <v>20</v>
      </c>
      <c r="P1214" s="1"/>
      <c r="Q1214" s="32"/>
      <c r="R1214" s="191" t="s">
        <v>4999</v>
      </c>
    </row>
    <row r="1215" spans="1:18" ht="15.75" customHeight="1" x14ac:dyDescent="0.3">
      <c r="A1215" s="132" t="s">
        <v>3880</v>
      </c>
      <c r="B1215" s="3" t="s">
        <v>3880</v>
      </c>
      <c r="C1215" s="11" t="s">
        <v>4518</v>
      </c>
      <c r="D1215" t="s">
        <v>4495</v>
      </c>
      <c r="E1215"/>
      <c r="F1215" t="s">
        <v>4653</v>
      </c>
      <c r="G1215"/>
      <c r="H1215" s="3" t="s">
        <v>3881</v>
      </c>
      <c r="I1215"/>
      <c r="J1215" s="166">
        <v>663857</v>
      </c>
      <c r="K1215" s="3" t="s">
        <v>3882</v>
      </c>
      <c r="L1215" s="11" t="s">
        <v>3883</v>
      </c>
      <c r="M1215" s="29">
        <v>45485</v>
      </c>
      <c r="N1215" s="86">
        <v>125000</v>
      </c>
      <c r="O1215" s="28"/>
      <c r="P1215" s="1"/>
      <c r="Q1215" s="32"/>
      <c r="R1215" s="191">
        <v>125000</v>
      </c>
    </row>
    <row r="1216" spans="1:18" ht="15.75" customHeight="1" x14ac:dyDescent="0.3">
      <c r="A1216" s="132" t="s">
        <v>3884</v>
      </c>
      <c r="B1216" s="3" t="s">
        <v>3884</v>
      </c>
      <c r="C1216" s="11" t="s">
        <v>4490</v>
      </c>
      <c r="D1216" t="s">
        <v>4495</v>
      </c>
      <c r="E1216"/>
      <c r="F1216" t="s">
        <v>3885</v>
      </c>
      <c r="G1216" t="s">
        <v>4643</v>
      </c>
      <c r="H1216" s="3" t="s">
        <v>3886</v>
      </c>
      <c r="I1216" t="s">
        <v>4575</v>
      </c>
      <c r="J1216" s="166">
        <v>122644</v>
      </c>
      <c r="K1216" s="11" t="s">
        <v>3770</v>
      </c>
      <c r="L1216" s="11" t="s">
        <v>3887</v>
      </c>
      <c r="M1216" s="13">
        <v>45504</v>
      </c>
      <c r="N1216" s="86">
        <v>1300000</v>
      </c>
      <c r="O1216" s="28" t="s">
        <v>20</v>
      </c>
      <c r="P1216" s="1" t="s">
        <v>91</v>
      </c>
      <c r="Q1216" s="32"/>
      <c r="R1216" s="191">
        <v>1300000</v>
      </c>
    </row>
    <row r="1217" spans="1:18" ht="15.75" customHeight="1" x14ac:dyDescent="0.3">
      <c r="A1217" s="132" t="s">
        <v>3888</v>
      </c>
      <c r="B1217" s="3" t="s">
        <v>3888</v>
      </c>
      <c r="C1217" s="11" t="s">
        <v>4520</v>
      </c>
      <c r="D1217" t="s">
        <v>4494</v>
      </c>
      <c r="E1217" s="3"/>
      <c r="F1217" s="11"/>
      <c r="G1217" s="11"/>
      <c r="H1217" s="3" t="s">
        <v>3889</v>
      </c>
      <c r="I1217"/>
      <c r="J1217" s="166">
        <v>25881</v>
      </c>
      <c r="K1217" s="3" t="s">
        <v>2034</v>
      </c>
      <c r="L1217" s="11" t="s">
        <v>197</v>
      </c>
      <c r="M1217" s="29">
        <v>45554</v>
      </c>
      <c r="N1217" s="86">
        <v>3790</v>
      </c>
      <c r="O1217" s="28" t="s">
        <v>20</v>
      </c>
      <c r="P1217" s="1" t="s">
        <v>91</v>
      </c>
      <c r="Q1217" s="32"/>
      <c r="R1217" s="191">
        <v>3790</v>
      </c>
    </row>
    <row r="1218" spans="1:18" ht="15.75" customHeight="1" x14ac:dyDescent="0.3">
      <c r="A1218" s="132" t="s">
        <v>3890</v>
      </c>
      <c r="B1218" s="3" t="s">
        <v>3890</v>
      </c>
      <c r="C1218" s="11" t="s">
        <v>4520</v>
      </c>
      <c r="D1218" t="s">
        <v>4494</v>
      </c>
      <c r="E1218" s="3"/>
      <c r="F1218" s="11"/>
      <c r="G1218" s="11"/>
      <c r="H1218" s="3" t="s">
        <v>3889</v>
      </c>
      <c r="I1218"/>
      <c r="J1218" s="166">
        <v>25881</v>
      </c>
      <c r="K1218" s="3" t="s">
        <v>2034</v>
      </c>
      <c r="L1218" s="11" t="s">
        <v>197</v>
      </c>
      <c r="M1218" s="29">
        <v>45554</v>
      </c>
      <c r="N1218" s="86">
        <v>3790</v>
      </c>
      <c r="O1218" s="28" t="s">
        <v>20</v>
      </c>
      <c r="P1218" s="1" t="s">
        <v>91</v>
      </c>
      <c r="Q1218" s="32"/>
      <c r="R1218" s="191">
        <v>3790</v>
      </c>
    </row>
    <row r="1219" spans="1:18" ht="15.75" customHeight="1" x14ac:dyDescent="0.3">
      <c r="A1219" s="132" t="s">
        <v>3891</v>
      </c>
      <c r="B1219" s="3" t="s">
        <v>3891</v>
      </c>
      <c r="C1219" s="11" t="s">
        <v>4520</v>
      </c>
      <c r="D1219" t="s">
        <v>4494</v>
      </c>
      <c r="E1219" s="3"/>
      <c r="F1219" s="11"/>
      <c r="G1219" s="11"/>
      <c r="H1219" s="3" t="s">
        <v>3889</v>
      </c>
      <c r="I1219"/>
      <c r="J1219" s="166">
        <v>25881</v>
      </c>
      <c r="K1219" s="3" t="s">
        <v>2034</v>
      </c>
      <c r="L1219" s="11" t="s">
        <v>197</v>
      </c>
      <c r="M1219" s="29">
        <v>45554</v>
      </c>
      <c r="N1219" s="86">
        <v>3790</v>
      </c>
      <c r="O1219" s="28" t="s">
        <v>20</v>
      </c>
      <c r="P1219" s="1" t="s">
        <v>91</v>
      </c>
      <c r="Q1219" s="32"/>
      <c r="R1219" s="191">
        <v>3790</v>
      </c>
    </row>
    <row r="1220" spans="1:18" ht="15.75" customHeight="1" x14ac:dyDescent="0.3">
      <c r="A1220" s="132" t="s">
        <v>3892</v>
      </c>
      <c r="B1220" s="3" t="s">
        <v>3892</v>
      </c>
      <c r="C1220" s="11" t="s">
        <v>4520</v>
      </c>
      <c r="D1220" t="s">
        <v>4496</v>
      </c>
      <c r="E1220" s="3"/>
      <c r="F1220" s="11"/>
      <c r="G1220" s="11"/>
      <c r="H1220" s="3" t="s">
        <v>3893</v>
      </c>
      <c r="I1220"/>
      <c r="J1220" s="166">
        <v>1396</v>
      </c>
      <c r="K1220" s="3" t="s">
        <v>735</v>
      </c>
      <c r="L1220" s="11" t="s">
        <v>105</v>
      </c>
      <c r="M1220" s="29">
        <v>45530</v>
      </c>
      <c r="N1220" s="86">
        <v>1779</v>
      </c>
      <c r="O1220" s="28" t="s">
        <v>20</v>
      </c>
      <c r="P1220" s="1"/>
      <c r="Q1220" s="32"/>
      <c r="R1220" s="191">
        <v>1779</v>
      </c>
    </row>
    <row r="1221" spans="1:18" ht="15.75" customHeight="1" x14ac:dyDescent="0.3">
      <c r="A1221" s="132" t="s">
        <v>3894</v>
      </c>
      <c r="B1221" s="3" t="s">
        <v>3894</v>
      </c>
      <c r="C1221" s="11" t="s">
        <v>4520</v>
      </c>
      <c r="D1221" t="s">
        <v>4496</v>
      </c>
      <c r="E1221" s="3"/>
      <c r="F1221" s="11"/>
      <c r="G1221" s="11"/>
      <c r="H1221" s="3" t="s">
        <v>3893</v>
      </c>
      <c r="I1221"/>
      <c r="J1221" s="166">
        <v>1395</v>
      </c>
      <c r="K1221" s="3" t="s">
        <v>735</v>
      </c>
      <c r="L1221" s="11" t="s">
        <v>105</v>
      </c>
      <c r="M1221" s="29">
        <v>45530</v>
      </c>
      <c r="N1221" s="86">
        <v>1779</v>
      </c>
      <c r="O1221" s="28" t="s">
        <v>20</v>
      </c>
      <c r="P1221" s="1"/>
      <c r="Q1221" s="32"/>
      <c r="R1221" s="191">
        <v>1779</v>
      </c>
    </row>
    <row r="1222" spans="1:18" ht="15.75" customHeight="1" x14ac:dyDescent="0.3">
      <c r="A1222" s="132" t="s">
        <v>3895</v>
      </c>
      <c r="B1222" s="3" t="s">
        <v>3895</v>
      </c>
      <c r="C1222" s="11" t="s">
        <v>4519</v>
      </c>
      <c r="D1222" t="s">
        <v>4493</v>
      </c>
      <c r="E1222" s="3"/>
      <c r="F1222" s="15"/>
      <c r="G1222" s="15"/>
      <c r="H1222" s="3" t="s">
        <v>3896</v>
      </c>
      <c r="I1222"/>
      <c r="J1222" s="166">
        <v>6318</v>
      </c>
      <c r="K1222" s="3" t="s">
        <v>3897</v>
      </c>
      <c r="L1222" s="11" t="s">
        <v>3898</v>
      </c>
      <c r="M1222" s="29">
        <v>45530</v>
      </c>
      <c r="N1222" s="86">
        <v>6500</v>
      </c>
      <c r="O1222" s="28"/>
      <c r="P1222" s="1"/>
      <c r="Q1222" s="32"/>
      <c r="R1222" s="191">
        <v>6500</v>
      </c>
    </row>
    <row r="1223" spans="1:18" ht="15.75" customHeight="1" x14ac:dyDescent="0.3">
      <c r="A1223" s="132" t="s">
        <v>3899</v>
      </c>
      <c r="B1223" s="3" t="s">
        <v>3900</v>
      </c>
      <c r="C1223" s="11" t="s">
        <v>4490</v>
      </c>
      <c r="D1223" t="s">
        <v>4495</v>
      </c>
      <c r="E1223"/>
      <c r="F1223" t="s">
        <v>3901</v>
      </c>
      <c r="G1223" t="s">
        <v>4629</v>
      </c>
      <c r="H1223" s="3" t="s">
        <v>1026</v>
      </c>
      <c r="I1223"/>
      <c r="J1223" s="166">
        <v>6963</v>
      </c>
      <c r="K1223" s="15" t="s">
        <v>176</v>
      </c>
      <c r="L1223" s="15" t="s">
        <v>1015</v>
      </c>
      <c r="M1223" s="29">
        <v>44096</v>
      </c>
      <c r="N1223" s="86">
        <v>825000</v>
      </c>
      <c r="O1223" s="28"/>
      <c r="P1223" s="1"/>
      <c r="Q1223" s="32"/>
      <c r="R1223" s="191">
        <v>825000</v>
      </c>
    </row>
    <row r="1224" spans="1:18" ht="15.75" customHeight="1" x14ac:dyDescent="0.3">
      <c r="A1224" s="128" t="s">
        <v>3902</v>
      </c>
      <c r="B1224" s="10" t="s">
        <v>3903</v>
      </c>
      <c r="C1224" s="11" t="s">
        <v>4490</v>
      </c>
      <c r="D1224" t="s">
        <v>4494</v>
      </c>
      <c r="E1224"/>
      <c r="F1224" t="s">
        <v>3904</v>
      </c>
      <c r="G1224" t="s">
        <v>4644</v>
      </c>
      <c r="H1224" s="3" t="s">
        <v>3905</v>
      </c>
      <c r="I1224"/>
      <c r="J1224" s="166">
        <v>160728</v>
      </c>
      <c r="K1224" s="15" t="s">
        <v>176</v>
      </c>
      <c r="L1224" s="11" t="s">
        <v>1015</v>
      </c>
      <c r="M1224" s="34">
        <v>45503</v>
      </c>
      <c r="N1224" s="86">
        <v>2700000</v>
      </c>
      <c r="O1224" s="28" t="s">
        <v>20</v>
      </c>
      <c r="P1224" s="1" t="s">
        <v>78</v>
      </c>
      <c r="Q1224" s="32"/>
      <c r="R1224" s="191">
        <v>2700000</v>
      </c>
    </row>
    <row r="1225" spans="1:18" ht="15.75" customHeight="1" x14ac:dyDescent="0.3">
      <c r="A1225" s="132" t="s">
        <v>3906</v>
      </c>
      <c r="B1225" s="3" t="s">
        <v>3906</v>
      </c>
      <c r="C1225" s="11" t="s">
        <v>4519</v>
      </c>
      <c r="D1225" t="s">
        <v>4496</v>
      </c>
      <c r="E1225" s="3"/>
      <c r="F1225" s="11"/>
      <c r="G1225" s="11"/>
      <c r="H1225" s="3" t="s">
        <v>3907</v>
      </c>
      <c r="I1225"/>
      <c r="J1225" s="166">
        <v>1452</v>
      </c>
      <c r="K1225" s="3" t="s">
        <v>735</v>
      </c>
      <c r="L1225" s="11" t="s">
        <v>105</v>
      </c>
      <c r="M1225" s="29">
        <v>45545</v>
      </c>
      <c r="N1225" s="86">
        <v>2829</v>
      </c>
      <c r="O1225" s="28"/>
      <c r="P1225" s="1"/>
      <c r="Q1225" s="32"/>
      <c r="R1225" s="191">
        <v>2829</v>
      </c>
    </row>
    <row r="1226" spans="1:18" ht="15.75" customHeight="1" x14ac:dyDescent="0.3">
      <c r="A1226" s="132" t="s">
        <v>3908</v>
      </c>
      <c r="B1226" s="3" t="s">
        <v>3908</v>
      </c>
      <c r="C1226" s="11" t="s">
        <v>4520</v>
      </c>
      <c r="D1226" t="s">
        <v>4492</v>
      </c>
      <c r="E1226"/>
      <c r="F1226" t="s">
        <v>3909</v>
      </c>
      <c r="G1226" t="s">
        <v>4643</v>
      </c>
      <c r="H1226" s="3" t="s">
        <v>3910</v>
      </c>
      <c r="I1226"/>
      <c r="J1226" s="166">
        <v>56</v>
      </c>
      <c r="K1226" s="3" t="s">
        <v>3911</v>
      </c>
      <c r="L1226" s="11" t="s">
        <v>3912</v>
      </c>
      <c r="M1226" s="29">
        <v>45554</v>
      </c>
      <c r="N1226" s="86">
        <v>235000</v>
      </c>
      <c r="O1226" s="28"/>
      <c r="P1226" s="1"/>
      <c r="Q1226" s="32"/>
      <c r="R1226" s="191">
        <v>235000</v>
      </c>
    </row>
    <row r="1227" spans="1:18" ht="15.75" customHeight="1" x14ac:dyDescent="0.3">
      <c r="A1227" s="132" t="s">
        <v>3913</v>
      </c>
      <c r="B1227" s="3" t="s">
        <v>3913</v>
      </c>
      <c r="C1227" s="11" t="s">
        <v>4518</v>
      </c>
      <c r="D1227" t="s">
        <v>4492</v>
      </c>
      <c r="E1227"/>
      <c r="F1227" t="s">
        <v>4627</v>
      </c>
      <c r="G1227" t="s">
        <v>4654</v>
      </c>
      <c r="H1227" s="3" t="s">
        <v>3914</v>
      </c>
      <c r="I1227"/>
      <c r="J1227" s="166">
        <v>222722</v>
      </c>
      <c r="K1227" s="3" t="s">
        <v>1769</v>
      </c>
      <c r="L1227" s="11" t="s">
        <v>1770</v>
      </c>
      <c r="M1227" s="29">
        <v>45547</v>
      </c>
      <c r="N1227" s="86">
        <v>18999.990000000002</v>
      </c>
      <c r="O1227" s="28" t="s">
        <v>20</v>
      </c>
      <c r="P1227" s="1" t="s">
        <v>66</v>
      </c>
      <c r="Q1227" s="32"/>
      <c r="R1227" s="191" t="s">
        <v>5000</v>
      </c>
    </row>
    <row r="1228" spans="1:18" ht="15.75" customHeight="1" x14ac:dyDescent="0.3">
      <c r="A1228" s="3" t="s">
        <v>3915</v>
      </c>
      <c r="B1228" s="3" t="s">
        <v>3915</v>
      </c>
      <c r="C1228" s="11" t="s">
        <v>4518</v>
      </c>
      <c r="D1228" t="s">
        <v>4492</v>
      </c>
      <c r="E1228" s="3"/>
      <c r="F1228" s="15"/>
      <c r="G1228" s="15"/>
      <c r="H1228" s="3" t="s">
        <v>3916</v>
      </c>
      <c r="I1228"/>
      <c r="J1228" s="166">
        <v>67586</v>
      </c>
      <c r="K1228" s="3" t="s">
        <v>3308</v>
      </c>
      <c r="L1228" s="11" t="s">
        <v>551</v>
      </c>
      <c r="M1228" s="29">
        <v>45552</v>
      </c>
      <c r="N1228" s="86">
        <v>1839.08</v>
      </c>
      <c r="O1228" s="28" t="s">
        <v>20</v>
      </c>
      <c r="P1228" s="1" t="s">
        <v>91</v>
      </c>
      <c r="Q1228" s="32"/>
      <c r="R1228" s="191" t="s">
        <v>5001</v>
      </c>
    </row>
    <row r="1229" spans="1:18" ht="15.75" customHeight="1" x14ac:dyDescent="0.3">
      <c r="A1229" s="3" t="s">
        <v>3917</v>
      </c>
      <c r="B1229" s="3" t="s">
        <v>3917</v>
      </c>
      <c r="C1229" s="11" t="s">
        <v>4490</v>
      </c>
      <c r="D1229" t="s">
        <v>4493</v>
      </c>
      <c r="E1229" s="160"/>
      <c r="F1229"/>
      <c r="G1229"/>
      <c r="H1229" s="3" t="s">
        <v>3918</v>
      </c>
      <c r="I1229"/>
      <c r="J1229" s="166">
        <v>189</v>
      </c>
      <c r="K1229" s="11" t="s">
        <v>3919</v>
      </c>
      <c r="L1229" s="11" t="s">
        <v>3920</v>
      </c>
      <c r="M1229" s="13">
        <v>45552</v>
      </c>
      <c r="N1229" s="86">
        <v>120000</v>
      </c>
      <c r="O1229" s="28" t="s">
        <v>20</v>
      </c>
      <c r="P1229" s="1" t="s">
        <v>44</v>
      </c>
      <c r="Q1229" s="32"/>
      <c r="R1229" s="191">
        <v>120000</v>
      </c>
    </row>
    <row r="1230" spans="1:18" ht="15.75" customHeight="1" x14ac:dyDescent="0.3">
      <c r="A1230" s="138" t="s">
        <v>3921</v>
      </c>
      <c r="B1230" s="19" t="s">
        <v>3921</v>
      </c>
      <c r="C1230" s="18" t="s">
        <v>4488</v>
      </c>
      <c r="D1230" t="s">
        <v>4495</v>
      </c>
      <c r="E1230"/>
      <c r="F1230" t="s">
        <v>4707</v>
      </c>
      <c r="G1230"/>
      <c r="H1230" s="19" t="s">
        <v>3922</v>
      </c>
      <c r="I1230" t="s">
        <v>4576</v>
      </c>
      <c r="J1230" s="165"/>
      <c r="K1230" s="19"/>
      <c r="L1230" s="18"/>
      <c r="M1230" s="47"/>
      <c r="N1230" s="89">
        <v>3708239.61</v>
      </c>
      <c r="O1230" s="25"/>
      <c r="P1230" s="24" t="s">
        <v>66</v>
      </c>
      <c r="Q1230" s="32"/>
      <c r="R1230" s="194" t="s">
        <v>5002</v>
      </c>
    </row>
    <row r="1231" spans="1:18" ht="15.75" customHeight="1" x14ac:dyDescent="0.3">
      <c r="A1231" s="132" t="s">
        <v>3923</v>
      </c>
      <c r="B1231" s="3" t="s">
        <v>3923</v>
      </c>
      <c r="C1231" s="11" t="s">
        <v>4518</v>
      </c>
      <c r="D1231" t="s">
        <v>4495</v>
      </c>
      <c r="E1231" s="3"/>
      <c r="F1231" s="15"/>
      <c r="G1231" s="15"/>
      <c r="H1231" s="3" t="s">
        <v>983</v>
      </c>
      <c r="I1231"/>
      <c r="J1231" s="166">
        <v>67776</v>
      </c>
      <c r="K1231" s="3" t="s">
        <v>3308</v>
      </c>
      <c r="L1231" s="11" t="s">
        <v>551</v>
      </c>
      <c r="M1231" s="29">
        <v>45560</v>
      </c>
      <c r="N1231" s="86">
        <v>2047</v>
      </c>
      <c r="O1231" s="28" t="s">
        <v>20</v>
      </c>
      <c r="P1231" s="1" t="s">
        <v>66</v>
      </c>
      <c r="Q1231" s="32"/>
      <c r="R1231" s="191">
        <v>2047</v>
      </c>
    </row>
    <row r="1232" spans="1:18" ht="15.75" customHeight="1" x14ac:dyDescent="0.3">
      <c r="A1232" s="3" t="s">
        <v>3924</v>
      </c>
      <c r="B1232" s="3" t="s">
        <v>3924</v>
      </c>
      <c r="C1232" s="11" t="s">
        <v>4489</v>
      </c>
      <c r="D1232" t="s">
        <v>4492</v>
      </c>
      <c r="E1232" s="3"/>
      <c r="F1232" s="15"/>
      <c r="G1232" s="15"/>
      <c r="H1232" s="3" t="s">
        <v>3925</v>
      </c>
      <c r="I1232"/>
      <c r="J1232" s="166">
        <v>57</v>
      </c>
      <c r="K1232" s="3" t="s">
        <v>3911</v>
      </c>
      <c r="L1232" s="11" t="s">
        <v>3912</v>
      </c>
      <c r="M1232" s="29">
        <v>45555</v>
      </c>
      <c r="N1232" s="86">
        <v>14500</v>
      </c>
      <c r="O1232" s="28" t="s">
        <v>20</v>
      </c>
      <c r="P1232" s="1"/>
      <c r="Q1232" s="32"/>
      <c r="R1232" s="191">
        <v>14500</v>
      </c>
    </row>
    <row r="1233" spans="1:18" ht="15.75" customHeight="1" x14ac:dyDescent="0.3">
      <c r="A1233" s="132" t="s">
        <v>3926</v>
      </c>
      <c r="B1233" s="3" t="s">
        <v>3926</v>
      </c>
      <c r="C1233" s="3" t="s">
        <v>4520</v>
      </c>
      <c r="D1233" t="s">
        <v>4495</v>
      </c>
      <c r="E1233" s="3"/>
      <c r="F1233" s="11"/>
      <c r="G1233" s="11"/>
      <c r="H1233" s="3" t="s">
        <v>3927</v>
      </c>
      <c r="I1233"/>
      <c r="J1233" s="166">
        <v>1559</v>
      </c>
      <c r="K1233" s="3" t="s">
        <v>735</v>
      </c>
      <c r="L1233" s="11" t="s">
        <v>105</v>
      </c>
      <c r="M1233" s="29">
        <v>45569</v>
      </c>
      <c r="N1233" s="86">
        <v>1926</v>
      </c>
      <c r="O1233" s="28" t="s">
        <v>20</v>
      </c>
      <c r="P1233" s="1"/>
      <c r="Q1233" s="32"/>
      <c r="R1233" s="191">
        <v>1926</v>
      </c>
    </row>
    <row r="1234" spans="1:18" ht="15.75" customHeight="1" x14ac:dyDescent="0.3">
      <c r="A1234" s="132" t="s">
        <v>3928</v>
      </c>
      <c r="B1234" s="3" t="s">
        <v>3928</v>
      </c>
      <c r="C1234" s="11" t="s">
        <v>4520</v>
      </c>
      <c r="D1234" t="s">
        <v>4492</v>
      </c>
      <c r="E1234" s="3"/>
      <c r="F1234" s="11"/>
      <c r="G1234" s="11"/>
      <c r="H1234" s="3" t="s">
        <v>3927</v>
      </c>
      <c r="I1234"/>
      <c r="J1234" s="166">
        <v>1561</v>
      </c>
      <c r="K1234" s="3" t="s">
        <v>735</v>
      </c>
      <c r="L1234" s="11" t="s">
        <v>105</v>
      </c>
      <c r="M1234" s="29">
        <v>45569</v>
      </c>
      <c r="N1234" s="86">
        <v>1926</v>
      </c>
      <c r="O1234" s="28" t="s">
        <v>20</v>
      </c>
      <c r="P1234" s="1"/>
      <c r="Q1234" s="32"/>
      <c r="R1234" s="191">
        <v>1926</v>
      </c>
    </row>
    <row r="1235" spans="1:18" ht="15.75" customHeight="1" x14ac:dyDescent="0.3">
      <c r="A1235" s="132" t="s">
        <v>3929</v>
      </c>
      <c r="B1235" s="3" t="s">
        <v>3929</v>
      </c>
      <c r="C1235" s="11" t="s">
        <v>4520</v>
      </c>
      <c r="D1235" t="s">
        <v>4494</v>
      </c>
      <c r="E1235" s="3"/>
      <c r="F1235" s="11"/>
      <c r="G1235" s="11"/>
      <c r="H1235" s="3" t="s">
        <v>3927</v>
      </c>
      <c r="I1235"/>
      <c r="J1235" s="166">
        <v>1560</v>
      </c>
      <c r="K1235" s="3" t="s">
        <v>735</v>
      </c>
      <c r="L1235" s="11" t="s">
        <v>105</v>
      </c>
      <c r="M1235" s="29">
        <v>45569</v>
      </c>
      <c r="N1235" s="86">
        <v>1926</v>
      </c>
      <c r="O1235" s="28" t="s">
        <v>20</v>
      </c>
      <c r="P1235" s="1"/>
      <c r="Q1235" s="32"/>
      <c r="R1235" s="191">
        <v>1926</v>
      </c>
    </row>
    <row r="1236" spans="1:18" ht="15.75" customHeight="1" x14ac:dyDescent="0.3">
      <c r="A1236" s="132" t="s">
        <v>3930</v>
      </c>
      <c r="B1236" s="3" t="s">
        <v>3930</v>
      </c>
      <c r="C1236" s="11" t="s">
        <v>4520</v>
      </c>
      <c r="D1236" t="s">
        <v>4493</v>
      </c>
      <c r="E1236" s="3"/>
      <c r="F1236" s="11"/>
      <c r="G1236" s="11"/>
      <c r="H1236" s="3" t="s">
        <v>3927</v>
      </c>
      <c r="I1236"/>
      <c r="J1236" s="166">
        <v>1562</v>
      </c>
      <c r="K1236" s="3" t="s">
        <v>735</v>
      </c>
      <c r="L1236" s="11" t="s">
        <v>105</v>
      </c>
      <c r="M1236" s="29">
        <v>45569</v>
      </c>
      <c r="N1236" s="86">
        <v>1926</v>
      </c>
      <c r="O1236" s="28" t="s">
        <v>20</v>
      </c>
      <c r="P1236" s="1"/>
      <c r="Q1236" s="32"/>
      <c r="R1236" s="191">
        <v>1926</v>
      </c>
    </row>
    <row r="1237" spans="1:18" ht="15.75" customHeight="1" x14ac:dyDescent="0.3">
      <c r="A1237" s="132" t="s">
        <v>3931</v>
      </c>
      <c r="B1237" s="3" t="s">
        <v>3931</v>
      </c>
      <c r="C1237" s="11" t="s">
        <v>4490</v>
      </c>
      <c r="D1237" t="s">
        <v>4493</v>
      </c>
      <c r="E1237" s="160"/>
      <c r="F1237" t="s">
        <v>4655</v>
      </c>
      <c r="G1237" t="s">
        <v>4629</v>
      </c>
      <c r="H1237" s="3" t="s">
        <v>3649</v>
      </c>
      <c r="I1237"/>
      <c r="J1237" s="171">
        <v>4988</v>
      </c>
      <c r="K1237" s="11" t="s">
        <v>2255</v>
      </c>
      <c r="L1237" s="11" t="s">
        <v>834</v>
      </c>
      <c r="M1237" s="13">
        <v>45519</v>
      </c>
      <c r="N1237" s="86">
        <v>82500</v>
      </c>
      <c r="O1237" s="28" t="s">
        <v>20</v>
      </c>
      <c r="P1237" s="1" t="s">
        <v>78</v>
      </c>
      <c r="Q1237" s="32"/>
      <c r="R1237" s="191">
        <v>82500</v>
      </c>
    </row>
    <row r="1238" spans="1:18" ht="15.75" customHeight="1" x14ac:dyDescent="0.3">
      <c r="A1238" s="132" t="s">
        <v>3932</v>
      </c>
      <c r="B1238" s="3" t="s">
        <v>3932</v>
      </c>
      <c r="C1238" s="11" t="s">
        <v>4490</v>
      </c>
      <c r="D1238" t="s">
        <v>4493</v>
      </c>
      <c r="E1238" s="160"/>
      <c r="F1238" t="s">
        <v>4656</v>
      </c>
      <c r="G1238" t="s">
        <v>4629</v>
      </c>
      <c r="H1238" s="3" t="s">
        <v>3649</v>
      </c>
      <c r="I1238"/>
      <c r="J1238" s="183">
        <v>4988</v>
      </c>
      <c r="K1238" s="11" t="s">
        <v>2255</v>
      </c>
      <c r="L1238" s="11" t="s">
        <v>834</v>
      </c>
      <c r="M1238" s="13">
        <v>45519</v>
      </c>
      <c r="N1238" s="86">
        <v>82500</v>
      </c>
      <c r="O1238" s="28" t="s">
        <v>20</v>
      </c>
      <c r="P1238" s="1" t="s">
        <v>78</v>
      </c>
      <c r="Q1238" s="32"/>
      <c r="R1238" s="191">
        <v>82500</v>
      </c>
    </row>
    <row r="1239" spans="1:18" ht="15.75" customHeight="1" x14ac:dyDescent="0.3">
      <c r="A1239" s="132" t="s">
        <v>3933</v>
      </c>
      <c r="B1239" s="3" t="s">
        <v>3933</v>
      </c>
      <c r="C1239" s="11" t="s">
        <v>4489</v>
      </c>
      <c r="D1239" t="s">
        <v>4495</v>
      </c>
      <c r="E1239" s="3"/>
      <c r="F1239" s="11"/>
      <c r="G1239" s="11"/>
      <c r="H1239" s="3" t="s">
        <v>3934</v>
      </c>
      <c r="I1239"/>
      <c r="J1239" s="166">
        <v>6719</v>
      </c>
      <c r="K1239" s="3" t="s">
        <v>3935</v>
      </c>
      <c r="L1239" s="11" t="s">
        <v>3936</v>
      </c>
      <c r="M1239" s="29">
        <v>45579</v>
      </c>
      <c r="N1239" s="86">
        <v>1260</v>
      </c>
      <c r="O1239" s="28"/>
      <c r="P1239" s="1"/>
      <c r="Q1239" s="32"/>
      <c r="R1239" s="191">
        <v>1260</v>
      </c>
    </row>
    <row r="1240" spans="1:18" ht="15.75" customHeight="1" x14ac:dyDescent="0.3">
      <c r="A1240" s="132" t="s">
        <v>3937</v>
      </c>
      <c r="B1240" s="3" t="s">
        <v>3937</v>
      </c>
      <c r="C1240" s="11" t="s">
        <v>4519</v>
      </c>
      <c r="D1240" t="s">
        <v>4492</v>
      </c>
      <c r="E1240" s="3"/>
      <c r="F1240" s="11"/>
      <c r="G1240" s="11"/>
      <c r="H1240" s="3" t="s">
        <v>3938</v>
      </c>
      <c r="I1240"/>
      <c r="J1240" s="166">
        <v>291327</v>
      </c>
      <c r="K1240" s="3" t="s">
        <v>3939</v>
      </c>
      <c r="L1240" s="11" t="s">
        <v>3940</v>
      </c>
      <c r="M1240" s="29">
        <v>45576</v>
      </c>
      <c r="N1240" s="86">
        <v>1399</v>
      </c>
      <c r="O1240" s="28"/>
      <c r="P1240" s="1"/>
      <c r="Q1240" s="32"/>
      <c r="R1240" s="191">
        <v>1399</v>
      </c>
    </row>
    <row r="1241" spans="1:18" ht="15.75" customHeight="1" x14ac:dyDescent="0.3">
      <c r="A1241" s="132" t="s">
        <v>3941</v>
      </c>
      <c r="B1241" s="3" t="s">
        <v>3941</v>
      </c>
      <c r="C1241" s="11" t="s">
        <v>4518</v>
      </c>
      <c r="D1241" t="s">
        <v>4492</v>
      </c>
      <c r="E1241" s="3"/>
      <c r="F1241" s="11"/>
      <c r="G1241" s="11"/>
      <c r="H1241" s="3" t="s">
        <v>3942</v>
      </c>
      <c r="I1241"/>
      <c r="J1241" s="166">
        <v>228917</v>
      </c>
      <c r="K1241" s="3" t="s">
        <v>1769</v>
      </c>
      <c r="L1241" s="11" t="s">
        <v>1770</v>
      </c>
      <c r="M1241" s="29">
        <v>45589</v>
      </c>
      <c r="N1241" s="86">
        <v>7740</v>
      </c>
      <c r="O1241" s="28" t="s">
        <v>20</v>
      </c>
      <c r="P1241" s="1" t="s">
        <v>91</v>
      </c>
      <c r="Q1241" s="32"/>
      <c r="R1241" s="191">
        <v>7740</v>
      </c>
    </row>
    <row r="1242" spans="1:18" ht="15.75" customHeight="1" x14ac:dyDescent="0.3">
      <c r="A1242" s="132" t="s">
        <v>3943</v>
      </c>
      <c r="B1242" s="3" t="s">
        <v>3943</v>
      </c>
      <c r="C1242" s="11" t="s">
        <v>4520</v>
      </c>
      <c r="D1242" t="s">
        <v>4492</v>
      </c>
      <c r="E1242" s="3"/>
      <c r="F1242" s="11"/>
      <c r="G1242" s="11"/>
      <c r="H1242" s="3" t="s">
        <v>3944</v>
      </c>
      <c r="I1242"/>
      <c r="J1242" s="166">
        <v>1630</v>
      </c>
      <c r="K1242" s="3" t="s">
        <v>735</v>
      </c>
      <c r="L1242" s="11" t="s">
        <v>105</v>
      </c>
      <c r="M1242" s="29">
        <v>45590</v>
      </c>
      <c r="N1242" s="86">
        <v>1942</v>
      </c>
      <c r="O1242" s="28" t="s">
        <v>20</v>
      </c>
      <c r="P1242" s="1"/>
      <c r="Q1242" s="32"/>
      <c r="R1242" s="191">
        <v>1942</v>
      </c>
    </row>
    <row r="1243" spans="1:18" ht="15.75" customHeight="1" x14ac:dyDescent="0.3">
      <c r="A1243" s="132" t="s">
        <v>3945</v>
      </c>
      <c r="B1243" s="3" t="s">
        <v>3945</v>
      </c>
      <c r="C1243" s="11" t="s">
        <v>4489</v>
      </c>
      <c r="D1243" t="s">
        <v>4497</v>
      </c>
      <c r="E1243" s="3"/>
      <c r="F1243" s="11"/>
      <c r="G1243" s="11"/>
      <c r="H1243" s="3" t="s">
        <v>3944</v>
      </c>
      <c r="I1243"/>
      <c r="J1243" s="166">
        <v>1631</v>
      </c>
      <c r="K1243" s="3" t="s">
        <v>735</v>
      </c>
      <c r="L1243" s="11" t="s">
        <v>105</v>
      </c>
      <c r="M1243" s="29">
        <v>45590</v>
      </c>
      <c r="N1243" s="86">
        <v>1942</v>
      </c>
      <c r="O1243" s="28" t="s">
        <v>20</v>
      </c>
      <c r="P1243" s="1"/>
      <c r="Q1243" s="32"/>
      <c r="R1243" s="191">
        <v>1942</v>
      </c>
    </row>
    <row r="1244" spans="1:18" ht="15.75" customHeight="1" x14ac:dyDescent="0.3">
      <c r="A1244" s="132" t="s">
        <v>3946</v>
      </c>
      <c r="B1244" s="3" t="s">
        <v>3946</v>
      </c>
      <c r="C1244" s="3" t="s">
        <v>4520</v>
      </c>
      <c r="D1244" t="s">
        <v>4495</v>
      </c>
      <c r="E1244" s="3"/>
      <c r="F1244" s="11"/>
      <c r="G1244" s="11"/>
      <c r="H1244" s="3" t="s">
        <v>3944</v>
      </c>
      <c r="I1244"/>
      <c r="J1244" s="166">
        <v>1633</v>
      </c>
      <c r="K1244" s="3" t="s">
        <v>735</v>
      </c>
      <c r="L1244" s="11" t="s">
        <v>105</v>
      </c>
      <c r="M1244" s="29">
        <v>45590</v>
      </c>
      <c r="N1244" s="86">
        <v>1942</v>
      </c>
      <c r="O1244" s="28" t="s">
        <v>20</v>
      </c>
      <c r="P1244" s="1"/>
      <c r="Q1244" s="32"/>
      <c r="R1244" s="191">
        <v>1942</v>
      </c>
    </row>
    <row r="1245" spans="1:18" ht="15.75" customHeight="1" x14ac:dyDescent="0.3">
      <c r="A1245" s="132" t="s">
        <v>3947</v>
      </c>
      <c r="B1245" s="3" t="s">
        <v>3947</v>
      </c>
      <c r="C1245" s="3" t="s">
        <v>4520</v>
      </c>
      <c r="D1245" t="s">
        <v>4495</v>
      </c>
      <c r="E1245" s="3"/>
      <c r="F1245" s="11"/>
      <c r="G1245" s="11"/>
      <c r="H1245" s="3" t="s">
        <v>3944</v>
      </c>
      <c r="I1245"/>
      <c r="J1245" s="166">
        <v>1633</v>
      </c>
      <c r="K1245" s="3" t="s">
        <v>735</v>
      </c>
      <c r="L1245" s="11" t="s">
        <v>105</v>
      </c>
      <c r="M1245" s="29">
        <v>45590</v>
      </c>
      <c r="N1245" s="86">
        <v>1942</v>
      </c>
      <c r="O1245" s="28" t="s">
        <v>20</v>
      </c>
      <c r="P1245" s="1"/>
      <c r="Q1245" s="32"/>
      <c r="R1245" s="191">
        <v>1942</v>
      </c>
    </row>
    <row r="1246" spans="1:18" ht="15.75" customHeight="1" x14ac:dyDescent="0.3">
      <c r="A1246" s="132" t="s">
        <v>3948</v>
      </c>
      <c r="B1246" s="3" t="s">
        <v>3948</v>
      </c>
      <c r="C1246" s="11" t="s">
        <v>4487</v>
      </c>
      <c r="D1246" t="s">
        <v>4496</v>
      </c>
      <c r="E1246" t="s">
        <v>3949</v>
      </c>
      <c r="F1246" t="s">
        <v>3950</v>
      </c>
      <c r="G1246" t="s">
        <v>4626</v>
      </c>
      <c r="H1246" s="3" t="s">
        <v>3951</v>
      </c>
      <c r="I1246" s="160" t="s">
        <v>4577</v>
      </c>
      <c r="J1246" s="180">
        <v>126391</v>
      </c>
      <c r="K1246" s="39" t="s">
        <v>3952</v>
      </c>
      <c r="L1246" s="39" t="s">
        <v>3953</v>
      </c>
      <c r="M1246" s="40">
        <v>45596</v>
      </c>
      <c r="N1246" s="99">
        <v>189990</v>
      </c>
      <c r="O1246" s="28" t="s">
        <v>20</v>
      </c>
      <c r="P1246" s="1" t="s">
        <v>78</v>
      </c>
      <c r="Q1246" s="32"/>
      <c r="R1246" s="203">
        <v>189990</v>
      </c>
    </row>
    <row r="1247" spans="1:18" ht="15.75" customHeight="1" x14ac:dyDescent="0.3">
      <c r="A1247" s="3" t="s">
        <v>3954</v>
      </c>
      <c r="B1247" s="3" t="s">
        <v>3954</v>
      </c>
      <c r="C1247" s="11" t="s">
        <v>4519</v>
      </c>
      <c r="D1247" t="s">
        <v>4494</v>
      </c>
      <c r="E1247" s="37"/>
      <c r="F1247" s="38"/>
      <c r="G1247" s="38"/>
      <c r="H1247" s="3" t="s">
        <v>3955</v>
      </c>
      <c r="I1247"/>
      <c r="J1247" s="166">
        <v>1693</v>
      </c>
      <c r="K1247" s="3" t="s">
        <v>735</v>
      </c>
      <c r="L1247" s="11" t="s">
        <v>105</v>
      </c>
      <c r="M1247" s="29">
        <v>45608</v>
      </c>
      <c r="N1247" s="86">
        <v>2998.82</v>
      </c>
      <c r="O1247" s="28" t="s">
        <v>20</v>
      </c>
      <c r="P1247" s="1" t="s">
        <v>78</v>
      </c>
      <c r="Q1247" s="32"/>
      <c r="R1247" s="191" t="s">
        <v>5003</v>
      </c>
    </row>
    <row r="1248" spans="1:18" ht="15.75" customHeight="1" x14ac:dyDescent="0.3">
      <c r="A1248" s="132" t="s">
        <v>3956</v>
      </c>
      <c r="B1248" s="3" t="s">
        <v>3956</v>
      </c>
      <c r="C1248" s="11" t="s">
        <v>4520</v>
      </c>
      <c r="D1248" t="s">
        <v>4496</v>
      </c>
      <c r="E1248" s="37"/>
      <c r="F1248" s="38"/>
      <c r="G1248" s="38"/>
      <c r="H1248" s="3" t="s">
        <v>3957</v>
      </c>
      <c r="I1248"/>
      <c r="J1248" s="166">
        <v>274</v>
      </c>
      <c r="K1248" s="3" t="s">
        <v>3958</v>
      </c>
      <c r="L1248" s="11" t="s">
        <v>934</v>
      </c>
      <c r="M1248" s="29">
        <v>45572</v>
      </c>
      <c r="N1248" s="86">
        <v>4700</v>
      </c>
      <c r="O1248" s="28"/>
      <c r="P1248" s="1"/>
      <c r="Q1248" s="32"/>
      <c r="R1248" s="191">
        <v>4700</v>
      </c>
    </row>
    <row r="1249" spans="1:18" ht="15.75" customHeight="1" x14ac:dyDescent="0.3">
      <c r="A1249" s="3" t="s">
        <v>3959</v>
      </c>
      <c r="B1249" s="3" t="s">
        <v>3959</v>
      </c>
      <c r="C1249" s="11" t="s">
        <v>4518</v>
      </c>
      <c r="D1249" t="s">
        <v>4494</v>
      </c>
      <c r="E1249" s="37"/>
      <c r="F1249" s="38"/>
      <c r="G1249" s="38"/>
      <c r="H1249" s="3" t="s">
        <v>3960</v>
      </c>
      <c r="I1249"/>
      <c r="J1249" s="166">
        <v>68964</v>
      </c>
      <c r="K1249" s="3" t="s">
        <v>3308</v>
      </c>
      <c r="L1249" s="11" t="s">
        <v>551</v>
      </c>
      <c r="M1249" s="29">
        <v>45608</v>
      </c>
      <c r="N1249" s="86">
        <v>3969.1</v>
      </c>
      <c r="O1249" s="28"/>
      <c r="P1249" s="1"/>
      <c r="Q1249" s="32"/>
      <c r="R1249" s="191" t="s">
        <v>5004</v>
      </c>
    </row>
    <row r="1250" spans="1:18" ht="15.75" customHeight="1" x14ac:dyDescent="0.3">
      <c r="A1250" s="132" t="s">
        <v>3961</v>
      </c>
      <c r="B1250" s="3" t="s">
        <v>3961</v>
      </c>
      <c r="C1250" s="11" t="s">
        <v>4518</v>
      </c>
      <c r="D1250" t="s">
        <v>4494</v>
      </c>
      <c r="E1250"/>
      <c r="F1250"/>
      <c r="G1250"/>
      <c r="H1250" s="3" t="s">
        <v>489</v>
      </c>
      <c r="I1250"/>
      <c r="J1250" s="166">
        <v>68964</v>
      </c>
      <c r="K1250" s="3" t="s">
        <v>3308</v>
      </c>
      <c r="L1250" s="11" t="s">
        <v>551</v>
      </c>
      <c r="M1250" s="29">
        <v>45608</v>
      </c>
      <c r="N1250" s="86">
        <v>3969.1</v>
      </c>
      <c r="O1250" s="28"/>
      <c r="P1250" s="1"/>
      <c r="Q1250" s="32"/>
      <c r="R1250" s="191" t="s">
        <v>5004</v>
      </c>
    </row>
    <row r="1251" spans="1:18" ht="15.75" customHeight="1" x14ac:dyDescent="0.3">
      <c r="A1251" s="142" t="s">
        <v>3962</v>
      </c>
      <c r="B1251" s="11" t="s">
        <v>3962</v>
      </c>
      <c r="C1251" s="11" t="s">
        <v>4518</v>
      </c>
      <c r="D1251" t="s">
        <v>4494</v>
      </c>
      <c r="E1251"/>
      <c r="F1251"/>
      <c r="G1251" t="s">
        <v>4642</v>
      </c>
      <c r="H1251" s="11" t="s">
        <v>489</v>
      </c>
      <c r="I1251"/>
      <c r="J1251" s="170">
        <v>68959</v>
      </c>
      <c r="K1251" s="11" t="s">
        <v>3308</v>
      </c>
      <c r="L1251" s="11" t="s">
        <v>551</v>
      </c>
      <c r="M1251" s="13">
        <v>45608</v>
      </c>
      <c r="N1251" s="90">
        <v>1899.05</v>
      </c>
      <c r="O1251" s="52" t="s">
        <v>20</v>
      </c>
      <c r="P1251" s="23" t="s">
        <v>44</v>
      </c>
      <c r="Q1251" s="32"/>
      <c r="R1251" s="193" t="s">
        <v>4924</v>
      </c>
    </row>
    <row r="1252" spans="1:18" ht="15.75" customHeight="1" x14ac:dyDescent="0.3">
      <c r="A1252" s="132" t="s">
        <v>3963</v>
      </c>
      <c r="B1252" s="3" t="s">
        <v>3963</v>
      </c>
      <c r="C1252" s="11" t="s">
        <v>4490</v>
      </c>
      <c r="D1252" t="s">
        <v>4494</v>
      </c>
      <c r="E1252"/>
      <c r="F1252" t="s">
        <v>3964</v>
      </c>
      <c r="G1252"/>
      <c r="H1252" s="3" t="s">
        <v>1026</v>
      </c>
      <c r="I1252"/>
      <c r="J1252" s="180">
        <v>163028</v>
      </c>
      <c r="K1252" s="39" t="s">
        <v>176</v>
      </c>
      <c r="L1252" s="39" t="s">
        <v>1015</v>
      </c>
      <c r="M1252" s="13">
        <v>45596</v>
      </c>
      <c r="N1252" s="99">
        <v>1300000</v>
      </c>
      <c r="O1252" s="52" t="s">
        <v>20</v>
      </c>
      <c r="P1252" s="1" t="s">
        <v>44</v>
      </c>
      <c r="Q1252" s="32"/>
      <c r="R1252" s="203">
        <v>1300000</v>
      </c>
    </row>
    <row r="1253" spans="1:18" ht="15.75" customHeight="1" x14ac:dyDescent="0.3">
      <c r="A1253" s="132" t="s">
        <v>3965</v>
      </c>
      <c r="B1253" s="3" t="s">
        <v>3965</v>
      </c>
      <c r="C1253" s="11" t="s">
        <v>4489</v>
      </c>
      <c r="D1253" t="s">
        <v>4492</v>
      </c>
      <c r="E1253"/>
      <c r="F1253"/>
      <c r="G1253"/>
      <c r="H1253" s="3" t="s">
        <v>3966</v>
      </c>
      <c r="I1253" t="s">
        <v>4578</v>
      </c>
      <c r="J1253" s="166">
        <v>1049</v>
      </c>
      <c r="K1253" s="3" t="s">
        <v>3086</v>
      </c>
      <c r="L1253" s="11" t="s">
        <v>3087</v>
      </c>
      <c r="M1253" s="29">
        <v>45633</v>
      </c>
      <c r="N1253" s="86">
        <v>8900</v>
      </c>
      <c r="O1253" s="52"/>
      <c r="P1253" s="1"/>
      <c r="Q1253" s="32"/>
      <c r="R1253" s="191">
        <v>8900</v>
      </c>
    </row>
    <row r="1254" spans="1:18" ht="15.75" customHeight="1" x14ac:dyDescent="0.3">
      <c r="A1254" s="132" t="s">
        <v>3967</v>
      </c>
      <c r="B1254" s="3" t="s">
        <v>3967</v>
      </c>
      <c r="C1254" s="11" t="s">
        <v>4489</v>
      </c>
      <c r="D1254" t="s">
        <v>4495</v>
      </c>
      <c r="E1254" s="37"/>
      <c r="F1254" s="38"/>
      <c r="G1254" s="38"/>
      <c r="H1254" s="3" t="s">
        <v>3968</v>
      </c>
      <c r="I1254"/>
      <c r="J1254" s="166">
        <v>68931</v>
      </c>
      <c r="K1254" s="3" t="s">
        <v>3308</v>
      </c>
      <c r="L1254" s="11" t="s">
        <v>551</v>
      </c>
      <c r="M1254" s="29">
        <v>45607</v>
      </c>
      <c r="N1254" s="86">
        <v>4480</v>
      </c>
      <c r="O1254" s="52"/>
      <c r="P1254" s="1"/>
      <c r="Q1254" s="32"/>
      <c r="R1254" s="191">
        <v>4480</v>
      </c>
    </row>
    <row r="1255" spans="1:18" ht="15.75" customHeight="1" x14ac:dyDescent="0.3">
      <c r="A1255" s="132" t="s">
        <v>3969</v>
      </c>
      <c r="B1255" s="3" t="s">
        <v>3969</v>
      </c>
      <c r="C1255" s="11" t="s">
        <v>4489</v>
      </c>
      <c r="D1255" t="s">
        <v>4494</v>
      </c>
      <c r="E1255"/>
      <c r="F1255"/>
      <c r="G1255"/>
      <c r="H1255" s="3" t="s">
        <v>2410</v>
      </c>
      <c r="I1255"/>
      <c r="J1255" s="166">
        <v>113275</v>
      </c>
      <c r="K1255" s="3" t="s">
        <v>3970</v>
      </c>
      <c r="L1255" s="11" t="s">
        <v>3971</v>
      </c>
      <c r="M1255" s="29">
        <v>45603</v>
      </c>
      <c r="N1255" s="86">
        <v>4000</v>
      </c>
      <c r="O1255" s="52"/>
      <c r="P1255" s="1"/>
      <c r="Q1255" s="32"/>
      <c r="R1255" s="191">
        <v>4000</v>
      </c>
    </row>
    <row r="1256" spans="1:18" ht="15.75" customHeight="1" x14ac:dyDescent="0.3">
      <c r="A1256" s="132" t="s">
        <v>3972</v>
      </c>
      <c r="B1256" s="3" t="s">
        <v>3972</v>
      </c>
      <c r="C1256" s="11" t="s">
        <v>4489</v>
      </c>
      <c r="D1256" t="s">
        <v>4497</v>
      </c>
      <c r="E1256"/>
      <c r="F1256"/>
      <c r="G1256"/>
      <c r="H1256" s="3" t="s">
        <v>2410</v>
      </c>
      <c r="I1256"/>
      <c r="J1256" s="166">
        <v>132968</v>
      </c>
      <c r="K1256" s="3" t="s">
        <v>664</v>
      </c>
      <c r="L1256" s="11" t="s">
        <v>1244</v>
      </c>
      <c r="M1256" s="29">
        <v>45603</v>
      </c>
      <c r="N1256" s="86">
        <v>2999.9</v>
      </c>
      <c r="O1256" s="52"/>
      <c r="P1256" s="1"/>
      <c r="Q1256" s="32"/>
      <c r="R1256" s="191" t="s">
        <v>5005</v>
      </c>
    </row>
    <row r="1257" spans="1:18" ht="15.75" customHeight="1" x14ac:dyDescent="0.3">
      <c r="A1257" s="132" t="s">
        <v>3973</v>
      </c>
      <c r="B1257" s="3" t="s">
        <v>3973</v>
      </c>
      <c r="C1257" s="3" t="s">
        <v>4520</v>
      </c>
      <c r="D1257" t="s">
        <v>4495</v>
      </c>
      <c r="E1257" s="37"/>
      <c r="F1257" s="38"/>
      <c r="G1257" s="38"/>
      <c r="H1257" s="3" t="s">
        <v>3974</v>
      </c>
      <c r="I1257"/>
      <c r="J1257" s="166">
        <v>1684</v>
      </c>
      <c r="K1257" s="3" t="s">
        <v>735</v>
      </c>
      <c r="L1257" s="11" t="s">
        <v>105</v>
      </c>
      <c r="M1257" s="29">
        <v>45604</v>
      </c>
      <c r="N1257" s="86">
        <v>3582</v>
      </c>
      <c r="O1257" s="52" t="s">
        <v>20</v>
      </c>
      <c r="P1257" s="1"/>
      <c r="Q1257" s="32"/>
      <c r="R1257" s="191">
        <v>3582</v>
      </c>
    </row>
    <row r="1258" spans="1:18" ht="15.75" customHeight="1" x14ac:dyDescent="0.3">
      <c r="A1258" s="132" t="s">
        <v>3975</v>
      </c>
      <c r="B1258" s="3" t="s">
        <v>3975</v>
      </c>
      <c r="C1258" s="3" t="s">
        <v>4520</v>
      </c>
      <c r="D1258" t="s">
        <v>4495</v>
      </c>
      <c r="E1258" s="37"/>
      <c r="F1258" s="38"/>
      <c r="G1258" s="38"/>
      <c r="H1258" s="3" t="s">
        <v>3974</v>
      </c>
      <c r="I1258"/>
      <c r="J1258" s="166">
        <v>1684</v>
      </c>
      <c r="K1258" s="3" t="s">
        <v>735</v>
      </c>
      <c r="L1258" s="11" t="s">
        <v>105</v>
      </c>
      <c r="M1258" s="29">
        <v>45604</v>
      </c>
      <c r="N1258" s="86">
        <v>3582</v>
      </c>
      <c r="O1258" s="52" t="s">
        <v>20</v>
      </c>
      <c r="P1258" s="1"/>
      <c r="Q1258" s="32"/>
      <c r="R1258" s="191">
        <v>3582</v>
      </c>
    </row>
    <row r="1259" spans="1:18" ht="15.75" customHeight="1" x14ac:dyDescent="0.3">
      <c r="A1259" s="132" t="s">
        <v>3976</v>
      </c>
      <c r="B1259" s="3" t="s">
        <v>3976</v>
      </c>
      <c r="C1259" s="11" t="s">
        <v>4487</v>
      </c>
      <c r="D1259" t="s">
        <v>4492</v>
      </c>
      <c r="E1259"/>
      <c r="F1259" t="s">
        <v>4657</v>
      </c>
      <c r="G1259" t="s">
        <v>4618</v>
      </c>
      <c r="H1259" s="3" t="s">
        <v>1177</v>
      </c>
      <c r="I1259" t="s">
        <v>3977</v>
      </c>
      <c r="J1259" s="166">
        <v>133427</v>
      </c>
      <c r="K1259" s="3" t="s">
        <v>664</v>
      </c>
      <c r="L1259" s="11" t="s">
        <v>1244</v>
      </c>
      <c r="M1259" s="29">
        <v>45622</v>
      </c>
      <c r="N1259" s="86">
        <v>19800</v>
      </c>
      <c r="O1259" s="52" t="s">
        <v>20</v>
      </c>
      <c r="P1259" s="1" t="s">
        <v>66</v>
      </c>
      <c r="Q1259" s="32"/>
      <c r="R1259" s="191">
        <v>19800</v>
      </c>
    </row>
    <row r="1260" spans="1:18" ht="15.75" customHeight="1" x14ac:dyDescent="0.3">
      <c r="A1260" s="3" t="s">
        <v>3978</v>
      </c>
      <c r="B1260" s="3" t="s">
        <v>3978</v>
      </c>
      <c r="C1260" s="11" t="s">
        <v>4489</v>
      </c>
      <c r="D1260" t="s">
        <v>4492</v>
      </c>
      <c r="E1260" s="37"/>
      <c r="F1260" s="38"/>
      <c r="G1260" s="38"/>
      <c r="H1260" s="3" t="s">
        <v>1177</v>
      </c>
      <c r="I1260" s="160" t="s">
        <v>4533</v>
      </c>
      <c r="J1260" s="180">
        <v>320926</v>
      </c>
      <c r="K1260" s="39" t="s">
        <v>3979</v>
      </c>
      <c r="L1260" s="39" t="s">
        <v>495</v>
      </c>
      <c r="M1260" s="40">
        <v>45601</v>
      </c>
      <c r="N1260" s="99">
        <v>154875</v>
      </c>
      <c r="O1260" s="52"/>
      <c r="P1260" s="1"/>
      <c r="Q1260" s="32"/>
      <c r="R1260" s="203">
        <v>154875</v>
      </c>
    </row>
    <row r="1261" spans="1:18" ht="15.75" customHeight="1" x14ac:dyDescent="0.3">
      <c r="A1261" s="132" t="s">
        <v>3980</v>
      </c>
      <c r="B1261" s="3" t="s">
        <v>3980</v>
      </c>
      <c r="C1261" s="11" t="s">
        <v>4518</v>
      </c>
      <c r="D1261" t="s">
        <v>4500</v>
      </c>
      <c r="E1261" s="37"/>
      <c r="F1261" s="38"/>
      <c r="G1261" s="38"/>
      <c r="H1261" s="3" t="s">
        <v>3981</v>
      </c>
      <c r="I1261"/>
      <c r="J1261" s="166">
        <v>3065</v>
      </c>
      <c r="K1261" s="3" t="s">
        <v>2184</v>
      </c>
      <c r="L1261" s="11" t="s">
        <v>547</v>
      </c>
      <c r="M1261" s="29">
        <v>45624</v>
      </c>
      <c r="N1261" s="86">
        <v>2198</v>
      </c>
      <c r="O1261" s="52"/>
      <c r="P1261" s="1"/>
      <c r="Q1261" s="32"/>
      <c r="R1261" s="191">
        <v>2198</v>
      </c>
    </row>
    <row r="1262" spans="1:18" ht="15.75" customHeight="1" x14ac:dyDescent="0.3">
      <c r="A1262" s="132" t="s">
        <v>3982</v>
      </c>
      <c r="B1262" s="3" t="s">
        <v>3982</v>
      </c>
      <c r="C1262" s="11" t="s">
        <v>4522</v>
      </c>
      <c r="D1262" t="s">
        <v>4499</v>
      </c>
      <c r="E1262" s="37"/>
      <c r="F1262" s="38" t="s">
        <v>3983</v>
      </c>
      <c r="G1262" s="38"/>
      <c r="H1262" s="3" t="s">
        <v>3984</v>
      </c>
      <c r="I1262" t="s">
        <v>3983</v>
      </c>
      <c r="J1262" s="166">
        <v>470869</v>
      </c>
      <c r="K1262" s="3" t="s">
        <v>3985</v>
      </c>
      <c r="L1262" s="11" t="s">
        <v>3986</v>
      </c>
      <c r="M1262" s="29">
        <v>45631</v>
      </c>
      <c r="N1262" s="86">
        <v>37600</v>
      </c>
      <c r="O1262" s="52" t="s">
        <v>20</v>
      </c>
      <c r="P1262" s="1" t="s">
        <v>66</v>
      </c>
      <c r="Q1262" s="32"/>
      <c r="R1262" s="191">
        <v>37600</v>
      </c>
    </row>
    <row r="1263" spans="1:18" ht="15.75" customHeight="1" x14ac:dyDescent="0.3">
      <c r="A1263" s="132" t="s">
        <v>3987</v>
      </c>
      <c r="B1263" s="3" t="s">
        <v>3987</v>
      </c>
      <c r="C1263" s="3" t="s">
        <v>4520</v>
      </c>
      <c r="D1263" t="s">
        <v>4493</v>
      </c>
      <c r="E1263" s="37"/>
      <c r="F1263" s="41"/>
      <c r="G1263" s="41"/>
      <c r="H1263" s="3" t="s">
        <v>3988</v>
      </c>
      <c r="I1263"/>
      <c r="J1263" s="166">
        <v>2261</v>
      </c>
      <c r="K1263" s="3" t="s">
        <v>104</v>
      </c>
      <c r="L1263" s="11" t="s">
        <v>105</v>
      </c>
      <c r="M1263" s="29">
        <v>45757</v>
      </c>
      <c r="N1263" s="86">
        <v>3050</v>
      </c>
      <c r="O1263" s="52" t="s">
        <v>20</v>
      </c>
      <c r="P1263" s="1" t="s">
        <v>78</v>
      </c>
      <c r="Q1263" s="32"/>
      <c r="R1263" s="191">
        <v>3050</v>
      </c>
    </row>
    <row r="1264" spans="1:18" ht="15.75" customHeight="1" x14ac:dyDescent="0.3">
      <c r="A1264" s="132" t="s">
        <v>3989</v>
      </c>
      <c r="B1264" s="3" t="s">
        <v>3989</v>
      </c>
      <c r="C1264" s="11" t="s">
        <v>4489</v>
      </c>
      <c r="D1264" t="s">
        <v>4495</v>
      </c>
      <c r="E1264"/>
      <c r="F1264"/>
      <c r="G1264" t="s">
        <v>4631</v>
      </c>
      <c r="H1264" s="3" t="s">
        <v>3990</v>
      </c>
      <c r="I1264" t="s">
        <v>4579</v>
      </c>
      <c r="J1264" s="166">
        <v>27092</v>
      </c>
      <c r="K1264" s="3" t="s">
        <v>3991</v>
      </c>
      <c r="L1264" s="11" t="s">
        <v>3992</v>
      </c>
      <c r="M1264" s="29">
        <v>45653</v>
      </c>
      <c r="N1264" s="86">
        <v>328500</v>
      </c>
      <c r="O1264" s="52"/>
      <c r="P1264" s="1"/>
      <c r="Q1264" s="32"/>
      <c r="R1264" s="191">
        <v>328500</v>
      </c>
    </row>
    <row r="1265" spans="1:18" ht="15.75" customHeight="1" x14ac:dyDescent="0.3">
      <c r="A1265" s="132" t="s">
        <v>3993</v>
      </c>
      <c r="B1265" s="3" t="s">
        <v>3993</v>
      </c>
      <c r="C1265" s="11" t="s">
        <v>4490</v>
      </c>
      <c r="D1265" t="s">
        <v>4492</v>
      </c>
      <c r="E1265" s="37"/>
      <c r="F1265" s="38"/>
      <c r="G1265" s="38"/>
      <c r="H1265" s="3" t="s">
        <v>3994</v>
      </c>
      <c r="I1265" t="s">
        <v>4580</v>
      </c>
      <c r="J1265" s="181"/>
      <c r="K1265" s="37"/>
      <c r="L1265" s="39"/>
      <c r="M1265" s="70"/>
      <c r="N1265" s="100">
        <v>14000</v>
      </c>
      <c r="O1265" s="52"/>
      <c r="P1265" s="1"/>
      <c r="Q1265" s="32"/>
      <c r="R1265" s="204">
        <v>14000</v>
      </c>
    </row>
    <row r="1266" spans="1:18" ht="15.75" customHeight="1" x14ac:dyDescent="0.3">
      <c r="A1266" s="3" t="s">
        <v>3995</v>
      </c>
      <c r="B1266" s="3" t="s">
        <v>3995</v>
      </c>
      <c r="C1266" s="11" t="s">
        <v>4520</v>
      </c>
      <c r="D1266" t="s">
        <v>4494</v>
      </c>
      <c r="E1266" s="37"/>
      <c r="F1266" s="38"/>
      <c r="G1266" s="38"/>
      <c r="H1266" s="3" t="s">
        <v>3996</v>
      </c>
      <c r="I1266"/>
      <c r="J1266" s="166">
        <v>27147</v>
      </c>
      <c r="K1266" s="3" t="s">
        <v>2034</v>
      </c>
      <c r="L1266" s="11" t="s">
        <v>197</v>
      </c>
      <c r="M1266" s="29">
        <v>45623</v>
      </c>
      <c r="N1266" s="86">
        <v>7603.22</v>
      </c>
      <c r="O1266" s="52" t="s">
        <v>20</v>
      </c>
      <c r="P1266" s="1" t="s">
        <v>91</v>
      </c>
      <c r="Q1266" s="32"/>
      <c r="R1266" s="191" t="s">
        <v>5006</v>
      </c>
    </row>
    <row r="1267" spans="1:18" ht="15.75" customHeight="1" x14ac:dyDescent="0.3">
      <c r="A1267" s="3" t="s">
        <v>3997</v>
      </c>
      <c r="B1267" s="3" t="s">
        <v>3997</v>
      </c>
      <c r="C1267" s="11" t="s">
        <v>4520</v>
      </c>
      <c r="D1267" t="s">
        <v>4494</v>
      </c>
      <c r="E1267" s="37"/>
      <c r="F1267" s="38"/>
      <c r="G1267" s="38"/>
      <c r="H1267" s="3" t="s">
        <v>3996</v>
      </c>
      <c r="I1267"/>
      <c r="J1267" s="166">
        <v>27147</v>
      </c>
      <c r="K1267" s="3" t="s">
        <v>2034</v>
      </c>
      <c r="L1267" s="11" t="s">
        <v>197</v>
      </c>
      <c r="M1267" s="29">
        <v>45623</v>
      </c>
      <c r="N1267" s="86">
        <v>7603.22</v>
      </c>
      <c r="O1267" s="52" t="s">
        <v>20</v>
      </c>
      <c r="P1267" s="1" t="s">
        <v>91</v>
      </c>
      <c r="Q1267" s="32"/>
      <c r="R1267" s="191" t="s">
        <v>5006</v>
      </c>
    </row>
    <row r="1268" spans="1:18" ht="15.75" customHeight="1" x14ac:dyDescent="0.3">
      <c r="A1268" s="132" t="s">
        <v>3998</v>
      </c>
      <c r="B1268" s="3" t="s">
        <v>3998</v>
      </c>
      <c r="C1268" s="3" t="s">
        <v>4520</v>
      </c>
      <c r="D1268" t="s">
        <v>4495</v>
      </c>
      <c r="E1268" s="37"/>
      <c r="F1268" s="38"/>
      <c r="G1268" s="38"/>
      <c r="H1268" s="3" t="s">
        <v>3999</v>
      </c>
      <c r="I1268"/>
      <c r="J1268" s="166">
        <v>7764</v>
      </c>
      <c r="K1268" s="11" t="s">
        <v>4000</v>
      </c>
      <c r="L1268" s="39" t="s">
        <v>4001</v>
      </c>
      <c r="M1268" s="29">
        <v>45600</v>
      </c>
      <c r="N1268" s="101">
        <v>1348</v>
      </c>
      <c r="O1268" s="52" t="s">
        <v>20</v>
      </c>
      <c r="P1268" s="1" t="s">
        <v>66</v>
      </c>
      <c r="Q1268" s="32"/>
      <c r="R1268" s="205">
        <v>1348</v>
      </c>
    </row>
    <row r="1269" spans="1:18" ht="15.75" customHeight="1" x14ac:dyDescent="0.3">
      <c r="A1269" s="3" t="s">
        <v>4002</v>
      </c>
      <c r="B1269" s="3" t="s">
        <v>4002</v>
      </c>
      <c r="C1269" s="11" t="s">
        <v>4520</v>
      </c>
      <c r="D1269" t="s">
        <v>4492</v>
      </c>
      <c r="E1269" s="37"/>
      <c r="F1269" s="38"/>
      <c r="G1269" s="38"/>
      <c r="H1269" s="3" t="s">
        <v>4003</v>
      </c>
      <c r="I1269"/>
      <c r="J1269" s="182">
        <v>27056</v>
      </c>
      <c r="K1269" s="38" t="s">
        <v>2034</v>
      </c>
      <c r="L1269" s="11" t="s">
        <v>197</v>
      </c>
      <c r="M1269" s="13">
        <v>45616</v>
      </c>
      <c r="N1269" s="100">
        <v>849.9</v>
      </c>
      <c r="O1269" s="52" t="s">
        <v>20</v>
      </c>
      <c r="P1269" s="1" t="s">
        <v>91</v>
      </c>
      <c r="Q1269" s="32"/>
      <c r="R1269" s="204" t="s">
        <v>5007</v>
      </c>
    </row>
    <row r="1270" spans="1:18" ht="15.75" customHeight="1" x14ac:dyDescent="0.3">
      <c r="A1270" s="132" t="s">
        <v>4004</v>
      </c>
      <c r="B1270" s="3" t="s">
        <v>4004</v>
      </c>
      <c r="C1270" s="11" t="s">
        <v>4519</v>
      </c>
      <c r="D1270" t="s">
        <v>4492</v>
      </c>
      <c r="E1270" s="37"/>
      <c r="F1270" s="38"/>
      <c r="G1270" s="38"/>
      <c r="H1270" s="3" t="s">
        <v>4005</v>
      </c>
      <c r="I1270"/>
      <c r="J1270" s="182">
        <v>27056</v>
      </c>
      <c r="K1270" s="38" t="s">
        <v>2034</v>
      </c>
      <c r="L1270" s="11" t="s">
        <v>197</v>
      </c>
      <c r="M1270" s="13">
        <v>45617</v>
      </c>
      <c r="N1270" s="150">
        <v>3100</v>
      </c>
      <c r="O1270" s="52" t="s">
        <v>2639</v>
      </c>
      <c r="P1270" s="1" t="s">
        <v>91</v>
      </c>
      <c r="Q1270" s="32"/>
      <c r="R1270" s="204">
        <v>3100</v>
      </c>
    </row>
    <row r="1271" spans="1:18" ht="15.75" customHeight="1" x14ac:dyDescent="0.3">
      <c r="A1271" s="132" t="s">
        <v>4006</v>
      </c>
      <c r="B1271" s="3" t="s">
        <v>4006</v>
      </c>
      <c r="C1271" s="11" t="s">
        <v>4520</v>
      </c>
      <c r="D1271" t="s">
        <v>4496</v>
      </c>
      <c r="E1271" s="37"/>
      <c r="F1271" s="38"/>
      <c r="G1271" s="38"/>
      <c r="H1271" s="3" t="s">
        <v>4007</v>
      </c>
      <c r="I1271" t="s">
        <v>4581</v>
      </c>
      <c r="J1271" s="166">
        <v>1734</v>
      </c>
      <c r="K1271" s="11" t="s">
        <v>104</v>
      </c>
      <c r="L1271" s="11" t="s">
        <v>105</v>
      </c>
      <c r="M1271" s="13">
        <v>45621</v>
      </c>
      <c r="N1271" s="86">
        <v>2000</v>
      </c>
      <c r="O1271" s="52" t="s">
        <v>20</v>
      </c>
      <c r="P1271" s="1"/>
      <c r="Q1271" s="32"/>
      <c r="R1271" s="191">
        <v>2000</v>
      </c>
    </row>
    <row r="1272" spans="1:18" ht="15.75" customHeight="1" x14ac:dyDescent="0.3">
      <c r="A1272" s="132" t="s">
        <v>4008</v>
      </c>
      <c r="B1272" s="3" t="s">
        <v>4008</v>
      </c>
      <c r="C1272" s="11" t="s">
        <v>4520</v>
      </c>
      <c r="D1272" t="s">
        <v>4496</v>
      </c>
      <c r="E1272" s="37"/>
      <c r="F1272" s="38"/>
      <c r="G1272" s="38"/>
      <c r="H1272" s="3" t="s">
        <v>4009</v>
      </c>
      <c r="I1272"/>
      <c r="J1272" s="166">
        <v>1713</v>
      </c>
      <c r="K1272" s="38" t="s">
        <v>104</v>
      </c>
      <c r="L1272" s="11" t="s">
        <v>105</v>
      </c>
      <c r="M1272" s="13">
        <v>45610</v>
      </c>
      <c r="N1272" s="86">
        <v>1799</v>
      </c>
      <c r="O1272" s="52" t="s">
        <v>20</v>
      </c>
      <c r="P1272" s="1"/>
      <c r="Q1272" s="32" t="s">
        <v>4712</v>
      </c>
      <c r="R1272" s="191">
        <v>1799</v>
      </c>
    </row>
    <row r="1273" spans="1:18" ht="15.75" customHeight="1" x14ac:dyDescent="0.3">
      <c r="A1273" s="132" t="s">
        <v>4010</v>
      </c>
      <c r="B1273" s="3" t="s">
        <v>4010</v>
      </c>
      <c r="C1273" s="11" t="s">
        <v>4520</v>
      </c>
      <c r="D1273" t="s">
        <v>4492</v>
      </c>
      <c r="E1273" s="37"/>
      <c r="F1273" s="38"/>
      <c r="G1273" s="38"/>
      <c r="H1273" s="3" t="s">
        <v>4009</v>
      </c>
      <c r="I1273"/>
      <c r="J1273" s="182">
        <v>1704</v>
      </c>
      <c r="K1273" s="38" t="s">
        <v>104</v>
      </c>
      <c r="L1273" s="11" t="s">
        <v>105</v>
      </c>
      <c r="M1273" s="42">
        <v>45609</v>
      </c>
      <c r="N1273" s="86">
        <v>1998</v>
      </c>
      <c r="O1273" s="52" t="s">
        <v>20</v>
      </c>
      <c r="P1273" s="1"/>
      <c r="Q1273" s="32"/>
      <c r="R1273" s="191">
        <v>1998</v>
      </c>
    </row>
    <row r="1274" spans="1:18" ht="15.75" customHeight="1" x14ac:dyDescent="0.3">
      <c r="A1274" s="142" t="s">
        <v>4011</v>
      </c>
      <c r="B1274" s="11" t="s">
        <v>4011</v>
      </c>
      <c r="C1274" s="11" t="s">
        <v>4520</v>
      </c>
      <c r="D1274" t="s">
        <v>4492</v>
      </c>
      <c r="E1274" s="37"/>
      <c r="F1274" s="38"/>
      <c r="G1274" s="38"/>
      <c r="H1274" s="3" t="s">
        <v>4009</v>
      </c>
      <c r="I1274"/>
      <c r="J1274" s="166">
        <v>1704</v>
      </c>
      <c r="K1274" s="38" t="s">
        <v>104</v>
      </c>
      <c r="L1274" s="11" t="s">
        <v>105</v>
      </c>
      <c r="M1274" s="42">
        <v>45609</v>
      </c>
      <c r="N1274" s="86">
        <v>1998</v>
      </c>
      <c r="O1274" s="52" t="s">
        <v>20</v>
      </c>
      <c r="P1274" s="1"/>
      <c r="Q1274" s="32"/>
      <c r="R1274" s="191">
        <v>1998</v>
      </c>
    </row>
    <row r="1275" spans="1:18" ht="15.75" customHeight="1" x14ac:dyDescent="0.3">
      <c r="A1275" s="11" t="s">
        <v>4012</v>
      </c>
      <c r="B1275" s="11" t="s">
        <v>4012</v>
      </c>
      <c r="C1275" s="11" t="s">
        <v>4520</v>
      </c>
      <c r="D1275" t="s">
        <v>4496</v>
      </c>
      <c r="E1275" s="37"/>
      <c r="F1275" s="38"/>
      <c r="G1275" s="38"/>
      <c r="H1275" s="3" t="s">
        <v>4007</v>
      </c>
      <c r="I1275"/>
      <c r="J1275" s="182">
        <v>1753</v>
      </c>
      <c r="K1275" s="38" t="s">
        <v>104</v>
      </c>
      <c r="L1275" s="39" t="s">
        <v>105</v>
      </c>
      <c r="M1275" s="42">
        <v>45623</v>
      </c>
      <c r="N1275" s="99">
        <v>1997.6</v>
      </c>
      <c r="O1275" s="52" t="s">
        <v>20</v>
      </c>
      <c r="P1275" s="1"/>
      <c r="Q1275" s="32"/>
      <c r="R1275" s="203" t="s">
        <v>5008</v>
      </c>
    </row>
    <row r="1276" spans="1:18" ht="15.75" customHeight="1" x14ac:dyDescent="0.3">
      <c r="A1276" s="11" t="s">
        <v>4013</v>
      </c>
      <c r="B1276" s="11" t="s">
        <v>4013</v>
      </c>
      <c r="C1276" s="11" t="s">
        <v>4520</v>
      </c>
      <c r="D1276" t="s">
        <v>4496</v>
      </c>
      <c r="E1276" s="4"/>
      <c r="F1276" s="36"/>
      <c r="G1276" s="36"/>
      <c r="H1276" s="3" t="s">
        <v>4014</v>
      </c>
      <c r="I1276"/>
      <c r="J1276" s="182">
        <v>64228</v>
      </c>
      <c r="K1276" s="38" t="s">
        <v>1148</v>
      </c>
      <c r="L1276" s="39" t="s">
        <v>588</v>
      </c>
      <c r="M1276" s="42">
        <v>45642</v>
      </c>
      <c r="N1276" s="99">
        <v>13557.5</v>
      </c>
      <c r="O1276" s="52" t="s">
        <v>20</v>
      </c>
      <c r="P1276" s="1" t="s">
        <v>106</v>
      </c>
      <c r="Q1276" s="32" t="s">
        <v>4713</v>
      </c>
      <c r="R1276" s="203" t="s">
        <v>5009</v>
      </c>
    </row>
    <row r="1277" spans="1:18" ht="15.75" customHeight="1" x14ac:dyDescent="0.3">
      <c r="A1277" s="142" t="s">
        <v>4015</v>
      </c>
      <c r="B1277" s="11" t="s">
        <v>4015</v>
      </c>
      <c r="C1277" s="11" t="s">
        <v>4490</v>
      </c>
      <c r="D1277" t="s">
        <v>4495</v>
      </c>
      <c r="E1277" t="s">
        <v>4658</v>
      </c>
      <c r="F1277" t="s">
        <v>4658</v>
      </c>
      <c r="G1277"/>
      <c r="H1277" s="3" t="s">
        <v>3471</v>
      </c>
      <c r="I1277" t="s">
        <v>4582</v>
      </c>
      <c r="J1277" s="181"/>
      <c r="K1277" s="38"/>
      <c r="L1277" s="39"/>
      <c r="M1277" s="42"/>
      <c r="N1277" s="99">
        <v>47239.49</v>
      </c>
      <c r="O1277" s="52"/>
      <c r="P1277" s="1"/>
      <c r="Q1277" s="32"/>
      <c r="R1277" s="203" t="s">
        <v>5010</v>
      </c>
    </row>
    <row r="1278" spans="1:18" ht="15.75" customHeight="1" x14ac:dyDescent="0.3">
      <c r="A1278" s="142" t="s">
        <v>4016</v>
      </c>
      <c r="B1278" s="11" t="s">
        <v>4016</v>
      </c>
      <c r="C1278" s="11" t="s">
        <v>4519</v>
      </c>
      <c r="D1278" t="s">
        <v>4494</v>
      </c>
      <c r="E1278" s="4"/>
      <c r="F1278" s="36"/>
      <c r="G1278" s="36"/>
      <c r="H1278" s="3" t="s">
        <v>4017</v>
      </c>
      <c r="I1278"/>
      <c r="J1278" s="166">
        <v>276788</v>
      </c>
      <c r="K1278" s="3" t="s">
        <v>1089</v>
      </c>
      <c r="L1278" s="11" t="s">
        <v>1090</v>
      </c>
      <c r="M1278" s="29">
        <v>45654</v>
      </c>
      <c r="N1278" s="99">
        <v>2679</v>
      </c>
      <c r="O1278" s="52" t="s">
        <v>20</v>
      </c>
      <c r="P1278" s="1" t="s">
        <v>44</v>
      </c>
      <c r="Q1278" s="32"/>
      <c r="R1278" s="203">
        <v>2679</v>
      </c>
    </row>
    <row r="1279" spans="1:18" ht="15.75" customHeight="1" x14ac:dyDescent="0.3">
      <c r="A1279" s="142" t="s">
        <v>4018</v>
      </c>
      <c r="B1279" s="11" t="s">
        <v>4018</v>
      </c>
      <c r="C1279" s="11" t="s">
        <v>4519</v>
      </c>
      <c r="D1279" t="s">
        <v>4494</v>
      </c>
      <c r="E1279" s="4"/>
      <c r="F1279" s="36"/>
      <c r="G1279" s="36"/>
      <c r="H1279" s="3" t="s">
        <v>4017</v>
      </c>
      <c r="I1279"/>
      <c r="J1279" s="166">
        <v>276788</v>
      </c>
      <c r="K1279" s="3" t="s">
        <v>1089</v>
      </c>
      <c r="L1279" s="11" t="s">
        <v>1090</v>
      </c>
      <c r="M1279" s="29">
        <v>45654</v>
      </c>
      <c r="N1279" s="99">
        <v>2679</v>
      </c>
      <c r="O1279" s="52" t="s">
        <v>20</v>
      </c>
      <c r="P1279" s="1" t="s">
        <v>44</v>
      </c>
      <c r="Q1279" s="32"/>
      <c r="R1279" s="203">
        <v>2679</v>
      </c>
    </row>
    <row r="1280" spans="1:18" ht="15.75" customHeight="1" x14ac:dyDescent="0.3">
      <c r="A1280" s="142" t="s">
        <v>4019</v>
      </c>
      <c r="B1280" s="11" t="s">
        <v>4019</v>
      </c>
      <c r="C1280" s="11" t="s">
        <v>4519</v>
      </c>
      <c r="D1280" t="s">
        <v>4494</v>
      </c>
      <c r="E1280" s="4"/>
      <c r="F1280" s="36"/>
      <c r="G1280" s="36"/>
      <c r="H1280" s="3" t="s">
        <v>4017</v>
      </c>
      <c r="I1280"/>
      <c r="J1280" s="166">
        <v>276788</v>
      </c>
      <c r="K1280" s="3" t="s">
        <v>1089</v>
      </c>
      <c r="L1280" s="11" t="s">
        <v>1090</v>
      </c>
      <c r="M1280" s="29">
        <v>45654</v>
      </c>
      <c r="N1280" s="99">
        <v>2679</v>
      </c>
      <c r="O1280" s="52" t="s">
        <v>20</v>
      </c>
      <c r="P1280" s="1" t="s">
        <v>44</v>
      </c>
      <c r="Q1280" s="32"/>
      <c r="R1280" s="203">
        <v>2679</v>
      </c>
    </row>
    <row r="1281" spans="1:18" ht="15.75" customHeight="1" x14ac:dyDescent="0.3">
      <c r="A1281" s="142" t="s">
        <v>4020</v>
      </c>
      <c r="B1281" s="11" t="s">
        <v>4020</v>
      </c>
      <c r="C1281" s="11" t="s">
        <v>4520</v>
      </c>
      <c r="D1281" t="s">
        <v>4492</v>
      </c>
      <c r="E1281" s="4"/>
      <c r="F1281" s="36"/>
      <c r="G1281" s="36"/>
      <c r="H1281" s="3" t="s">
        <v>3996</v>
      </c>
      <c r="I1281"/>
      <c r="J1281" s="166">
        <v>27389</v>
      </c>
      <c r="K1281" s="3" t="s">
        <v>2034</v>
      </c>
      <c r="L1281" s="11" t="s">
        <v>197</v>
      </c>
      <c r="M1281" s="29">
        <v>45635</v>
      </c>
      <c r="N1281" s="86">
        <v>3790</v>
      </c>
      <c r="O1281" s="52" t="s">
        <v>20</v>
      </c>
      <c r="P1281" s="1" t="s">
        <v>91</v>
      </c>
      <c r="Q1281" s="32"/>
      <c r="R1281" s="191">
        <v>3790</v>
      </c>
    </row>
    <row r="1282" spans="1:18" ht="15.75" customHeight="1" x14ac:dyDescent="0.3">
      <c r="A1282" s="142" t="s">
        <v>4021</v>
      </c>
      <c r="B1282" s="11" t="s">
        <v>4021</v>
      </c>
      <c r="C1282" s="11" t="s">
        <v>4487</v>
      </c>
      <c r="D1282" t="s">
        <v>4496</v>
      </c>
      <c r="E1282"/>
      <c r="F1282" t="s">
        <v>4022</v>
      </c>
      <c r="G1282" t="s">
        <v>4618</v>
      </c>
      <c r="H1282" s="3" t="s">
        <v>1177</v>
      </c>
      <c r="I1282"/>
      <c r="J1282" s="166">
        <v>132984</v>
      </c>
      <c r="K1282" s="11" t="s">
        <v>2821</v>
      </c>
      <c r="L1282" s="11" t="s">
        <v>1244</v>
      </c>
      <c r="M1282" s="13">
        <v>45603</v>
      </c>
      <c r="N1282" s="86">
        <v>17600</v>
      </c>
      <c r="O1282" s="28" t="s">
        <v>20</v>
      </c>
      <c r="P1282" s="1" t="s">
        <v>91</v>
      </c>
      <c r="Q1282" s="32"/>
      <c r="R1282" s="191">
        <v>17600</v>
      </c>
    </row>
    <row r="1283" spans="1:18" ht="15.75" customHeight="1" x14ac:dyDescent="0.3">
      <c r="A1283" s="142" t="s">
        <v>4023</v>
      </c>
      <c r="B1283" s="11" t="s">
        <v>4023</v>
      </c>
      <c r="C1283" s="11" t="s">
        <v>4489</v>
      </c>
      <c r="D1283" t="s">
        <v>4495</v>
      </c>
      <c r="E1283"/>
      <c r="F1283"/>
      <c r="G1283" t="s">
        <v>4642</v>
      </c>
      <c r="H1283" s="3" t="s">
        <v>4024</v>
      </c>
      <c r="I1283" t="s">
        <v>4583</v>
      </c>
      <c r="J1283" s="166">
        <v>98235</v>
      </c>
      <c r="K1283" s="11" t="s">
        <v>4025</v>
      </c>
      <c r="L1283" s="11" t="s">
        <v>4026</v>
      </c>
      <c r="M1283" s="13">
        <v>45645</v>
      </c>
      <c r="N1283" s="86">
        <v>24666</v>
      </c>
      <c r="O1283" s="28" t="s">
        <v>20</v>
      </c>
      <c r="P1283" s="1" t="s">
        <v>66</v>
      </c>
      <c r="Q1283" s="32"/>
      <c r="R1283" s="191">
        <v>24666</v>
      </c>
    </row>
    <row r="1284" spans="1:18" ht="15.75" customHeight="1" x14ac:dyDescent="0.3">
      <c r="A1284" s="142" t="s">
        <v>4027</v>
      </c>
      <c r="B1284" s="11" t="s">
        <v>4027</v>
      </c>
      <c r="C1284" s="11" t="s">
        <v>4518</v>
      </c>
      <c r="D1284" t="s">
        <v>4494</v>
      </c>
      <c r="E1284" s="12"/>
      <c r="F1284" s="43"/>
      <c r="G1284" s="43"/>
      <c r="H1284" s="3" t="s">
        <v>3981</v>
      </c>
      <c r="I1284"/>
      <c r="J1284" s="166">
        <v>12288</v>
      </c>
      <c r="K1284" s="3" t="s">
        <v>4028</v>
      </c>
      <c r="L1284" s="11" t="s">
        <v>4029</v>
      </c>
      <c r="M1284" s="29">
        <v>45645</v>
      </c>
      <c r="N1284" s="86">
        <v>1730</v>
      </c>
      <c r="O1284" s="28" t="s">
        <v>20</v>
      </c>
      <c r="P1284" s="1"/>
      <c r="Q1284" s="32"/>
      <c r="R1284" s="191">
        <v>1730</v>
      </c>
    </row>
    <row r="1285" spans="1:18" ht="15.75" customHeight="1" x14ac:dyDescent="0.3">
      <c r="A1285" s="142" t="s">
        <v>4030</v>
      </c>
      <c r="B1285" s="11" t="s">
        <v>4030</v>
      </c>
      <c r="C1285" s="11" t="s">
        <v>4519</v>
      </c>
      <c r="D1285" t="s">
        <v>4494</v>
      </c>
      <c r="E1285" s="12"/>
      <c r="F1285" s="43"/>
      <c r="G1285" s="43"/>
      <c r="H1285" s="3" t="s">
        <v>4031</v>
      </c>
      <c r="I1285"/>
      <c r="J1285" s="166">
        <v>276537</v>
      </c>
      <c r="K1285" s="3" t="s">
        <v>1089</v>
      </c>
      <c r="L1285" s="11" t="s">
        <v>1090</v>
      </c>
      <c r="M1285" s="29">
        <v>45649</v>
      </c>
      <c r="N1285" s="86">
        <v>2899</v>
      </c>
      <c r="O1285" s="28" t="s">
        <v>20</v>
      </c>
      <c r="P1285" s="1" t="s">
        <v>44</v>
      </c>
      <c r="Q1285" s="32"/>
      <c r="R1285" s="191">
        <v>2899</v>
      </c>
    </row>
    <row r="1286" spans="1:18" ht="15.75" customHeight="1" x14ac:dyDescent="0.3">
      <c r="A1286" s="142" t="s">
        <v>4032</v>
      </c>
      <c r="B1286" s="11" t="s">
        <v>4032</v>
      </c>
      <c r="C1286" s="11" t="s">
        <v>4490</v>
      </c>
      <c r="D1286" t="s">
        <v>4495</v>
      </c>
      <c r="E1286"/>
      <c r="F1286" t="s">
        <v>4033</v>
      </c>
      <c r="G1286" t="s">
        <v>4629</v>
      </c>
      <c r="H1286" s="3" t="s">
        <v>3278</v>
      </c>
      <c r="I1286" t="s">
        <v>4584</v>
      </c>
      <c r="J1286" s="166">
        <v>163391</v>
      </c>
      <c r="K1286" s="11" t="s">
        <v>176</v>
      </c>
      <c r="L1286" s="11" t="s">
        <v>1015</v>
      </c>
      <c r="M1286" s="13">
        <v>45609</v>
      </c>
      <c r="N1286" s="86">
        <v>2400000</v>
      </c>
      <c r="O1286" s="28" t="s">
        <v>20</v>
      </c>
      <c r="P1286" s="1" t="s">
        <v>78</v>
      </c>
      <c r="Q1286" s="32"/>
      <c r="R1286" s="191">
        <v>2400000</v>
      </c>
    </row>
    <row r="1287" spans="1:18" ht="15.75" customHeight="1" x14ac:dyDescent="0.3">
      <c r="A1287" s="142" t="s">
        <v>4034</v>
      </c>
      <c r="B1287" s="11" t="s">
        <v>4034</v>
      </c>
      <c r="C1287" s="11" t="s">
        <v>4490</v>
      </c>
      <c r="D1287" t="s">
        <v>4492</v>
      </c>
      <c r="E1287"/>
      <c r="F1287" t="s">
        <v>4035</v>
      </c>
      <c r="G1287" t="s">
        <v>4629</v>
      </c>
      <c r="H1287" s="3" t="s">
        <v>3278</v>
      </c>
      <c r="I1287" t="s">
        <v>4585</v>
      </c>
      <c r="J1287" s="166">
        <v>163398</v>
      </c>
      <c r="K1287" s="11" t="s">
        <v>176</v>
      </c>
      <c r="L1287" s="11" t="s">
        <v>1015</v>
      </c>
      <c r="M1287" s="13">
        <v>45609</v>
      </c>
      <c r="N1287" s="86">
        <v>2400000</v>
      </c>
      <c r="O1287" s="28" t="s">
        <v>20</v>
      </c>
      <c r="P1287" s="1" t="s">
        <v>91</v>
      </c>
      <c r="Q1287" s="32"/>
      <c r="R1287" s="191">
        <v>2400000</v>
      </c>
    </row>
    <row r="1288" spans="1:18" ht="15.75" customHeight="1" x14ac:dyDescent="0.3">
      <c r="A1288" s="11" t="s">
        <v>4036</v>
      </c>
      <c r="B1288" s="11" t="s">
        <v>4036</v>
      </c>
      <c r="C1288" s="11" t="s">
        <v>4520</v>
      </c>
      <c r="D1288" t="s">
        <v>4496</v>
      </c>
      <c r="E1288" s="12"/>
      <c r="F1288" s="43"/>
      <c r="G1288" s="43"/>
      <c r="H1288" s="3" t="s">
        <v>4037</v>
      </c>
      <c r="I1288"/>
      <c r="J1288" s="166">
        <v>1728</v>
      </c>
      <c r="K1288" s="3" t="s">
        <v>104</v>
      </c>
      <c r="L1288" s="11" t="s">
        <v>105</v>
      </c>
      <c r="M1288" s="29">
        <v>45618</v>
      </c>
      <c r="N1288" s="86">
        <v>1195.4000000000001</v>
      </c>
      <c r="O1288" s="28" t="s">
        <v>20</v>
      </c>
      <c r="P1288" s="1" t="s">
        <v>106</v>
      </c>
      <c r="Q1288" s="32" t="s">
        <v>4714</v>
      </c>
      <c r="R1288" s="191" t="s">
        <v>5011</v>
      </c>
    </row>
    <row r="1289" spans="1:18" ht="15.75" customHeight="1" x14ac:dyDescent="0.3">
      <c r="A1289" s="142" t="s">
        <v>4038</v>
      </c>
      <c r="B1289" s="11" t="s">
        <v>4038</v>
      </c>
      <c r="C1289" s="11" t="s">
        <v>4487</v>
      </c>
      <c r="D1289" t="s">
        <v>4492</v>
      </c>
      <c r="E1289" t="s">
        <v>4039</v>
      </c>
      <c r="F1289" t="s">
        <v>4040</v>
      </c>
      <c r="G1289" t="s">
        <v>4623</v>
      </c>
      <c r="H1289" s="3" t="s">
        <v>4041</v>
      </c>
      <c r="I1289" t="s">
        <v>4586</v>
      </c>
      <c r="J1289" s="166">
        <v>1628</v>
      </c>
      <c r="K1289" s="3" t="s">
        <v>203</v>
      </c>
      <c r="L1289" s="11" t="s">
        <v>3542</v>
      </c>
      <c r="M1289" s="29">
        <v>45716</v>
      </c>
      <c r="N1289" s="86">
        <v>650000</v>
      </c>
      <c r="O1289" s="28" t="s">
        <v>20</v>
      </c>
      <c r="P1289" s="1" t="s">
        <v>91</v>
      </c>
      <c r="Q1289" s="32"/>
      <c r="R1289" s="191">
        <v>650000</v>
      </c>
    </row>
    <row r="1290" spans="1:18" ht="15.75" customHeight="1" x14ac:dyDescent="0.3">
      <c r="A1290" s="11" t="s">
        <v>4042</v>
      </c>
      <c r="B1290" s="11" t="s">
        <v>4042</v>
      </c>
      <c r="C1290" s="11" t="s">
        <v>4489</v>
      </c>
      <c r="D1290" t="s">
        <v>4499</v>
      </c>
      <c r="E1290" s="12"/>
      <c r="F1290" s="43"/>
      <c r="G1290" s="43"/>
      <c r="H1290" s="3" t="s">
        <v>4043</v>
      </c>
      <c r="I1290"/>
      <c r="J1290" s="166">
        <v>565191</v>
      </c>
      <c r="K1290" s="3" t="s">
        <v>813</v>
      </c>
      <c r="L1290" s="11" t="s">
        <v>4044</v>
      </c>
      <c r="M1290" s="29">
        <v>45663</v>
      </c>
      <c r="N1290" s="86">
        <v>3945625</v>
      </c>
      <c r="O1290" s="28"/>
      <c r="P1290" s="1"/>
      <c r="Q1290" s="32"/>
      <c r="R1290" s="191">
        <v>3945625</v>
      </c>
    </row>
    <row r="1291" spans="1:18" ht="15.75" customHeight="1" x14ac:dyDescent="0.3">
      <c r="A1291" s="142" t="s">
        <v>4045</v>
      </c>
      <c r="B1291" s="11" t="s">
        <v>4045</v>
      </c>
      <c r="C1291" s="11" t="s">
        <v>4490</v>
      </c>
      <c r="D1291" t="s">
        <v>4492</v>
      </c>
      <c r="E1291"/>
      <c r="F1291" t="s">
        <v>4046</v>
      </c>
      <c r="G1291" t="s">
        <v>4629</v>
      </c>
      <c r="H1291" s="3" t="s">
        <v>4047</v>
      </c>
      <c r="I1291" t="s">
        <v>4587</v>
      </c>
      <c r="J1291" s="166">
        <v>163399</v>
      </c>
      <c r="K1291" s="11" t="s">
        <v>176</v>
      </c>
      <c r="L1291" s="11" t="s">
        <v>1015</v>
      </c>
      <c r="M1291" s="13">
        <v>45609</v>
      </c>
      <c r="N1291" s="86">
        <v>500000</v>
      </c>
      <c r="O1291" s="28" t="s">
        <v>20</v>
      </c>
      <c r="P1291" s="1" t="s">
        <v>91</v>
      </c>
      <c r="Q1291" s="32"/>
      <c r="R1291" s="191">
        <v>500000</v>
      </c>
    </row>
    <row r="1292" spans="1:18" ht="15.75" customHeight="1" x14ac:dyDescent="0.3">
      <c r="A1292" s="142" t="s">
        <v>4048</v>
      </c>
      <c r="B1292" s="11" t="s">
        <v>4048</v>
      </c>
      <c r="C1292" s="11" t="s">
        <v>4520</v>
      </c>
      <c r="D1292" t="s">
        <v>4492</v>
      </c>
      <c r="E1292" s="12"/>
      <c r="F1292" s="43"/>
      <c r="G1292" s="43"/>
      <c r="H1292" s="3" t="s">
        <v>4049</v>
      </c>
      <c r="I1292"/>
      <c r="J1292" s="166">
        <v>64198</v>
      </c>
      <c r="K1292" s="3" t="s">
        <v>1148</v>
      </c>
      <c r="L1292" s="11" t="s">
        <v>588</v>
      </c>
      <c r="M1292" s="29">
        <v>45638</v>
      </c>
      <c r="N1292" s="86">
        <v>1720</v>
      </c>
      <c r="O1292" s="28"/>
      <c r="P1292" s="1" t="s">
        <v>91</v>
      </c>
      <c r="Q1292" s="32"/>
      <c r="R1292" s="191">
        <v>1720</v>
      </c>
    </row>
    <row r="1293" spans="1:18" ht="15.75" customHeight="1" x14ac:dyDescent="0.3">
      <c r="A1293" s="142" t="s">
        <v>4050</v>
      </c>
      <c r="B1293" s="11" t="s">
        <v>4050</v>
      </c>
      <c r="C1293" s="11" t="s">
        <v>4490</v>
      </c>
      <c r="D1293" t="s">
        <v>4500</v>
      </c>
      <c r="E1293"/>
      <c r="F1293" t="s">
        <v>4051</v>
      </c>
      <c r="G1293" t="s">
        <v>4629</v>
      </c>
      <c r="H1293" s="3" t="s">
        <v>4047</v>
      </c>
      <c r="I1293" t="s">
        <v>4588</v>
      </c>
      <c r="J1293" s="166">
        <v>163400</v>
      </c>
      <c r="K1293" s="11" t="s">
        <v>176</v>
      </c>
      <c r="L1293" s="11" t="s">
        <v>1015</v>
      </c>
      <c r="M1293" s="13">
        <v>45609</v>
      </c>
      <c r="N1293" s="86">
        <v>500000</v>
      </c>
      <c r="O1293" s="28" t="s">
        <v>20</v>
      </c>
      <c r="P1293" s="1" t="s">
        <v>66</v>
      </c>
      <c r="Q1293" s="32"/>
      <c r="R1293" s="191">
        <v>500000</v>
      </c>
    </row>
    <row r="1294" spans="1:18" ht="15.75" customHeight="1" x14ac:dyDescent="0.3">
      <c r="A1294" s="132" t="s">
        <v>4052</v>
      </c>
      <c r="B1294" s="3" t="s">
        <v>4052</v>
      </c>
      <c r="C1294" s="11" t="s">
        <v>4490</v>
      </c>
      <c r="D1294" t="s">
        <v>4500</v>
      </c>
      <c r="E1294"/>
      <c r="F1294" t="s">
        <v>4053</v>
      </c>
      <c r="G1294" t="s">
        <v>4629</v>
      </c>
      <c r="H1294" s="3" t="s">
        <v>2197</v>
      </c>
      <c r="I1294" t="s">
        <v>4589</v>
      </c>
      <c r="J1294" s="166">
        <v>163899</v>
      </c>
      <c r="K1294" s="11" t="s">
        <v>176</v>
      </c>
      <c r="L1294" s="11" t="s">
        <v>1015</v>
      </c>
      <c r="M1294" s="13">
        <v>45626</v>
      </c>
      <c r="N1294" s="86">
        <v>310000</v>
      </c>
      <c r="O1294" s="28" t="s">
        <v>20</v>
      </c>
      <c r="P1294" s="1" t="s">
        <v>78</v>
      </c>
      <c r="Q1294" s="32"/>
      <c r="R1294" s="191">
        <v>310000</v>
      </c>
    </row>
    <row r="1295" spans="1:18" ht="15.75" customHeight="1" x14ac:dyDescent="0.3">
      <c r="A1295" s="132" t="s">
        <v>4054</v>
      </c>
      <c r="B1295" s="3" t="s">
        <v>4054</v>
      </c>
      <c r="C1295" s="11" t="s">
        <v>4490</v>
      </c>
      <c r="D1295" t="s">
        <v>4500</v>
      </c>
      <c r="E1295"/>
      <c r="F1295" t="s">
        <v>4055</v>
      </c>
      <c r="G1295" t="s">
        <v>4629</v>
      </c>
      <c r="H1295" s="3" t="s">
        <v>2197</v>
      </c>
      <c r="I1295" t="s">
        <v>4590</v>
      </c>
      <c r="J1295" s="166">
        <v>17791</v>
      </c>
      <c r="K1295" s="11" t="s">
        <v>176</v>
      </c>
      <c r="L1295" s="11" t="s">
        <v>1015</v>
      </c>
      <c r="M1295" s="13">
        <v>45626</v>
      </c>
      <c r="N1295" s="86">
        <v>310000</v>
      </c>
      <c r="O1295" s="28" t="s">
        <v>20</v>
      </c>
      <c r="P1295" s="1" t="s">
        <v>78</v>
      </c>
      <c r="Q1295" s="32"/>
      <c r="R1295" s="191">
        <v>310000</v>
      </c>
    </row>
    <row r="1296" spans="1:18" ht="15.75" customHeight="1" x14ac:dyDescent="0.3">
      <c r="A1296" s="142" t="s">
        <v>4056</v>
      </c>
      <c r="B1296" s="11" t="s">
        <v>4056</v>
      </c>
      <c r="C1296" s="11" t="s">
        <v>4490</v>
      </c>
      <c r="D1296" t="s">
        <v>4500</v>
      </c>
      <c r="E1296"/>
      <c r="F1296" t="s">
        <v>4057</v>
      </c>
      <c r="G1296" t="s">
        <v>4629</v>
      </c>
      <c r="H1296" s="3" t="s">
        <v>2197</v>
      </c>
      <c r="I1296" t="s">
        <v>4591</v>
      </c>
      <c r="J1296" s="166">
        <v>163900</v>
      </c>
      <c r="K1296" s="11" t="s">
        <v>176</v>
      </c>
      <c r="L1296" s="11" t="s">
        <v>1015</v>
      </c>
      <c r="M1296" s="13">
        <v>45626</v>
      </c>
      <c r="N1296" s="86">
        <v>310000</v>
      </c>
      <c r="O1296" s="28" t="s">
        <v>20</v>
      </c>
      <c r="P1296" s="1" t="s">
        <v>78</v>
      </c>
      <c r="Q1296" s="32"/>
      <c r="R1296" s="191">
        <v>310000</v>
      </c>
    </row>
    <row r="1297" spans="1:18" ht="15.75" customHeight="1" x14ac:dyDescent="0.3">
      <c r="A1297" s="142" t="s">
        <v>4058</v>
      </c>
      <c r="B1297" s="11" t="s">
        <v>4058</v>
      </c>
      <c r="C1297" s="3" t="s">
        <v>4518</v>
      </c>
      <c r="D1297" t="s">
        <v>4492</v>
      </c>
      <c r="E1297"/>
      <c r="F1297"/>
      <c r="G1297"/>
      <c r="H1297" s="3" t="s">
        <v>489</v>
      </c>
      <c r="I1297"/>
      <c r="J1297" s="166">
        <v>3111</v>
      </c>
      <c r="K1297" s="3" t="s">
        <v>4059</v>
      </c>
      <c r="L1297" s="11" t="s">
        <v>4060</v>
      </c>
      <c r="M1297" s="29">
        <v>45652</v>
      </c>
      <c r="N1297" s="86">
        <v>1999</v>
      </c>
      <c r="O1297" s="28"/>
      <c r="P1297" s="1"/>
      <c r="Q1297" s="32"/>
      <c r="R1297" s="191">
        <v>1999</v>
      </c>
    </row>
    <row r="1298" spans="1:18" ht="15.75" customHeight="1" x14ac:dyDescent="0.3">
      <c r="A1298" s="11" t="s">
        <v>4061</v>
      </c>
      <c r="B1298" s="11" t="s">
        <v>4061</v>
      </c>
      <c r="C1298" s="3" t="s">
        <v>4520</v>
      </c>
      <c r="D1298" t="s">
        <v>4500</v>
      </c>
      <c r="E1298" s="12"/>
      <c r="F1298" s="43"/>
      <c r="G1298" s="43"/>
      <c r="H1298" s="3" t="s">
        <v>4062</v>
      </c>
      <c r="I1298"/>
      <c r="J1298" s="166">
        <v>64369</v>
      </c>
      <c r="K1298" s="3" t="s">
        <v>1148</v>
      </c>
      <c r="L1298" s="11" t="s">
        <v>588</v>
      </c>
      <c r="M1298" s="29">
        <v>45652</v>
      </c>
      <c r="N1298" s="86">
        <v>3800</v>
      </c>
      <c r="O1298" s="28" t="s">
        <v>20</v>
      </c>
      <c r="P1298" s="1" t="s">
        <v>66</v>
      </c>
      <c r="Q1298" s="32"/>
      <c r="R1298" s="191">
        <v>3800</v>
      </c>
    </row>
    <row r="1299" spans="1:18" ht="15.75" customHeight="1" x14ac:dyDescent="0.3">
      <c r="A1299" s="11" t="s">
        <v>4063</v>
      </c>
      <c r="B1299" s="11" t="s">
        <v>4063</v>
      </c>
      <c r="C1299" s="11" t="s">
        <v>4489</v>
      </c>
      <c r="D1299" t="s">
        <v>4492</v>
      </c>
      <c r="E1299" s="12"/>
      <c r="F1299" s="43"/>
      <c r="G1299" s="43"/>
      <c r="H1299" s="3" t="s">
        <v>4064</v>
      </c>
      <c r="I1299"/>
      <c r="J1299" s="166">
        <v>2221</v>
      </c>
      <c r="K1299" s="3" t="s">
        <v>3531</v>
      </c>
      <c r="L1299" s="11" t="s">
        <v>2125</v>
      </c>
      <c r="M1299" s="29">
        <v>45642</v>
      </c>
      <c r="N1299" s="86">
        <v>930000</v>
      </c>
      <c r="O1299" s="28"/>
      <c r="P1299" s="1"/>
      <c r="Q1299" s="32"/>
      <c r="R1299" s="191">
        <v>930000</v>
      </c>
    </row>
    <row r="1300" spans="1:18" ht="15.75" customHeight="1" x14ac:dyDescent="0.3">
      <c r="A1300" s="142" t="s">
        <v>4065</v>
      </c>
      <c r="B1300" s="11" t="s">
        <v>4065</v>
      </c>
      <c r="C1300" s="3" t="s">
        <v>4520</v>
      </c>
      <c r="D1300" t="s">
        <v>4499</v>
      </c>
      <c r="E1300" s="12"/>
      <c r="F1300" s="43"/>
      <c r="G1300" s="43"/>
      <c r="H1300" s="3" t="s">
        <v>3996</v>
      </c>
      <c r="I1300"/>
      <c r="J1300" s="166">
        <v>27317</v>
      </c>
      <c r="K1300" s="11" t="s">
        <v>2034</v>
      </c>
      <c r="L1300" s="11" t="s">
        <v>197</v>
      </c>
      <c r="M1300" s="13">
        <v>45631</v>
      </c>
      <c r="N1300" s="86">
        <v>4467</v>
      </c>
      <c r="O1300" s="28"/>
      <c r="P1300" s="1"/>
      <c r="Q1300" s="32"/>
      <c r="R1300" s="191">
        <v>4467</v>
      </c>
    </row>
    <row r="1301" spans="1:18" ht="15.75" customHeight="1" x14ac:dyDescent="0.3">
      <c r="A1301" s="142" t="s">
        <v>4066</v>
      </c>
      <c r="B1301" s="11" t="s">
        <v>4066</v>
      </c>
      <c r="C1301" s="3" t="s">
        <v>4520</v>
      </c>
      <c r="D1301" t="s">
        <v>4496</v>
      </c>
      <c r="E1301" s="12"/>
      <c r="F1301" s="43"/>
      <c r="G1301" s="43"/>
      <c r="H1301" s="3" t="s">
        <v>4067</v>
      </c>
      <c r="I1301"/>
      <c r="J1301" s="166">
        <v>64234</v>
      </c>
      <c r="K1301" s="11" t="s">
        <v>1148</v>
      </c>
      <c r="L1301" s="23" t="s">
        <v>588</v>
      </c>
      <c r="M1301" s="13">
        <v>45642</v>
      </c>
      <c r="N1301" s="86">
        <v>1479</v>
      </c>
      <c r="O1301" s="28" t="s">
        <v>20</v>
      </c>
      <c r="P1301" s="1" t="s">
        <v>106</v>
      </c>
      <c r="Q1301" s="32" t="s">
        <v>4713</v>
      </c>
      <c r="R1301" s="191">
        <v>1479</v>
      </c>
    </row>
    <row r="1302" spans="1:18" ht="15.75" customHeight="1" x14ac:dyDescent="0.3">
      <c r="A1302" s="142" t="s">
        <v>4068</v>
      </c>
      <c r="B1302" s="11" t="s">
        <v>4068</v>
      </c>
      <c r="C1302" s="3" t="s">
        <v>4520</v>
      </c>
      <c r="D1302" t="s">
        <v>4496</v>
      </c>
      <c r="E1302" s="12"/>
      <c r="F1302" s="43"/>
      <c r="G1302" s="43"/>
      <c r="H1302" s="3" t="s">
        <v>4067</v>
      </c>
      <c r="I1302"/>
      <c r="J1302" s="166">
        <v>64228</v>
      </c>
      <c r="K1302" s="11" t="s">
        <v>1148</v>
      </c>
      <c r="L1302" s="23" t="s">
        <v>588</v>
      </c>
      <c r="M1302" s="13">
        <v>45642</v>
      </c>
      <c r="N1302" s="86">
        <v>1479</v>
      </c>
      <c r="O1302" s="28" t="s">
        <v>20</v>
      </c>
      <c r="P1302" s="1" t="s">
        <v>106</v>
      </c>
      <c r="Q1302" s="32" t="s">
        <v>4715</v>
      </c>
      <c r="R1302" s="191">
        <v>1479</v>
      </c>
    </row>
    <row r="1303" spans="1:18" ht="15.75" customHeight="1" x14ac:dyDescent="0.3">
      <c r="A1303" s="11" t="s">
        <v>4069</v>
      </c>
      <c r="B1303" s="11" t="s">
        <v>4069</v>
      </c>
      <c r="C1303" s="3" t="s">
        <v>4489</v>
      </c>
      <c r="D1303" t="s">
        <v>4496</v>
      </c>
      <c r="E1303" s="12"/>
      <c r="F1303" s="43"/>
      <c r="G1303" s="43"/>
      <c r="H1303" s="3" t="s">
        <v>4070</v>
      </c>
      <c r="I1303"/>
      <c r="J1303" s="166">
        <v>45265</v>
      </c>
      <c r="K1303" s="3" t="s">
        <v>777</v>
      </c>
      <c r="L1303" s="11" t="s">
        <v>778</v>
      </c>
      <c r="M1303" s="29">
        <v>45628</v>
      </c>
      <c r="N1303" s="86">
        <v>2407.7800000000002</v>
      </c>
      <c r="O1303" s="28"/>
      <c r="P1303" s="1"/>
      <c r="Q1303" s="32"/>
      <c r="R1303" s="191" t="s">
        <v>5012</v>
      </c>
    </row>
    <row r="1304" spans="1:18" ht="15.75" customHeight="1" x14ac:dyDescent="0.3">
      <c r="A1304" s="142" t="s">
        <v>4071</v>
      </c>
      <c r="B1304" s="11" t="s">
        <v>4071</v>
      </c>
      <c r="C1304" s="11" t="s">
        <v>4489</v>
      </c>
      <c r="D1304" t="s">
        <v>4494</v>
      </c>
      <c r="E1304" s="12"/>
      <c r="F1304" s="43"/>
      <c r="G1304" s="43"/>
      <c r="H1304" s="3" t="s">
        <v>4072</v>
      </c>
      <c r="I1304"/>
      <c r="J1304" s="166">
        <v>471</v>
      </c>
      <c r="K1304" s="3" t="s">
        <v>4073</v>
      </c>
      <c r="L1304" s="11" t="s">
        <v>4074</v>
      </c>
      <c r="M1304" s="29">
        <v>45665</v>
      </c>
      <c r="N1304" s="86">
        <v>6545</v>
      </c>
      <c r="O1304" s="28"/>
      <c r="P1304" s="1"/>
      <c r="Q1304" s="32"/>
      <c r="R1304" s="191">
        <v>6545</v>
      </c>
    </row>
    <row r="1305" spans="1:18" ht="15.75" customHeight="1" x14ac:dyDescent="0.3">
      <c r="A1305" s="11" t="s">
        <v>4075</v>
      </c>
      <c r="B1305" s="11" t="s">
        <v>4075</v>
      </c>
      <c r="C1305" s="3" t="s">
        <v>4519</v>
      </c>
      <c r="D1305" t="s">
        <v>4492</v>
      </c>
      <c r="E1305" s="12"/>
      <c r="F1305" s="43"/>
      <c r="G1305" s="43"/>
      <c r="H1305" s="3" t="s">
        <v>4076</v>
      </c>
      <c r="I1305"/>
      <c r="J1305" s="166">
        <v>35792</v>
      </c>
      <c r="K1305" s="3" t="s">
        <v>187</v>
      </c>
      <c r="L1305" s="11" t="s">
        <v>188</v>
      </c>
      <c r="M1305" s="29">
        <v>45685</v>
      </c>
      <c r="N1305" s="86">
        <v>2649</v>
      </c>
      <c r="O1305" s="28"/>
      <c r="P1305" s="1"/>
      <c r="Q1305" s="32"/>
      <c r="R1305" s="191">
        <v>2649</v>
      </c>
    </row>
    <row r="1306" spans="1:18" ht="15.75" customHeight="1" x14ac:dyDescent="0.3">
      <c r="A1306" s="132" t="s">
        <v>4077</v>
      </c>
      <c r="B1306" s="3" t="s">
        <v>4077</v>
      </c>
      <c r="C1306" s="3" t="s">
        <v>4487</v>
      </c>
      <c r="D1306" t="s">
        <v>4495</v>
      </c>
      <c r="E1306" t="s">
        <v>4659</v>
      </c>
      <c r="F1306" t="s">
        <v>4078</v>
      </c>
      <c r="G1306" t="s">
        <v>4626</v>
      </c>
      <c r="H1306" s="3" t="s">
        <v>4079</v>
      </c>
      <c r="I1306" t="s">
        <v>4592</v>
      </c>
      <c r="J1306" s="166">
        <v>27856</v>
      </c>
      <c r="K1306" s="3" t="s">
        <v>4080</v>
      </c>
      <c r="L1306" s="11" t="s">
        <v>4081</v>
      </c>
      <c r="M1306" s="29">
        <v>45894</v>
      </c>
      <c r="N1306" s="86">
        <v>600000</v>
      </c>
      <c r="O1306" s="28"/>
      <c r="P1306" s="1"/>
      <c r="Q1306" s="32"/>
      <c r="R1306" s="191">
        <v>600000</v>
      </c>
    </row>
    <row r="1307" spans="1:18" ht="15.75" customHeight="1" x14ac:dyDescent="0.3">
      <c r="A1307" s="132" t="s">
        <v>4082</v>
      </c>
      <c r="B1307" s="3" t="s">
        <v>4082</v>
      </c>
      <c r="C1307" s="3" t="s">
        <v>4487</v>
      </c>
      <c r="D1307" t="s">
        <v>4495</v>
      </c>
      <c r="E1307" t="s">
        <v>4083</v>
      </c>
      <c r="F1307" t="s">
        <v>4084</v>
      </c>
      <c r="G1307" t="s">
        <v>4626</v>
      </c>
      <c r="H1307" s="3" t="s">
        <v>4079</v>
      </c>
      <c r="I1307" t="s">
        <v>4593</v>
      </c>
      <c r="J1307" s="166">
        <v>27857</v>
      </c>
      <c r="K1307" s="3" t="s">
        <v>4080</v>
      </c>
      <c r="L1307" s="11" t="s">
        <v>4081</v>
      </c>
      <c r="M1307" s="29">
        <v>45894</v>
      </c>
      <c r="N1307" s="86">
        <v>600000</v>
      </c>
      <c r="O1307" s="28"/>
      <c r="P1307" s="1"/>
      <c r="Q1307" s="32"/>
      <c r="R1307" s="191">
        <v>600000</v>
      </c>
    </row>
    <row r="1308" spans="1:18" ht="15.75" customHeight="1" x14ac:dyDescent="0.3">
      <c r="A1308" s="132" t="s">
        <v>4085</v>
      </c>
      <c r="B1308" s="3" t="s">
        <v>4085</v>
      </c>
      <c r="C1308" s="3" t="s">
        <v>4520</v>
      </c>
      <c r="D1308" t="s">
        <v>4496</v>
      </c>
      <c r="E1308" s="12"/>
      <c r="F1308" s="12" t="s">
        <v>23</v>
      </c>
      <c r="G1308" s="12"/>
      <c r="H1308" s="3" t="s">
        <v>4009</v>
      </c>
      <c r="I1308"/>
      <c r="J1308" s="166">
        <v>1916</v>
      </c>
      <c r="K1308" s="3" t="s">
        <v>735</v>
      </c>
      <c r="L1308" s="11" t="s">
        <v>105</v>
      </c>
      <c r="M1308" s="29">
        <v>45664</v>
      </c>
      <c r="N1308" s="86">
        <v>1898</v>
      </c>
      <c r="O1308" s="28" t="s">
        <v>20</v>
      </c>
      <c r="P1308" s="1"/>
      <c r="Q1308" s="32"/>
      <c r="R1308" s="191">
        <v>1898</v>
      </c>
    </row>
    <row r="1309" spans="1:18" ht="15.75" customHeight="1" x14ac:dyDescent="0.3">
      <c r="A1309" s="132" t="s">
        <v>4086</v>
      </c>
      <c r="B1309" s="3" t="s">
        <v>4086</v>
      </c>
      <c r="C1309" s="3" t="s">
        <v>4520</v>
      </c>
      <c r="D1309" t="s">
        <v>4496</v>
      </c>
      <c r="E1309" s="12"/>
      <c r="F1309" s="43"/>
      <c r="G1309" s="43"/>
      <c r="H1309" s="3" t="s">
        <v>4009</v>
      </c>
      <c r="I1309"/>
      <c r="J1309" s="166">
        <v>1916</v>
      </c>
      <c r="K1309" s="3" t="s">
        <v>735</v>
      </c>
      <c r="L1309" s="11" t="s">
        <v>105</v>
      </c>
      <c r="M1309" s="29">
        <v>45664</v>
      </c>
      <c r="N1309" s="86">
        <v>1898</v>
      </c>
      <c r="O1309" s="28" t="s">
        <v>20</v>
      </c>
      <c r="P1309" s="1"/>
      <c r="Q1309" s="32" t="s">
        <v>4716</v>
      </c>
      <c r="R1309" s="191">
        <v>1898</v>
      </c>
    </row>
    <row r="1310" spans="1:18" ht="15.75" customHeight="1" x14ac:dyDescent="0.3">
      <c r="A1310" s="132" t="s">
        <v>4087</v>
      </c>
      <c r="B1310" s="3" t="s">
        <v>4087</v>
      </c>
      <c r="C1310" s="3" t="s">
        <v>4520</v>
      </c>
      <c r="D1310" t="s">
        <v>4496</v>
      </c>
      <c r="E1310" s="12"/>
      <c r="F1310" s="43"/>
      <c r="G1310" s="43"/>
      <c r="H1310" s="3" t="s">
        <v>4009</v>
      </c>
      <c r="I1310"/>
      <c r="J1310" s="166">
        <v>1916</v>
      </c>
      <c r="K1310" s="3" t="s">
        <v>735</v>
      </c>
      <c r="L1310" s="11" t="s">
        <v>105</v>
      </c>
      <c r="M1310" s="29">
        <v>45664</v>
      </c>
      <c r="N1310" s="86">
        <v>1898</v>
      </c>
      <c r="O1310" s="28" t="s">
        <v>20</v>
      </c>
      <c r="P1310" s="1"/>
      <c r="Q1310" s="32"/>
      <c r="R1310" s="191">
        <v>1898</v>
      </c>
    </row>
    <row r="1311" spans="1:18" ht="15.75" customHeight="1" x14ac:dyDescent="0.3">
      <c r="A1311" s="132" t="s">
        <v>4088</v>
      </c>
      <c r="B1311" s="3" t="s">
        <v>4088</v>
      </c>
      <c r="C1311" s="3" t="s">
        <v>4520</v>
      </c>
      <c r="D1311" t="s">
        <v>4496</v>
      </c>
      <c r="E1311" s="12"/>
      <c r="F1311" s="43"/>
      <c r="G1311" s="43"/>
      <c r="H1311" s="3" t="s">
        <v>4089</v>
      </c>
      <c r="I1311"/>
      <c r="J1311" s="166">
        <v>1916</v>
      </c>
      <c r="K1311" s="3" t="s">
        <v>735</v>
      </c>
      <c r="L1311" s="11" t="s">
        <v>105</v>
      </c>
      <c r="M1311" s="29">
        <v>45664</v>
      </c>
      <c r="N1311" s="86">
        <v>3786</v>
      </c>
      <c r="O1311" s="28" t="s">
        <v>20</v>
      </c>
      <c r="P1311" s="1"/>
      <c r="Q1311" s="32"/>
      <c r="R1311" s="191">
        <v>3786</v>
      </c>
    </row>
    <row r="1312" spans="1:18" ht="15.75" customHeight="1" x14ac:dyDescent="0.3">
      <c r="A1312" s="132" t="s">
        <v>4090</v>
      </c>
      <c r="B1312" s="3" t="s">
        <v>4090</v>
      </c>
      <c r="C1312" s="3" t="s">
        <v>4520</v>
      </c>
      <c r="D1312" t="s">
        <v>4496</v>
      </c>
      <c r="E1312" s="12"/>
      <c r="F1312" s="43"/>
      <c r="G1312" s="43"/>
      <c r="H1312" s="3" t="s">
        <v>4009</v>
      </c>
      <c r="I1312"/>
      <c r="J1312" s="166">
        <v>1916</v>
      </c>
      <c r="K1312" s="3" t="s">
        <v>735</v>
      </c>
      <c r="L1312" s="11" t="s">
        <v>105</v>
      </c>
      <c r="M1312" s="29">
        <v>45664</v>
      </c>
      <c r="N1312" s="86">
        <v>1898</v>
      </c>
      <c r="O1312" s="28" t="s">
        <v>20</v>
      </c>
      <c r="P1312" s="1"/>
      <c r="Q1312" s="32" t="s">
        <v>4717</v>
      </c>
      <c r="R1312" s="191">
        <v>1898</v>
      </c>
    </row>
    <row r="1313" spans="1:18" ht="15.75" customHeight="1" x14ac:dyDescent="0.3">
      <c r="A1313" s="132" t="s">
        <v>4091</v>
      </c>
      <c r="B1313" s="3" t="s">
        <v>4091</v>
      </c>
      <c r="C1313" s="3" t="s">
        <v>4520</v>
      </c>
      <c r="D1313" t="s">
        <v>4496</v>
      </c>
      <c r="E1313" s="12"/>
      <c r="F1313" s="43"/>
      <c r="G1313" s="43"/>
      <c r="H1313" s="3" t="s">
        <v>4009</v>
      </c>
      <c r="I1313"/>
      <c r="J1313" s="166">
        <v>1916</v>
      </c>
      <c r="K1313" s="3" t="s">
        <v>735</v>
      </c>
      <c r="L1313" s="11" t="s">
        <v>105</v>
      </c>
      <c r="M1313" s="29">
        <v>45664</v>
      </c>
      <c r="N1313" s="86">
        <v>1898</v>
      </c>
      <c r="O1313" s="28" t="s">
        <v>20</v>
      </c>
      <c r="P1313" s="1"/>
      <c r="Q1313" s="32"/>
      <c r="R1313" s="191">
        <v>1898</v>
      </c>
    </row>
    <row r="1314" spans="1:18" ht="15.75" customHeight="1" x14ac:dyDescent="0.3">
      <c r="A1314" s="132" t="s">
        <v>4092</v>
      </c>
      <c r="B1314" s="3" t="s">
        <v>4092</v>
      </c>
      <c r="C1314" s="3" t="s">
        <v>4520</v>
      </c>
      <c r="D1314" t="s">
        <v>4496</v>
      </c>
      <c r="E1314" s="12"/>
      <c r="F1314" s="43"/>
      <c r="G1314" s="43"/>
      <c r="H1314" s="3" t="s">
        <v>4009</v>
      </c>
      <c r="I1314"/>
      <c r="J1314" s="166">
        <v>1916</v>
      </c>
      <c r="K1314" s="3" t="s">
        <v>735</v>
      </c>
      <c r="L1314" s="11" t="s">
        <v>105</v>
      </c>
      <c r="M1314" s="29">
        <v>45664</v>
      </c>
      <c r="N1314" s="86">
        <v>1898</v>
      </c>
      <c r="O1314" s="28" t="s">
        <v>20</v>
      </c>
      <c r="P1314" s="1"/>
      <c r="Q1314" s="32" t="s">
        <v>4718</v>
      </c>
      <c r="R1314" s="191">
        <v>1898</v>
      </c>
    </row>
    <row r="1315" spans="1:18" ht="15.75" customHeight="1" x14ac:dyDescent="0.3">
      <c r="A1315" s="132" t="s">
        <v>4093</v>
      </c>
      <c r="B1315" s="3" t="s">
        <v>4093</v>
      </c>
      <c r="C1315" s="3" t="s">
        <v>4520</v>
      </c>
      <c r="D1315" t="s">
        <v>4496</v>
      </c>
      <c r="E1315" s="12"/>
      <c r="F1315" s="43"/>
      <c r="G1315" s="43"/>
      <c r="H1315" s="3" t="s">
        <v>4089</v>
      </c>
      <c r="I1315" t="s">
        <v>4594</v>
      </c>
      <c r="J1315" s="166">
        <v>1916</v>
      </c>
      <c r="K1315" s="3" t="s">
        <v>735</v>
      </c>
      <c r="L1315" s="11" t="s">
        <v>105</v>
      </c>
      <c r="M1315" s="29">
        <v>45664</v>
      </c>
      <c r="N1315" s="86">
        <v>17072</v>
      </c>
      <c r="O1315" s="28" t="s">
        <v>20</v>
      </c>
      <c r="P1315" s="1"/>
      <c r="Q1315" s="32"/>
      <c r="R1315" s="191">
        <v>17072</v>
      </c>
    </row>
    <row r="1316" spans="1:18" ht="15.75" customHeight="1" x14ac:dyDescent="0.3">
      <c r="A1316" s="11" t="s">
        <v>4094</v>
      </c>
      <c r="B1316" s="11" t="s">
        <v>4094</v>
      </c>
      <c r="C1316" s="11" t="s">
        <v>4489</v>
      </c>
      <c r="D1316" t="s">
        <v>4494</v>
      </c>
      <c r="E1316" s="12"/>
      <c r="F1316" s="43"/>
      <c r="G1316" s="43"/>
      <c r="H1316" s="3" t="s">
        <v>4095</v>
      </c>
      <c r="I1316"/>
      <c r="J1316" s="166">
        <v>239196</v>
      </c>
      <c r="K1316" s="3" t="s">
        <v>1769</v>
      </c>
      <c r="L1316" s="11" t="s">
        <v>1770</v>
      </c>
      <c r="M1316" s="29">
        <v>45677</v>
      </c>
      <c r="N1316" s="86">
        <v>4777.5</v>
      </c>
      <c r="O1316" s="28"/>
      <c r="P1316" s="1"/>
      <c r="Q1316" s="32"/>
      <c r="R1316" s="191" t="s">
        <v>5013</v>
      </c>
    </row>
    <row r="1317" spans="1:18" ht="15.75" customHeight="1" x14ac:dyDescent="0.3">
      <c r="A1317" s="142" t="s">
        <v>4096</v>
      </c>
      <c r="B1317" s="11" t="s">
        <v>4096</v>
      </c>
      <c r="C1317" s="11" t="s">
        <v>4518</v>
      </c>
      <c r="D1317" t="s">
        <v>4495</v>
      </c>
      <c r="E1317" s="12"/>
      <c r="F1317" s="43"/>
      <c r="G1317" s="43"/>
      <c r="H1317" s="3" t="s">
        <v>4097</v>
      </c>
      <c r="I1317"/>
      <c r="J1317" s="166">
        <v>4454</v>
      </c>
      <c r="K1317" s="3" t="s">
        <v>2575</v>
      </c>
      <c r="L1317" s="11" t="s">
        <v>3062</v>
      </c>
      <c r="M1317" s="29">
        <v>45757</v>
      </c>
      <c r="N1317" s="86">
        <v>14000</v>
      </c>
      <c r="O1317" s="28" t="s">
        <v>20</v>
      </c>
      <c r="P1317" s="1" t="s">
        <v>91</v>
      </c>
      <c r="Q1317" s="32"/>
      <c r="R1317" s="191">
        <v>14000</v>
      </c>
    </row>
    <row r="1318" spans="1:18" ht="15.75" customHeight="1" x14ac:dyDescent="0.3">
      <c r="A1318" s="142" t="s">
        <v>4098</v>
      </c>
      <c r="B1318" s="11" t="s">
        <v>4098</v>
      </c>
      <c r="C1318" s="3" t="s">
        <v>4520</v>
      </c>
      <c r="D1318" t="s">
        <v>4496</v>
      </c>
      <c r="E1318" s="12"/>
      <c r="F1318" s="43"/>
      <c r="G1318" s="43"/>
      <c r="H1318" s="3" t="s">
        <v>4099</v>
      </c>
      <c r="I1318"/>
      <c r="J1318" s="166">
        <v>1918</v>
      </c>
      <c r="K1318" s="3" t="s">
        <v>735</v>
      </c>
      <c r="L1318" s="11" t="s">
        <v>105</v>
      </c>
      <c r="M1318" s="29">
        <v>45664</v>
      </c>
      <c r="N1318" s="86">
        <v>9298</v>
      </c>
      <c r="O1318" s="28"/>
      <c r="P1318" s="1"/>
      <c r="Q1318" s="32"/>
      <c r="R1318" s="191">
        <v>9298</v>
      </c>
    </row>
    <row r="1319" spans="1:18" ht="15.75" customHeight="1" x14ac:dyDescent="0.3">
      <c r="A1319" s="142" t="s">
        <v>4100</v>
      </c>
      <c r="B1319" s="11" t="s">
        <v>4100</v>
      </c>
      <c r="C1319" s="11" t="s">
        <v>4489</v>
      </c>
      <c r="D1319" t="s">
        <v>4500</v>
      </c>
      <c r="E1319" s="12"/>
      <c r="F1319" s="43"/>
      <c r="G1319" s="43"/>
      <c r="H1319" s="3" t="s">
        <v>4101</v>
      </c>
      <c r="I1319"/>
      <c r="J1319" s="166">
        <v>3336</v>
      </c>
      <c r="K1319" s="3" t="s">
        <v>2184</v>
      </c>
      <c r="L1319" s="11" t="s">
        <v>547</v>
      </c>
      <c r="M1319" s="29">
        <v>45686</v>
      </c>
      <c r="N1319" s="86">
        <v>2890</v>
      </c>
      <c r="O1319" s="28"/>
      <c r="P1319" s="1"/>
      <c r="Q1319" s="32"/>
      <c r="R1319" s="191">
        <v>2890</v>
      </c>
    </row>
    <row r="1320" spans="1:18" ht="15.75" customHeight="1" x14ac:dyDescent="0.3">
      <c r="A1320" s="142" t="s">
        <v>4102</v>
      </c>
      <c r="B1320" s="11" t="s">
        <v>4102</v>
      </c>
      <c r="C1320" s="11" t="s">
        <v>4518</v>
      </c>
      <c r="D1320" t="s">
        <v>4500</v>
      </c>
      <c r="E1320"/>
      <c r="F1320" t="s">
        <v>4660</v>
      </c>
      <c r="G1320"/>
      <c r="H1320" s="3" t="s">
        <v>3960</v>
      </c>
      <c r="I1320"/>
      <c r="J1320" s="166">
        <v>70536</v>
      </c>
      <c r="K1320" s="3" t="s">
        <v>3308</v>
      </c>
      <c r="L1320" s="11" t="s">
        <v>551</v>
      </c>
      <c r="M1320" s="29">
        <v>45678</v>
      </c>
      <c r="N1320" s="86">
        <v>2070</v>
      </c>
      <c r="O1320" s="28"/>
      <c r="P1320" s="1"/>
      <c r="Q1320" s="32"/>
      <c r="R1320" s="191">
        <v>2070</v>
      </c>
    </row>
    <row r="1321" spans="1:18" ht="15.75" customHeight="1" x14ac:dyDescent="0.3">
      <c r="A1321" s="142" t="s">
        <v>4103</v>
      </c>
      <c r="B1321" s="11" t="s">
        <v>4103</v>
      </c>
      <c r="C1321" s="3" t="s">
        <v>4520</v>
      </c>
      <c r="D1321" t="s">
        <v>4496</v>
      </c>
      <c r="E1321" s="12"/>
      <c r="F1321" s="43"/>
      <c r="G1321" s="43"/>
      <c r="H1321" s="3" t="s">
        <v>4037</v>
      </c>
      <c r="I1321"/>
      <c r="J1321" s="166">
        <v>1987</v>
      </c>
      <c r="K1321" s="3" t="s">
        <v>735</v>
      </c>
      <c r="L1321" s="11" t="s">
        <v>105</v>
      </c>
      <c r="M1321" s="29">
        <v>45679</v>
      </c>
      <c r="N1321" s="86">
        <v>1290</v>
      </c>
      <c r="O1321" s="28" t="s">
        <v>20</v>
      </c>
      <c r="P1321" s="1" t="s">
        <v>106</v>
      </c>
      <c r="Q1321" s="32"/>
      <c r="R1321" s="191">
        <v>1290</v>
      </c>
    </row>
    <row r="1322" spans="1:18" ht="15.75" customHeight="1" x14ac:dyDescent="0.3">
      <c r="A1322" s="11" t="s">
        <v>4104</v>
      </c>
      <c r="B1322" s="11" t="s">
        <v>4104</v>
      </c>
      <c r="C1322" s="3" t="s">
        <v>4520</v>
      </c>
      <c r="D1322" t="s">
        <v>4496</v>
      </c>
      <c r="E1322" s="12"/>
      <c r="F1322" s="43"/>
      <c r="G1322" s="43"/>
      <c r="H1322" s="3" t="s">
        <v>3699</v>
      </c>
      <c r="I1322"/>
      <c r="J1322" s="166">
        <v>1984</v>
      </c>
      <c r="K1322" s="3" t="s">
        <v>104</v>
      </c>
      <c r="L1322" s="11" t="s">
        <v>105</v>
      </c>
      <c r="M1322" s="29">
        <v>45679</v>
      </c>
      <c r="N1322" s="86">
        <v>1494.24</v>
      </c>
      <c r="O1322" s="28" t="s">
        <v>20</v>
      </c>
      <c r="P1322" s="1" t="s">
        <v>106</v>
      </c>
      <c r="Q1322" s="32"/>
      <c r="R1322" s="191" t="s">
        <v>5014</v>
      </c>
    </row>
    <row r="1323" spans="1:18" ht="15.75" customHeight="1" x14ac:dyDescent="0.3">
      <c r="A1323" s="142" t="s">
        <v>4105</v>
      </c>
      <c r="B1323" s="11" t="s">
        <v>4105</v>
      </c>
      <c r="C1323" s="11" t="s">
        <v>4489</v>
      </c>
      <c r="D1323" t="s">
        <v>4495</v>
      </c>
      <c r="E1323" s="12"/>
      <c r="F1323" s="43"/>
      <c r="G1323" s="43"/>
      <c r="H1323" s="3" t="s">
        <v>3996</v>
      </c>
      <c r="I1323"/>
      <c r="J1323" s="166">
        <v>27826</v>
      </c>
      <c r="K1323" s="3" t="s">
        <v>196</v>
      </c>
      <c r="L1323" s="11" t="s">
        <v>197</v>
      </c>
      <c r="M1323" s="29">
        <v>45667</v>
      </c>
      <c r="N1323" s="86">
        <v>3790</v>
      </c>
      <c r="O1323" s="28"/>
      <c r="P1323" s="1"/>
      <c r="Q1323" s="32"/>
      <c r="R1323" s="191">
        <v>3790</v>
      </c>
    </row>
    <row r="1324" spans="1:18" ht="15.75" customHeight="1" x14ac:dyDescent="0.3">
      <c r="A1324" s="142" t="s">
        <v>4106</v>
      </c>
      <c r="B1324" s="11" t="s">
        <v>4106</v>
      </c>
      <c r="C1324" s="11" t="s">
        <v>4489</v>
      </c>
      <c r="D1324" t="s">
        <v>4495</v>
      </c>
      <c r="E1324" s="12"/>
      <c r="F1324" s="43"/>
      <c r="G1324" s="43"/>
      <c r="H1324" s="3" t="s">
        <v>3996</v>
      </c>
      <c r="I1324"/>
      <c r="J1324" s="166">
        <v>27826</v>
      </c>
      <c r="K1324" s="3" t="s">
        <v>196</v>
      </c>
      <c r="L1324" s="11" t="s">
        <v>197</v>
      </c>
      <c r="M1324" s="29">
        <v>45667</v>
      </c>
      <c r="N1324" s="86">
        <v>3790</v>
      </c>
      <c r="O1324" s="28"/>
      <c r="P1324" s="1"/>
      <c r="Q1324" s="32"/>
      <c r="R1324" s="191">
        <v>3790</v>
      </c>
    </row>
    <row r="1325" spans="1:18" ht="15.75" customHeight="1" x14ac:dyDescent="0.3">
      <c r="A1325" s="142" t="s">
        <v>4107</v>
      </c>
      <c r="B1325" s="11" t="s">
        <v>4107</v>
      </c>
      <c r="C1325" s="11" t="s">
        <v>4489</v>
      </c>
      <c r="D1325" t="s">
        <v>4495</v>
      </c>
      <c r="E1325" s="12"/>
      <c r="F1325" s="43"/>
      <c r="G1325" s="43"/>
      <c r="H1325" s="3" t="s">
        <v>3996</v>
      </c>
      <c r="I1325"/>
      <c r="J1325" s="166">
        <v>27826</v>
      </c>
      <c r="K1325" s="3" t="s">
        <v>196</v>
      </c>
      <c r="L1325" s="11" t="s">
        <v>197</v>
      </c>
      <c r="M1325" s="29">
        <v>45667</v>
      </c>
      <c r="N1325" s="86">
        <v>3790</v>
      </c>
      <c r="O1325" s="28"/>
      <c r="P1325" s="1"/>
      <c r="Q1325" s="32"/>
      <c r="R1325" s="191">
        <v>3790</v>
      </c>
    </row>
    <row r="1326" spans="1:18" ht="15.75" customHeight="1" x14ac:dyDescent="0.3">
      <c r="A1326" s="142" t="s">
        <v>4108</v>
      </c>
      <c r="B1326" s="11" t="s">
        <v>4108</v>
      </c>
      <c r="C1326" s="11" t="s">
        <v>4489</v>
      </c>
      <c r="D1326" t="s">
        <v>4495</v>
      </c>
      <c r="E1326" s="12"/>
      <c r="F1326" s="43"/>
      <c r="G1326" s="43"/>
      <c r="H1326" s="3" t="s">
        <v>3996</v>
      </c>
      <c r="I1326"/>
      <c r="J1326" s="166">
        <v>27826</v>
      </c>
      <c r="K1326" s="3" t="s">
        <v>196</v>
      </c>
      <c r="L1326" s="11" t="s">
        <v>197</v>
      </c>
      <c r="M1326" s="29">
        <v>45667</v>
      </c>
      <c r="N1326" s="86">
        <v>3790</v>
      </c>
      <c r="O1326" s="28"/>
      <c r="P1326" s="1"/>
      <c r="Q1326" s="32"/>
      <c r="R1326" s="191">
        <v>3790</v>
      </c>
    </row>
    <row r="1327" spans="1:18" ht="15.75" customHeight="1" x14ac:dyDescent="0.3">
      <c r="A1327" s="142" t="s">
        <v>4109</v>
      </c>
      <c r="B1327" s="11" t="s">
        <v>4109</v>
      </c>
      <c r="C1327" s="11" t="s">
        <v>4489</v>
      </c>
      <c r="D1327" t="s">
        <v>4492</v>
      </c>
      <c r="E1327" s="12"/>
      <c r="F1327" s="43"/>
      <c r="G1327" s="43"/>
      <c r="H1327" s="3" t="s">
        <v>3996</v>
      </c>
      <c r="I1327"/>
      <c r="J1327" s="166">
        <v>27833</v>
      </c>
      <c r="K1327" s="3" t="s">
        <v>196</v>
      </c>
      <c r="L1327" s="11" t="s">
        <v>197</v>
      </c>
      <c r="M1327" s="29">
        <v>45667</v>
      </c>
      <c r="N1327" s="86">
        <v>3790</v>
      </c>
      <c r="O1327" s="28"/>
      <c r="P1327" s="1"/>
      <c r="Q1327" s="32"/>
      <c r="R1327" s="191">
        <v>3790</v>
      </c>
    </row>
    <row r="1328" spans="1:18" ht="15.75" customHeight="1" x14ac:dyDescent="0.3">
      <c r="A1328" s="142" t="s">
        <v>4110</v>
      </c>
      <c r="B1328" s="11" t="s">
        <v>4110</v>
      </c>
      <c r="C1328" s="11" t="s">
        <v>4489</v>
      </c>
      <c r="D1328" t="s">
        <v>4492</v>
      </c>
      <c r="E1328" s="12"/>
      <c r="F1328" s="43"/>
      <c r="G1328" s="43"/>
      <c r="H1328" s="3" t="s">
        <v>3996</v>
      </c>
      <c r="I1328"/>
      <c r="J1328" s="166">
        <v>27833</v>
      </c>
      <c r="K1328" s="3" t="s">
        <v>196</v>
      </c>
      <c r="L1328" s="11" t="s">
        <v>197</v>
      </c>
      <c r="M1328" s="29">
        <v>45667</v>
      </c>
      <c r="N1328" s="86">
        <v>3790</v>
      </c>
      <c r="O1328" s="28"/>
      <c r="P1328" s="1"/>
      <c r="Q1328" s="32"/>
      <c r="R1328" s="191">
        <v>3790</v>
      </c>
    </row>
    <row r="1329" spans="1:18" ht="15.75" customHeight="1" x14ac:dyDescent="0.3">
      <c r="A1329" s="142" t="s">
        <v>4111</v>
      </c>
      <c r="B1329" s="11" t="s">
        <v>4111</v>
      </c>
      <c r="C1329" s="11" t="s">
        <v>4489</v>
      </c>
      <c r="D1329" t="s">
        <v>4492</v>
      </c>
      <c r="E1329" s="12"/>
      <c r="F1329" s="43"/>
      <c r="G1329" s="43"/>
      <c r="H1329" s="3" t="s">
        <v>3996</v>
      </c>
      <c r="I1329"/>
      <c r="J1329" s="166">
        <v>27830</v>
      </c>
      <c r="K1329" s="3" t="s">
        <v>196</v>
      </c>
      <c r="L1329" s="11" t="s">
        <v>197</v>
      </c>
      <c r="M1329" s="29">
        <v>45667</v>
      </c>
      <c r="N1329" s="86">
        <v>3790</v>
      </c>
      <c r="O1329" s="28"/>
      <c r="P1329" s="1"/>
      <c r="Q1329" s="32"/>
      <c r="R1329" s="191">
        <v>3790</v>
      </c>
    </row>
    <row r="1330" spans="1:18" ht="15.75" customHeight="1" x14ac:dyDescent="0.3">
      <c r="A1330" s="142" t="s">
        <v>4112</v>
      </c>
      <c r="B1330" s="11" t="s">
        <v>4112</v>
      </c>
      <c r="C1330" s="11" t="s">
        <v>4489</v>
      </c>
      <c r="D1330" t="s">
        <v>4492</v>
      </c>
      <c r="E1330" s="12"/>
      <c r="F1330" s="43"/>
      <c r="G1330" s="43"/>
      <c r="H1330" s="3" t="s">
        <v>3996</v>
      </c>
      <c r="I1330"/>
      <c r="J1330" s="166">
        <v>27830</v>
      </c>
      <c r="K1330" s="3" t="s">
        <v>196</v>
      </c>
      <c r="L1330" s="11" t="s">
        <v>197</v>
      </c>
      <c r="M1330" s="29">
        <v>45667</v>
      </c>
      <c r="N1330" s="86">
        <v>3790</v>
      </c>
      <c r="O1330" s="28"/>
      <c r="P1330" s="1"/>
      <c r="Q1330" s="32"/>
      <c r="R1330" s="191">
        <v>3790</v>
      </c>
    </row>
    <row r="1331" spans="1:18" ht="15.75" customHeight="1" x14ac:dyDescent="0.3">
      <c r="A1331" s="142" t="s">
        <v>4113</v>
      </c>
      <c r="B1331" s="11" t="s">
        <v>4113</v>
      </c>
      <c r="C1331" s="11" t="s">
        <v>4489</v>
      </c>
      <c r="D1331" t="s">
        <v>4493</v>
      </c>
      <c r="E1331" s="12"/>
      <c r="F1331" s="43"/>
      <c r="G1331" s="43"/>
      <c r="H1331" s="3" t="s">
        <v>3996</v>
      </c>
      <c r="I1331"/>
      <c r="J1331" s="166">
        <v>27991</v>
      </c>
      <c r="K1331" s="3" t="s">
        <v>196</v>
      </c>
      <c r="L1331" s="11" t="s">
        <v>197</v>
      </c>
      <c r="M1331" s="29">
        <v>45677</v>
      </c>
      <c r="N1331" s="86">
        <v>3790</v>
      </c>
      <c r="O1331" s="28" t="s">
        <v>20</v>
      </c>
      <c r="P1331" s="1" t="s">
        <v>78</v>
      </c>
      <c r="Q1331" s="32"/>
      <c r="R1331" s="191">
        <v>3790</v>
      </c>
    </row>
    <row r="1332" spans="1:18" ht="15.75" customHeight="1" x14ac:dyDescent="0.3">
      <c r="A1332" s="142" t="s">
        <v>4114</v>
      </c>
      <c r="B1332" s="11" t="s">
        <v>4114</v>
      </c>
      <c r="C1332" s="11" t="s">
        <v>4489</v>
      </c>
      <c r="D1332" t="s">
        <v>4495</v>
      </c>
      <c r="E1332"/>
      <c r="F1332"/>
      <c r="G1332"/>
      <c r="H1332" s="3" t="s">
        <v>4115</v>
      </c>
      <c r="I1332"/>
      <c r="J1332" s="166">
        <v>4713</v>
      </c>
      <c r="K1332" s="3" t="s">
        <v>4059</v>
      </c>
      <c r="L1332" s="11" t="s">
        <v>4060</v>
      </c>
      <c r="M1332" s="29">
        <v>45684</v>
      </c>
      <c r="N1332" s="86">
        <v>2127.0500000000002</v>
      </c>
      <c r="O1332" s="28" t="s">
        <v>20</v>
      </c>
      <c r="P1332" s="1" t="s">
        <v>66</v>
      </c>
      <c r="Q1332" s="32"/>
      <c r="R1332" s="191" t="s">
        <v>5015</v>
      </c>
    </row>
    <row r="1333" spans="1:18" ht="15.75" customHeight="1" x14ac:dyDescent="0.3">
      <c r="A1333" s="142" t="s">
        <v>4116</v>
      </c>
      <c r="B1333" s="11" t="s">
        <v>4116</v>
      </c>
      <c r="C1333" s="11" t="s">
        <v>4489</v>
      </c>
      <c r="D1333" t="s">
        <v>4495</v>
      </c>
      <c r="E1333"/>
      <c r="F1333"/>
      <c r="G1333"/>
      <c r="H1333" s="3" t="s">
        <v>4117</v>
      </c>
      <c r="I1333"/>
      <c r="J1333" s="166">
        <v>4713</v>
      </c>
      <c r="K1333" s="3" t="s">
        <v>4059</v>
      </c>
      <c r="L1333" s="3" t="s">
        <v>4060</v>
      </c>
      <c r="M1333" s="29">
        <v>45684</v>
      </c>
      <c r="N1333" s="86">
        <v>1809</v>
      </c>
      <c r="O1333" s="28" t="s">
        <v>20</v>
      </c>
      <c r="P1333" s="1" t="s">
        <v>66</v>
      </c>
      <c r="Q1333" s="32"/>
      <c r="R1333" s="191">
        <v>1809</v>
      </c>
    </row>
    <row r="1334" spans="1:18" ht="15.75" customHeight="1" x14ac:dyDescent="0.3">
      <c r="A1334" s="142" t="s">
        <v>4118</v>
      </c>
      <c r="B1334" s="11" t="s">
        <v>4118</v>
      </c>
      <c r="C1334" s="3" t="s">
        <v>4490</v>
      </c>
      <c r="D1334" t="s">
        <v>4494</v>
      </c>
      <c r="E1334"/>
      <c r="F1334" t="s">
        <v>4119</v>
      </c>
      <c r="G1334" t="s">
        <v>4629</v>
      </c>
      <c r="H1334" s="3" t="s">
        <v>3654</v>
      </c>
      <c r="I1334" t="s">
        <v>4595</v>
      </c>
      <c r="J1334" s="166">
        <v>164503</v>
      </c>
      <c r="K1334" s="11" t="s">
        <v>176</v>
      </c>
      <c r="L1334" s="11" t="s">
        <v>1015</v>
      </c>
      <c r="M1334" s="13">
        <v>45649</v>
      </c>
      <c r="N1334" s="86">
        <v>310000</v>
      </c>
      <c r="O1334" s="28" t="s">
        <v>20</v>
      </c>
      <c r="P1334" s="1" t="s">
        <v>66</v>
      </c>
      <c r="Q1334" s="32"/>
      <c r="R1334" s="191">
        <v>310000</v>
      </c>
    </row>
    <row r="1335" spans="1:18" ht="15.75" customHeight="1" x14ac:dyDescent="0.3">
      <c r="A1335" s="142" t="s">
        <v>4120</v>
      </c>
      <c r="B1335" s="11" t="s">
        <v>4120</v>
      </c>
      <c r="C1335" s="3" t="s">
        <v>4490</v>
      </c>
      <c r="D1335" t="s">
        <v>4494</v>
      </c>
      <c r="E1335"/>
      <c r="F1335" t="s">
        <v>4121</v>
      </c>
      <c r="G1335" t="s">
        <v>4629</v>
      </c>
      <c r="H1335" s="3" t="s">
        <v>3654</v>
      </c>
      <c r="I1335" t="s">
        <v>4596</v>
      </c>
      <c r="J1335" s="166">
        <v>164504</v>
      </c>
      <c r="K1335" s="11" t="s">
        <v>176</v>
      </c>
      <c r="L1335" s="11" t="s">
        <v>1015</v>
      </c>
      <c r="M1335" s="13">
        <v>45649</v>
      </c>
      <c r="N1335" s="86">
        <v>310000</v>
      </c>
      <c r="O1335" s="28" t="s">
        <v>20</v>
      </c>
      <c r="P1335" s="1" t="s">
        <v>66</v>
      </c>
      <c r="Q1335" s="32"/>
      <c r="R1335" s="191">
        <v>310000</v>
      </c>
    </row>
    <row r="1336" spans="1:18" ht="15.75" customHeight="1" x14ac:dyDescent="0.3">
      <c r="A1336" s="142" t="s">
        <v>4122</v>
      </c>
      <c r="B1336" s="11" t="s">
        <v>4122</v>
      </c>
      <c r="C1336" s="3" t="s">
        <v>4520</v>
      </c>
      <c r="D1336" t="s">
        <v>4496</v>
      </c>
      <c r="E1336" s="12"/>
      <c r="F1336" s="43"/>
      <c r="G1336" s="43"/>
      <c r="H1336" s="3" t="s">
        <v>4123</v>
      </c>
      <c r="I1336" t="s">
        <v>4597</v>
      </c>
      <c r="J1336" s="166">
        <v>1983</v>
      </c>
      <c r="K1336" s="3" t="s">
        <v>104</v>
      </c>
      <c r="L1336" s="11" t="s">
        <v>105</v>
      </c>
      <c r="M1336" s="13">
        <v>45679</v>
      </c>
      <c r="N1336" s="86">
        <v>5790</v>
      </c>
      <c r="O1336" s="28" t="s">
        <v>20</v>
      </c>
      <c r="P1336" s="1" t="s">
        <v>106</v>
      </c>
      <c r="Q1336" s="32"/>
      <c r="R1336" s="191">
        <v>5790</v>
      </c>
    </row>
    <row r="1337" spans="1:18" ht="15.75" customHeight="1" x14ac:dyDescent="0.3">
      <c r="A1337" s="142" t="s">
        <v>4124</v>
      </c>
      <c r="B1337" s="11" t="s">
        <v>4124</v>
      </c>
      <c r="C1337" s="3" t="s">
        <v>4520</v>
      </c>
      <c r="D1337" t="s">
        <v>4496</v>
      </c>
      <c r="E1337" s="12"/>
      <c r="F1337" s="43"/>
      <c r="G1337" s="43"/>
      <c r="H1337" s="3" t="s">
        <v>4123</v>
      </c>
      <c r="I1337"/>
      <c r="J1337" s="166">
        <v>1983</v>
      </c>
      <c r="K1337" s="3" t="s">
        <v>104</v>
      </c>
      <c r="L1337" s="11" t="s">
        <v>105</v>
      </c>
      <c r="M1337" s="13">
        <v>45679</v>
      </c>
      <c r="N1337" s="86">
        <v>5790</v>
      </c>
      <c r="O1337" s="28" t="s">
        <v>20</v>
      </c>
      <c r="P1337" s="1" t="s">
        <v>106</v>
      </c>
      <c r="Q1337" s="32"/>
      <c r="R1337" s="191">
        <v>5790</v>
      </c>
    </row>
    <row r="1338" spans="1:18" ht="15.75" customHeight="1" x14ac:dyDescent="0.3">
      <c r="A1338" s="142" t="s">
        <v>4125</v>
      </c>
      <c r="B1338" s="11" t="s">
        <v>4125</v>
      </c>
      <c r="C1338" s="3" t="s">
        <v>4520</v>
      </c>
      <c r="D1338" t="s">
        <v>4496</v>
      </c>
      <c r="E1338" s="12"/>
      <c r="F1338" s="43"/>
      <c r="G1338" s="43"/>
      <c r="H1338" s="3" t="s">
        <v>4123</v>
      </c>
      <c r="I1338"/>
      <c r="J1338" s="166">
        <v>1983</v>
      </c>
      <c r="K1338" s="3" t="s">
        <v>104</v>
      </c>
      <c r="L1338" s="11" t="s">
        <v>105</v>
      </c>
      <c r="M1338" s="13">
        <v>45679</v>
      </c>
      <c r="N1338" s="86">
        <v>5790</v>
      </c>
      <c r="O1338" s="28" t="s">
        <v>20</v>
      </c>
      <c r="P1338" s="1" t="s">
        <v>106</v>
      </c>
      <c r="Q1338" s="32"/>
      <c r="R1338" s="191">
        <v>5790</v>
      </c>
    </row>
    <row r="1339" spans="1:18" ht="15.75" customHeight="1" x14ac:dyDescent="0.3">
      <c r="A1339" s="142" t="s">
        <v>4126</v>
      </c>
      <c r="B1339" s="11" t="s">
        <v>4126</v>
      </c>
      <c r="C1339" s="3" t="s">
        <v>4519</v>
      </c>
      <c r="D1339" t="s">
        <v>4495</v>
      </c>
      <c r="E1339" s="12"/>
      <c r="F1339" s="43"/>
      <c r="G1339" s="43"/>
      <c r="H1339" s="3" t="s">
        <v>2340</v>
      </c>
      <c r="I1339"/>
      <c r="J1339" s="166">
        <v>35791</v>
      </c>
      <c r="K1339" s="3" t="s">
        <v>187</v>
      </c>
      <c r="L1339" s="11" t="s">
        <v>188</v>
      </c>
      <c r="M1339" s="29">
        <v>45685</v>
      </c>
      <c r="N1339" s="86">
        <v>2949</v>
      </c>
      <c r="O1339" s="28"/>
      <c r="P1339" s="1"/>
      <c r="Q1339" s="32"/>
      <c r="R1339" s="191">
        <v>2949</v>
      </c>
    </row>
    <row r="1340" spans="1:18" ht="15.75" customHeight="1" x14ac:dyDescent="0.3">
      <c r="A1340" s="132" t="s">
        <v>4127</v>
      </c>
      <c r="B1340" s="3" t="s">
        <v>4127</v>
      </c>
      <c r="C1340" s="11" t="s">
        <v>4489</v>
      </c>
      <c r="D1340" t="s">
        <v>4495</v>
      </c>
      <c r="E1340" s="12"/>
      <c r="F1340" s="43"/>
      <c r="G1340" s="43"/>
      <c r="H1340" s="3" t="s">
        <v>4128</v>
      </c>
      <c r="I1340"/>
      <c r="J1340" s="166">
        <v>3753</v>
      </c>
      <c r="K1340" s="3" t="s">
        <v>2184</v>
      </c>
      <c r="L1340" s="11" t="s">
        <v>547</v>
      </c>
      <c r="M1340" s="29">
        <v>45762</v>
      </c>
      <c r="N1340" s="86">
        <v>2700</v>
      </c>
      <c r="O1340" s="28"/>
      <c r="P1340" s="1" t="s">
        <v>66</v>
      </c>
      <c r="Q1340" s="32"/>
      <c r="R1340" s="191">
        <v>2700</v>
      </c>
    </row>
    <row r="1341" spans="1:18" ht="15.75" customHeight="1" x14ac:dyDescent="0.3">
      <c r="A1341" s="132" t="s">
        <v>4129</v>
      </c>
      <c r="B1341" s="3" t="s">
        <v>4129</v>
      </c>
      <c r="C1341" s="11" t="s">
        <v>4489</v>
      </c>
      <c r="D1341" t="s">
        <v>4493</v>
      </c>
      <c r="E1341" s="12"/>
      <c r="F1341" s="43"/>
      <c r="G1341" s="43"/>
      <c r="H1341" s="3" t="s">
        <v>4130</v>
      </c>
      <c r="I1341"/>
      <c r="J1341" s="166">
        <v>28147</v>
      </c>
      <c r="K1341" s="3" t="s">
        <v>196</v>
      </c>
      <c r="L1341" s="11" t="s">
        <v>197</v>
      </c>
      <c r="M1341" s="29">
        <v>45684</v>
      </c>
      <c r="N1341" s="86">
        <v>3690</v>
      </c>
      <c r="O1341" s="28"/>
      <c r="P1341" s="1"/>
      <c r="Q1341" s="32"/>
      <c r="R1341" s="191">
        <v>3690</v>
      </c>
    </row>
    <row r="1342" spans="1:18" ht="15.75" customHeight="1" x14ac:dyDescent="0.3">
      <c r="A1342" s="132" t="s">
        <v>4131</v>
      </c>
      <c r="B1342" s="3" t="s">
        <v>4131</v>
      </c>
      <c r="C1342" s="11" t="s">
        <v>4489</v>
      </c>
      <c r="D1342" t="s">
        <v>4494</v>
      </c>
      <c r="E1342" s="12"/>
      <c r="F1342" s="43"/>
      <c r="G1342" s="43"/>
      <c r="H1342" s="3" t="s">
        <v>4132</v>
      </c>
      <c r="I1342"/>
      <c r="J1342" s="166">
        <v>536</v>
      </c>
      <c r="K1342" s="3" t="s">
        <v>4133</v>
      </c>
      <c r="L1342" s="11" t="s">
        <v>4134</v>
      </c>
      <c r="M1342" s="29">
        <v>45723</v>
      </c>
      <c r="N1342" s="86">
        <v>10580</v>
      </c>
      <c r="O1342" s="28"/>
      <c r="P1342" s="1"/>
      <c r="Q1342" s="32"/>
      <c r="R1342" s="191">
        <v>10580</v>
      </c>
    </row>
    <row r="1343" spans="1:18" ht="15.75" customHeight="1" x14ac:dyDescent="0.3">
      <c r="A1343" s="132" t="s">
        <v>4135</v>
      </c>
      <c r="B1343" s="3" t="s">
        <v>4135</v>
      </c>
      <c r="C1343" s="3" t="s">
        <v>4520</v>
      </c>
      <c r="D1343" t="s">
        <v>4495</v>
      </c>
      <c r="E1343" s="12"/>
      <c r="F1343" s="43"/>
      <c r="G1343" s="43"/>
      <c r="H1343" s="3" t="s">
        <v>195</v>
      </c>
      <c r="I1343"/>
      <c r="J1343" s="166">
        <v>2026</v>
      </c>
      <c r="K1343" s="3" t="s">
        <v>735</v>
      </c>
      <c r="L1343" s="11" t="s">
        <v>105</v>
      </c>
      <c r="M1343" s="29">
        <v>45693</v>
      </c>
      <c r="N1343" s="86">
        <v>4620</v>
      </c>
      <c r="O1343" s="28" t="s">
        <v>20</v>
      </c>
      <c r="P1343" s="1" t="s">
        <v>106</v>
      </c>
      <c r="Q1343" s="32"/>
      <c r="R1343" s="191">
        <v>4620</v>
      </c>
    </row>
    <row r="1344" spans="1:18" ht="15.75" customHeight="1" x14ac:dyDescent="0.3">
      <c r="A1344" s="132" t="s">
        <v>4136</v>
      </c>
      <c r="B1344" s="3" t="s">
        <v>4136</v>
      </c>
      <c r="C1344" s="3" t="s">
        <v>4518</v>
      </c>
      <c r="D1344" t="s">
        <v>4492</v>
      </c>
      <c r="E1344" s="12"/>
      <c r="F1344" s="43"/>
      <c r="G1344" s="43"/>
      <c r="H1344" s="3" t="s">
        <v>4137</v>
      </c>
      <c r="I1344"/>
      <c r="J1344" s="166">
        <v>3380</v>
      </c>
      <c r="K1344" s="3" t="s">
        <v>2184</v>
      </c>
      <c r="L1344" s="11" t="s">
        <v>547</v>
      </c>
      <c r="M1344" s="29">
        <v>45694</v>
      </c>
      <c r="N1344" s="86">
        <v>3749</v>
      </c>
      <c r="O1344" s="28"/>
      <c r="P1344" s="1"/>
      <c r="Q1344" s="32"/>
      <c r="R1344" s="191">
        <v>3749</v>
      </c>
    </row>
    <row r="1345" spans="1:18" ht="15.75" customHeight="1" x14ac:dyDescent="0.3">
      <c r="A1345" s="132" t="s">
        <v>4138</v>
      </c>
      <c r="B1345" s="3" t="s">
        <v>4138</v>
      </c>
      <c r="C1345" s="3" t="s">
        <v>4518</v>
      </c>
      <c r="D1345" t="s">
        <v>4492</v>
      </c>
      <c r="E1345" s="12"/>
      <c r="F1345" s="43"/>
      <c r="G1345" s="43"/>
      <c r="H1345" s="3" t="s">
        <v>4137</v>
      </c>
      <c r="I1345"/>
      <c r="J1345" s="166">
        <v>3380</v>
      </c>
      <c r="K1345" s="3" t="s">
        <v>2184</v>
      </c>
      <c r="L1345" s="11" t="s">
        <v>547</v>
      </c>
      <c r="M1345" s="29">
        <v>45694</v>
      </c>
      <c r="N1345" s="86">
        <v>3749</v>
      </c>
      <c r="O1345" s="28"/>
      <c r="P1345" s="1"/>
      <c r="Q1345" s="32"/>
      <c r="R1345" s="191">
        <v>3749</v>
      </c>
    </row>
    <row r="1346" spans="1:18" ht="15.75" customHeight="1" x14ac:dyDescent="0.3">
      <c r="A1346" s="129" t="s">
        <v>4139</v>
      </c>
      <c r="B1346" s="8" t="s">
        <v>4139</v>
      </c>
      <c r="C1346" s="3" t="s">
        <v>4490</v>
      </c>
      <c r="D1346" t="s">
        <v>4493</v>
      </c>
      <c r="E1346"/>
      <c r="F1346" t="s">
        <v>4140</v>
      </c>
      <c r="G1346" t="s">
        <v>4557</v>
      </c>
      <c r="H1346" s="3" t="s">
        <v>4141</v>
      </c>
      <c r="I1346" t="s">
        <v>4598</v>
      </c>
      <c r="J1346" s="166">
        <v>951</v>
      </c>
      <c r="K1346" s="3" t="s">
        <v>4142</v>
      </c>
      <c r="L1346" s="11" t="s">
        <v>1326</v>
      </c>
      <c r="M1346" s="29">
        <v>45674</v>
      </c>
      <c r="N1346" s="86">
        <v>1460000</v>
      </c>
      <c r="O1346" s="28" t="s">
        <v>20</v>
      </c>
      <c r="P1346" s="1" t="s">
        <v>78</v>
      </c>
      <c r="Q1346" s="32"/>
      <c r="R1346" s="191">
        <v>1460000</v>
      </c>
    </row>
    <row r="1347" spans="1:18" ht="15.75" customHeight="1" x14ac:dyDescent="0.3">
      <c r="A1347" s="129" t="s">
        <v>4143</v>
      </c>
      <c r="B1347" s="8" t="s">
        <v>4143</v>
      </c>
      <c r="C1347" s="3" t="s">
        <v>4490</v>
      </c>
      <c r="D1347" t="s">
        <v>4493</v>
      </c>
      <c r="E1347"/>
      <c r="F1347" t="s">
        <v>4144</v>
      </c>
      <c r="G1347" t="s">
        <v>4557</v>
      </c>
      <c r="H1347" s="3" t="s">
        <v>4141</v>
      </c>
      <c r="I1347" t="s">
        <v>4599</v>
      </c>
      <c r="J1347" s="166">
        <v>951</v>
      </c>
      <c r="K1347" s="3" t="s">
        <v>4142</v>
      </c>
      <c r="L1347" s="11" t="s">
        <v>1326</v>
      </c>
      <c r="M1347" s="29">
        <v>45675</v>
      </c>
      <c r="N1347" s="86">
        <v>1460001</v>
      </c>
      <c r="O1347" s="28" t="s">
        <v>20</v>
      </c>
      <c r="P1347" s="1" t="s">
        <v>78</v>
      </c>
      <c r="Q1347" s="32"/>
      <c r="R1347" s="191">
        <v>1460001</v>
      </c>
    </row>
    <row r="1348" spans="1:18" ht="15.75" customHeight="1" x14ac:dyDescent="0.3">
      <c r="A1348" s="8" t="s">
        <v>4145</v>
      </c>
      <c r="B1348" s="8" t="s">
        <v>4145</v>
      </c>
      <c r="C1348" s="3" t="s">
        <v>4520</v>
      </c>
      <c r="D1348" t="s">
        <v>4496</v>
      </c>
      <c r="E1348" s="12"/>
      <c r="F1348" s="43"/>
      <c r="G1348" s="43"/>
      <c r="H1348" s="3" t="s">
        <v>4146</v>
      </c>
      <c r="I1348" t="s">
        <v>4600</v>
      </c>
      <c r="J1348" s="166">
        <v>1439</v>
      </c>
      <c r="K1348" s="11" t="s">
        <v>4147</v>
      </c>
      <c r="L1348" s="11" t="s">
        <v>4148</v>
      </c>
      <c r="M1348" s="13">
        <v>45698</v>
      </c>
      <c r="N1348" s="86">
        <v>1807.33</v>
      </c>
      <c r="O1348" s="28" t="s">
        <v>20</v>
      </c>
      <c r="P1348" s="1" t="s">
        <v>106</v>
      </c>
      <c r="Q1348" s="32" t="s">
        <v>4719</v>
      </c>
      <c r="R1348" s="191" t="s">
        <v>5016</v>
      </c>
    </row>
    <row r="1349" spans="1:18" ht="15.75" customHeight="1" x14ac:dyDescent="0.3">
      <c r="A1349" s="8" t="s">
        <v>4149</v>
      </c>
      <c r="B1349" s="8" t="s">
        <v>4149</v>
      </c>
      <c r="C1349" s="3" t="s">
        <v>4520</v>
      </c>
      <c r="D1349" t="s">
        <v>4496</v>
      </c>
      <c r="E1349" s="12"/>
      <c r="F1349" s="43"/>
      <c r="G1349" s="43"/>
      <c r="H1349" s="3" t="s">
        <v>4146</v>
      </c>
      <c r="I1349"/>
      <c r="J1349" s="166">
        <v>1439</v>
      </c>
      <c r="K1349" s="11" t="s">
        <v>4147</v>
      </c>
      <c r="L1349" s="11" t="s">
        <v>4150</v>
      </c>
      <c r="M1349" s="13">
        <v>45699</v>
      </c>
      <c r="N1349" s="86">
        <v>1807.33</v>
      </c>
      <c r="O1349" s="28" t="s">
        <v>20</v>
      </c>
      <c r="P1349" s="1" t="s">
        <v>106</v>
      </c>
      <c r="Q1349" s="32"/>
      <c r="R1349" s="191" t="s">
        <v>5016</v>
      </c>
    </row>
    <row r="1350" spans="1:18" ht="15.75" customHeight="1" x14ac:dyDescent="0.3">
      <c r="A1350" s="8" t="s">
        <v>4151</v>
      </c>
      <c r="B1350" s="8" t="s">
        <v>4151</v>
      </c>
      <c r="C1350" s="3" t="s">
        <v>4520</v>
      </c>
      <c r="D1350" t="s">
        <v>4496</v>
      </c>
      <c r="E1350" s="12"/>
      <c r="F1350" s="43"/>
      <c r="G1350" s="43"/>
      <c r="H1350" s="3" t="s">
        <v>4146</v>
      </c>
      <c r="I1350"/>
      <c r="J1350" s="166">
        <v>1439</v>
      </c>
      <c r="K1350" s="11" t="s">
        <v>4147</v>
      </c>
      <c r="L1350" s="11" t="s">
        <v>4152</v>
      </c>
      <c r="M1350" s="13">
        <v>45700</v>
      </c>
      <c r="N1350" s="86">
        <v>1807.33</v>
      </c>
      <c r="O1350" s="28" t="s">
        <v>20</v>
      </c>
      <c r="P1350" s="1" t="s">
        <v>106</v>
      </c>
      <c r="Q1350" s="32"/>
      <c r="R1350" s="191" t="s">
        <v>5016</v>
      </c>
    </row>
    <row r="1351" spans="1:18" ht="15.75" customHeight="1" x14ac:dyDescent="0.3">
      <c r="A1351" s="8" t="s">
        <v>4153</v>
      </c>
      <c r="B1351" s="8" t="s">
        <v>4153</v>
      </c>
      <c r="C1351" s="3" t="s">
        <v>4520</v>
      </c>
      <c r="D1351" t="s">
        <v>4496</v>
      </c>
      <c r="E1351" s="12"/>
      <c r="F1351" s="43"/>
      <c r="G1351" s="43"/>
      <c r="H1351" s="3" t="s">
        <v>4146</v>
      </c>
      <c r="I1351"/>
      <c r="J1351" s="166">
        <v>1439</v>
      </c>
      <c r="K1351" s="11" t="s">
        <v>4147</v>
      </c>
      <c r="L1351" s="11" t="s">
        <v>4154</v>
      </c>
      <c r="M1351" s="13">
        <v>45701</v>
      </c>
      <c r="N1351" s="86">
        <v>1807.33</v>
      </c>
      <c r="O1351" s="28" t="s">
        <v>20</v>
      </c>
      <c r="P1351" s="1" t="s">
        <v>106</v>
      </c>
      <c r="Q1351" s="32"/>
      <c r="R1351" s="191" t="s">
        <v>5016</v>
      </c>
    </row>
    <row r="1352" spans="1:18" ht="15.75" customHeight="1" x14ac:dyDescent="0.3">
      <c r="A1352" s="8" t="s">
        <v>4155</v>
      </c>
      <c r="B1352" s="8" t="s">
        <v>4155</v>
      </c>
      <c r="C1352" s="3" t="s">
        <v>4520</v>
      </c>
      <c r="D1352" t="s">
        <v>4496</v>
      </c>
      <c r="E1352" s="12"/>
      <c r="F1352" s="43"/>
      <c r="G1352" s="43"/>
      <c r="H1352" s="3" t="s">
        <v>4146</v>
      </c>
      <c r="I1352"/>
      <c r="J1352" s="166">
        <v>1439</v>
      </c>
      <c r="K1352" s="11" t="s">
        <v>4147</v>
      </c>
      <c r="L1352" s="11" t="s">
        <v>4156</v>
      </c>
      <c r="M1352" s="13">
        <v>45702</v>
      </c>
      <c r="N1352" s="86">
        <v>1807.33</v>
      </c>
      <c r="O1352" s="28" t="s">
        <v>20</v>
      </c>
      <c r="P1352" s="1" t="s">
        <v>106</v>
      </c>
      <c r="Q1352" s="32"/>
      <c r="R1352" s="191" t="s">
        <v>5016</v>
      </c>
    </row>
    <row r="1353" spans="1:18" ht="15.75" customHeight="1" x14ac:dyDescent="0.3">
      <c r="A1353" s="8" t="s">
        <v>4157</v>
      </c>
      <c r="B1353" s="8" t="s">
        <v>4157</v>
      </c>
      <c r="C1353" s="3" t="s">
        <v>4520</v>
      </c>
      <c r="D1353" t="s">
        <v>4496</v>
      </c>
      <c r="E1353" s="12"/>
      <c r="F1353" s="43"/>
      <c r="G1353" s="43"/>
      <c r="H1353" s="3" t="s">
        <v>4146</v>
      </c>
      <c r="I1353"/>
      <c r="J1353" s="166">
        <v>1439</v>
      </c>
      <c r="K1353" s="11" t="s">
        <v>4147</v>
      </c>
      <c r="L1353" s="11" t="s">
        <v>4158</v>
      </c>
      <c r="M1353" s="13">
        <v>45703</v>
      </c>
      <c r="N1353" s="86">
        <v>1807.33</v>
      </c>
      <c r="O1353" s="28" t="s">
        <v>20</v>
      </c>
      <c r="P1353" s="1" t="s">
        <v>106</v>
      </c>
      <c r="Q1353" s="32"/>
      <c r="R1353" s="191" t="s">
        <v>5016</v>
      </c>
    </row>
    <row r="1354" spans="1:18" ht="15.75" customHeight="1" x14ac:dyDescent="0.3">
      <c r="A1354" s="8" t="s">
        <v>4159</v>
      </c>
      <c r="B1354" s="8" t="s">
        <v>4159</v>
      </c>
      <c r="C1354" s="11" t="s">
        <v>4489</v>
      </c>
      <c r="D1354" t="s">
        <v>4494</v>
      </c>
      <c r="E1354" s="12"/>
      <c r="F1354" s="43"/>
      <c r="G1354" s="43"/>
      <c r="H1354" s="14" t="s">
        <v>4160</v>
      </c>
      <c r="I1354"/>
      <c r="J1354" s="166">
        <v>6701</v>
      </c>
      <c r="K1354" s="3" t="s">
        <v>4161</v>
      </c>
      <c r="L1354" s="11" t="s">
        <v>4162</v>
      </c>
      <c r="M1354" s="29">
        <v>45733</v>
      </c>
      <c r="N1354" s="86">
        <v>3597.11</v>
      </c>
      <c r="O1354" s="28"/>
      <c r="P1354" s="1" t="s">
        <v>44</v>
      </c>
      <c r="Q1354" s="32"/>
      <c r="R1354" s="191" t="s">
        <v>5017</v>
      </c>
    </row>
    <row r="1355" spans="1:18" ht="15.75" customHeight="1" x14ac:dyDescent="0.3">
      <c r="A1355" s="129" t="s">
        <v>4163</v>
      </c>
      <c r="B1355" s="8" t="s">
        <v>4163</v>
      </c>
      <c r="C1355" s="14" t="s">
        <v>4520</v>
      </c>
      <c r="D1355" t="s">
        <v>4492</v>
      </c>
      <c r="E1355" s="12"/>
      <c r="F1355" s="43"/>
      <c r="G1355" s="43"/>
      <c r="H1355" s="14" t="s">
        <v>4164</v>
      </c>
      <c r="I1355"/>
      <c r="J1355" s="166">
        <v>65489</v>
      </c>
      <c r="K1355" s="3" t="s">
        <v>1148</v>
      </c>
      <c r="L1355" s="11" t="s">
        <v>588</v>
      </c>
      <c r="M1355" s="29">
        <v>45715</v>
      </c>
      <c r="N1355" s="86">
        <v>4480</v>
      </c>
      <c r="O1355" s="28" t="s">
        <v>20</v>
      </c>
      <c r="P1355" s="1" t="s">
        <v>91</v>
      </c>
      <c r="Q1355" s="32"/>
      <c r="R1355" s="191">
        <v>4480</v>
      </c>
    </row>
    <row r="1356" spans="1:18" ht="15.75" customHeight="1" x14ac:dyDescent="0.3">
      <c r="A1356" s="129" t="s">
        <v>4165</v>
      </c>
      <c r="B1356" s="8" t="s">
        <v>4165</v>
      </c>
      <c r="C1356" s="14" t="s">
        <v>4520</v>
      </c>
      <c r="D1356" t="s">
        <v>4496</v>
      </c>
      <c r="E1356" s="12"/>
      <c r="F1356" s="43"/>
      <c r="G1356" s="43"/>
      <c r="H1356" s="14" t="s">
        <v>3699</v>
      </c>
      <c r="I1356"/>
      <c r="J1356" s="166">
        <v>2110</v>
      </c>
      <c r="K1356" s="3" t="s">
        <v>735</v>
      </c>
      <c r="L1356" s="11" t="s">
        <v>105</v>
      </c>
      <c r="M1356" s="29">
        <v>45714</v>
      </c>
      <c r="N1356" s="86">
        <v>1619</v>
      </c>
      <c r="O1356" s="28" t="s">
        <v>20</v>
      </c>
      <c r="P1356" s="1" t="s">
        <v>106</v>
      </c>
      <c r="Q1356" s="32" t="s">
        <v>4716</v>
      </c>
      <c r="R1356" s="191">
        <v>1619</v>
      </c>
    </row>
    <row r="1357" spans="1:18" ht="15.75" customHeight="1" x14ac:dyDescent="0.3">
      <c r="A1357" s="8" t="s">
        <v>4166</v>
      </c>
      <c r="B1357" s="8" t="s">
        <v>4166</v>
      </c>
      <c r="C1357" s="11" t="s">
        <v>4489</v>
      </c>
      <c r="D1357" t="s">
        <v>4493</v>
      </c>
      <c r="E1357" s="12"/>
      <c r="F1357" s="43"/>
      <c r="G1357" s="43"/>
      <c r="H1357" s="11" t="s">
        <v>4167</v>
      </c>
      <c r="I1357"/>
      <c r="J1357" s="166">
        <v>72564</v>
      </c>
      <c r="K1357" s="3" t="s">
        <v>3308</v>
      </c>
      <c r="L1357" s="11" t="s">
        <v>551</v>
      </c>
      <c r="M1357" s="29">
        <v>45756</v>
      </c>
      <c r="N1357" s="86">
        <v>2632.45</v>
      </c>
      <c r="O1357" s="28" t="s">
        <v>20</v>
      </c>
      <c r="P1357" s="1" t="s">
        <v>78</v>
      </c>
      <c r="Q1357" s="32"/>
      <c r="R1357" s="191" t="s">
        <v>5018</v>
      </c>
    </row>
    <row r="1358" spans="1:18" ht="15.75" customHeight="1" x14ac:dyDescent="0.3">
      <c r="A1358" s="129" t="s">
        <v>4168</v>
      </c>
      <c r="B1358" s="129" t="s">
        <v>4168</v>
      </c>
      <c r="C1358" s="142" t="s">
        <v>4520</v>
      </c>
      <c r="D1358" t="s">
        <v>4496</v>
      </c>
      <c r="E1358" s="143"/>
      <c r="F1358" s="144"/>
      <c r="G1358" s="144"/>
      <c r="H1358" s="132" t="s">
        <v>4169</v>
      </c>
      <c r="I1358"/>
      <c r="J1358" s="183">
        <v>319</v>
      </c>
      <c r="K1358" s="132" t="s">
        <v>3958</v>
      </c>
      <c r="L1358" s="142" t="s">
        <v>934</v>
      </c>
      <c r="M1358" s="148">
        <v>45723</v>
      </c>
      <c r="N1358" s="152">
        <v>4700</v>
      </c>
      <c r="O1358" s="153" t="s">
        <v>20</v>
      </c>
      <c r="P1358" s="1" t="s">
        <v>106</v>
      </c>
      <c r="Q1358" s="32"/>
      <c r="R1358" s="191">
        <v>4700</v>
      </c>
    </row>
    <row r="1359" spans="1:18" ht="15.75" customHeight="1" x14ac:dyDescent="0.3">
      <c r="A1359" s="129" t="s">
        <v>4170</v>
      </c>
      <c r="B1359" s="129" t="s">
        <v>4170</v>
      </c>
      <c r="C1359" s="11" t="s">
        <v>4489</v>
      </c>
      <c r="D1359" t="s">
        <v>4494</v>
      </c>
      <c r="E1359" s="143"/>
      <c r="F1359" s="144"/>
      <c r="G1359" s="144"/>
      <c r="H1359" s="3" t="s">
        <v>4171</v>
      </c>
      <c r="I1359"/>
      <c r="J1359" s="166">
        <v>2095</v>
      </c>
      <c r="K1359" s="3" t="s">
        <v>4172</v>
      </c>
      <c r="L1359" s="11" t="s">
        <v>4173</v>
      </c>
      <c r="M1359" s="29">
        <v>45730</v>
      </c>
      <c r="N1359" s="86">
        <v>3676</v>
      </c>
      <c r="O1359" s="28"/>
      <c r="P1359" s="1" t="s">
        <v>44</v>
      </c>
      <c r="Q1359" s="32"/>
      <c r="R1359" s="191">
        <v>3676</v>
      </c>
    </row>
    <row r="1360" spans="1:18" ht="15.75" customHeight="1" x14ac:dyDescent="0.3">
      <c r="A1360" s="129" t="s">
        <v>4174</v>
      </c>
      <c r="B1360" s="129" t="s">
        <v>4174</v>
      </c>
      <c r="C1360" s="11" t="s">
        <v>4489</v>
      </c>
      <c r="D1360" t="s">
        <v>4493</v>
      </c>
      <c r="E1360" s="143"/>
      <c r="F1360" s="144"/>
      <c r="G1360" s="144"/>
      <c r="H1360" s="3" t="s">
        <v>2444</v>
      </c>
      <c r="I1360"/>
      <c r="J1360" s="166">
        <v>2176</v>
      </c>
      <c r="K1360" s="3" t="s">
        <v>735</v>
      </c>
      <c r="L1360" s="11" t="s">
        <v>105</v>
      </c>
      <c r="M1360" s="29">
        <v>45734</v>
      </c>
      <c r="N1360" s="86">
        <v>1701.94</v>
      </c>
      <c r="O1360" s="28" t="s">
        <v>20</v>
      </c>
      <c r="P1360" s="30" t="s">
        <v>78</v>
      </c>
      <c r="Q1360" s="32"/>
      <c r="R1360" s="191" t="s">
        <v>5019</v>
      </c>
    </row>
    <row r="1361" spans="1:18" ht="15.75" customHeight="1" x14ac:dyDescent="0.3">
      <c r="A1361" s="129" t="s">
        <v>4175</v>
      </c>
      <c r="B1361" s="129" t="s">
        <v>4175</v>
      </c>
      <c r="C1361" s="11" t="s">
        <v>4489</v>
      </c>
      <c r="D1361" t="s">
        <v>4492</v>
      </c>
      <c r="E1361" s="143"/>
      <c r="F1361" s="144"/>
      <c r="G1361" s="144"/>
      <c r="H1361" s="3" t="s">
        <v>108</v>
      </c>
      <c r="I1361" t="s">
        <v>4533</v>
      </c>
      <c r="J1361" s="166">
        <v>270</v>
      </c>
      <c r="K1361" s="3" t="s">
        <v>109</v>
      </c>
      <c r="L1361" s="11" t="s">
        <v>110</v>
      </c>
      <c r="M1361" s="29">
        <v>45736</v>
      </c>
      <c r="N1361" s="86">
        <v>187471.03</v>
      </c>
      <c r="O1361" s="28"/>
      <c r="P1361" s="30" t="s">
        <v>91</v>
      </c>
      <c r="Q1361" s="32"/>
      <c r="R1361" s="191" t="s">
        <v>5020</v>
      </c>
    </row>
    <row r="1362" spans="1:18" ht="15.75" customHeight="1" x14ac:dyDescent="0.3">
      <c r="A1362" s="129" t="s">
        <v>4176</v>
      </c>
      <c r="B1362" s="129" t="s">
        <v>4176</v>
      </c>
      <c r="C1362" s="11" t="s">
        <v>4489</v>
      </c>
      <c r="D1362" t="s">
        <v>4492</v>
      </c>
      <c r="E1362" s="143"/>
      <c r="F1362" s="144"/>
      <c r="G1362" s="144"/>
      <c r="H1362" s="3" t="s">
        <v>4177</v>
      </c>
      <c r="I1362"/>
      <c r="J1362" s="166">
        <v>72381</v>
      </c>
      <c r="K1362" s="3" t="s">
        <v>3308</v>
      </c>
      <c r="L1362" s="11" t="s">
        <v>551</v>
      </c>
      <c r="M1362" s="29">
        <v>45749</v>
      </c>
      <c r="N1362" s="86">
        <v>2632.45</v>
      </c>
      <c r="O1362" s="28"/>
      <c r="P1362" s="1" t="s">
        <v>91</v>
      </c>
      <c r="Q1362" s="32"/>
      <c r="R1362" s="191" t="s">
        <v>5018</v>
      </c>
    </row>
    <row r="1363" spans="1:18" ht="15.75" customHeight="1" x14ac:dyDescent="0.3">
      <c r="A1363" s="138" t="s">
        <v>4178</v>
      </c>
      <c r="B1363" s="138" t="s">
        <v>4178</v>
      </c>
      <c r="C1363" s="3" t="s">
        <v>4489</v>
      </c>
      <c r="D1363" t="s">
        <v>4492</v>
      </c>
      <c r="E1363"/>
      <c r="F1363"/>
      <c r="G1363"/>
      <c r="H1363" s="19" t="s">
        <v>4179</v>
      </c>
      <c r="I1363"/>
      <c r="J1363" s="184"/>
      <c r="K1363" s="18"/>
      <c r="L1363" s="18"/>
      <c r="M1363" s="21"/>
      <c r="N1363" s="86">
        <v>0</v>
      </c>
      <c r="O1363" s="25"/>
      <c r="P1363" s="24" t="s">
        <v>91</v>
      </c>
      <c r="Q1363" s="32"/>
      <c r="R1363" s="191">
        <v>0</v>
      </c>
    </row>
    <row r="1364" spans="1:18" ht="15.75" customHeight="1" x14ac:dyDescent="0.3">
      <c r="A1364" s="138" t="s">
        <v>4180</v>
      </c>
      <c r="B1364" s="138" t="s">
        <v>4180</v>
      </c>
      <c r="C1364" s="3" t="s">
        <v>4489</v>
      </c>
      <c r="D1364" t="s">
        <v>4492</v>
      </c>
      <c r="E1364"/>
      <c r="F1364"/>
      <c r="G1364"/>
      <c r="H1364" s="19" t="s">
        <v>4181</v>
      </c>
      <c r="I1364"/>
      <c r="J1364" s="184"/>
      <c r="K1364" s="18"/>
      <c r="L1364" s="18"/>
      <c r="M1364" s="21"/>
      <c r="N1364" s="86">
        <v>0</v>
      </c>
      <c r="O1364" s="25"/>
      <c r="P1364" s="24" t="s">
        <v>91</v>
      </c>
      <c r="Q1364" s="32"/>
      <c r="R1364" s="191">
        <v>0</v>
      </c>
    </row>
    <row r="1365" spans="1:18" ht="15.75" customHeight="1" x14ac:dyDescent="0.3">
      <c r="A1365" s="138" t="s">
        <v>4182</v>
      </c>
      <c r="B1365" s="19" t="s">
        <v>4182</v>
      </c>
      <c r="C1365" s="3" t="s">
        <v>4489</v>
      </c>
      <c r="D1365" t="s">
        <v>4492</v>
      </c>
      <c r="E1365"/>
      <c r="F1365"/>
      <c r="G1365"/>
      <c r="H1365" s="19" t="s">
        <v>4183</v>
      </c>
      <c r="I1365"/>
      <c r="J1365" s="184"/>
      <c r="K1365" s="18"/>
      <c r="L1365" s="18"/>
      <c r="M1365" s="21"/>
      <c r="N1365" s="86">
        <v>0</v>
      </c>
      <c r="O1365" s="25"/>
      <c r="P1365" s="24" t="s">
        <v>91</v>
      </c>
      <c r="Q1365" s="32"/>
      <c r="R1365" s="191">
        <v>0</v>
      </c>
    </row>
    <row r="1366" spans="1:18" ht="15.75" customHeight="1" x14ac:dyDescent="0.3">
      <c r="A1366" s="138" t="s">
        <v>4184</v>
      </c>
      <c r="B1366" s="19" t="s">
        <v>4184</v>
      </c>
      <c r="C1366" s="3" t="s">
        <v>4489</v>
      </c>
      <c r="D1366" t="s">
        <v>4492</v>
      </c>
      <c r="E1366"/>
      <c r="F1366"/>
      <c r="G1366"/>
      <c r="H1366" s="19" t="s">
        <v>4185</v>
      </c>
      <c r="I1366"/>
      <c r="J1366" s="184"/>
      <c r="K1366" s="18"/>
      <c r="L1366" s="18"/>
      <c r="M1366" s="21"/>
      <c r="N1366" s="86">
        <v>0</v>
      </c>
      <c r="O1366" s="25"/>
      <c r="P1366" s="24" t="s">
        <v>91</v>
      </c>
      <c r="Q1366" s="32"/>
      <c r="R1366" s="191">
        <v>0</v>
      </c>
    </row>
    <row r="1367" spans="1:18" ht="15.75" customHeight="1" x14ac:dyDescent="0.3">
      <c r="A1367" s="138" t="s">
        <v>4186</v>
      </c>
      <c r="B1367" s="19" t="s">
        <v>4186</v>
      </c>
      <c r="C1367" s="3" t="s">
        <v>4489</v>
      </c>
      <c r="D1367" t="s">
        <v>4492</v>
      </c>
      <c r="E1367"/>
      <c r="F1367"/>
      <c r="G1367"/>
      <c r="H1367" s="19" t="s">
        <v>4187</v>
      </c>
      <c r="I1367"/>
      <c r="J1367" s="184"/>
      <c r="K1367" s="18"/>
      <c r="L1367" s="18"/>
      <c r="M1367" s="21"/>
      <c r="N1367" s="86">
        <v>0</v>
      </c>
      <c r="O1367" s="25"/>
      <c r="P1367" s="24" t="s">
        <v>91</v>
      </c>
      <c r="Q1367" s="32"/>
      <c r="R1367" s="191">
        <v>0</v>
      </c>
    </row>
    <row r="1368" spans="1:18" ht="15.75" customHeight="1" x14ac:dyDescent="0.3">
      <c r="A1368" s="138" t="s">
        <v>4188</v>
      </c>
      <c r="B1368" s="19" t="s">
        <v>4188</v>
      </c>
      <c r="C1368" s="3" t="s">
        <v>4489</v>
      </c>
      <c r="D1368" t="s">
        <v>4492</v>
      </c>
      <c r="E1368"/>
      <c r="F1368"/>
      <c r="G1368"/>
      <c r="H1368" s="19" t="s">
        <v>4189</v>
      </c>
      <c r="I1368"/>
      <c r="J1368" s="184"/>
      <c r="K1368" s="18"/>
      <c r="L1368" s="18"/>
      <c r="M1368" s="21"/>
      <c r="N1368" s="86">
        <v>0</v>
      </c>
      <c r="O1368" s="25"/>
      <c r="P1368" s="24" t="s">
        <v>91</v>
      </c>
      <c r="Q1368" s="32"/>
      <c r="R1368" s="191">
        <v>0</v>
      </c>
    </row>
    <row r="1369" spans="1:18" ht="15.75" customHeight="1" x14ac:dyDescent="0.3">
      <c r="A1369" s="138" t="s">
        <v>4190</v>
      </c>
      <c r="B1369" s="19" t="s">
        <v>4190</v>
      </c>
      <c r="C1369" s="3" t="s">
        <v>4489</v>
      </c>
      <c r="D1369" t="s">
        <v>4492</v>
      </c>
      <c r="E1369"/>
      <c r="F1369"/>
      <c r="G1369"/>
      <c r="H1369" s="19" t="s">
        <v>4191</v>
      </c>
      <c r="I1369"/>
      <c r="J1369" s="184"/>
      <c r="K1369" s="18"/>
      <c r="L1369" s="18"/>
      <c r="M1369" s="21"/>
      <c r="N1369" s="86">
        <v>0</v>
      </c>
      <c r="O1369" s="25"/>
      <c r="P1369" s="24" t="s">
        <v>91</v>
      </c>
      <c r="Q1369" s="32"/>
      <c r="R1369" s="191">
        <v>0</v>
      </c>
    </row>
    <row r="1370" spans="1:18" ht="15.75" customHeight="1" x14ac:dyDescent="0.3">
      <c r="A1370" s="138" t="s">
        <v>4192</v>
      </c>
      <c r="B1370" s="19" t="s">
        <v>4192</v>
      </c>
      <c r="C1370" s="3" t="s">
        <v>4489</v>
      </c>
      <c r="D1370" t="s">
        <v>4492</v>
      </c>
      <c r="E1370"/>
      <c r="F1370"/>
      <c r="G1370"/>
      <c r="H1370" s="19" t="s">
        <v>4193</v>
      </c>
      <c r="I1370"/>
      <c r="J1370" s="184"/>
      <c r="K1370" s="18"/>
      <c r="L1370" s="18"/>
      <c r="M1370" s="21"/>
      <c r="N1370" s="152">
        <v>0</v>
      </c>
      <c r="O1370" s="25"/>
      <c r="P1370" s="24" t="s">
        <v>91</v>
      </c>
      <c r="Q1370" s="32"/>
      <c r="R1370" s="191">
        <v>0</v>
      </c>
    </row>
    <row r="1371" spans="1:18" ht="15.75" customHeight="1" x14ac:dyDescent="0.3">
      <c r="A1371" s="138" t="s">
        <v>4194</v>
      </c>
      <c r="B1371" s="19" t="s">
        <v>4194</v>
      </c>
      <c r="C1371" s="3" t="s">
        <v>4489</v>
      </c>
      <c r="D1371" t="s">
        <v>4492</v>
      </c>
      <c r="E1371"/>
      <c r="F1371"/>
      <c r="G1371"/>
      <c r="H1371" s="19" t="s">
        <v>4195</v>
      </c>
      <c r="I1371"/>
      <c r="J1371" s="184"/>
      <c r="K1371" s="18"/>
      <c r="L1371" s="18"/>
      <c r="M1371" s="21"/>
      <c r="N1371" s="86">
        <v>0</v>
      </c>
      <c r="O1371" s="25"/>
      <c r="P1371" s="24" t="s">
        <v>91</v>
      </c>
      <c r="Q1371" s="32"/>
      <c r="R1371" s="191">
        <v>0</v>
      </c>
    </row>
    <row r="1372" spans="1:18" ht="15.75" customHeight="1" x14ac:dyDescent="0.3">
      <c r="A1372" s="138" t="s">
        <v>4196</v>
      </c>
      <c r="B1372" s="19" t="s">
        <v>4196</v>
      </c>
      <c r="C1372" s="3" t="s">
        <v>4489</v>
      </c>
      <c r="D1372" t="s">
        <v>4492</v>
      </c>
      <c r="E1372"/>
      <c r="F1372"/>
      <c r="G1372"/>
      <c r="H1372" s="19" t="s">
        <v>4197</v>
      </c>
      <c r="I1372"/>
      <c r="J1372" s="184"/>
      <c r="K1372" s="18"/>
      <c r="L1372" s="18"/>
      <c r="M1372" s="21"/>
      <c r="N1372" s="86">
        <v>0</v>
      </c>
      <c r="O1372" s="25"/>
      <c r="P1372" s="24" t="s">
        <v>91</v>
      </c>
      <c r="Q1372" s="32"/>
      <c r="R1372" s="191">
        <v>0</v>
      </c>
    </row>
    <row r="1373" spans="1:18" ht="15.75" customHeight="1" x14ac:dyDescent="0.3">
      <c r="A1373" s="129" t="s">
        <v>4198</v>
      </c>
      <c r="B1373" s="8" t="s">
        <v>4198</v>
      </c>
      <c r="C1373" s="3" t="s">
        <v>4489</v>
      </c>
      <c r="D1373" t="s">
        <v>4492</v>
      </c>
      <c r="E1373"/>
      <c r="F1373"/>
      <c r="G1373"/>
      <c r="H1373" s="3" t="s">
        <v>4199</v>
      </c>
      <c r="I1373"/>
      <c r="J1373" s="166">
        <v>454</v>
      </c>
      <c r="K1373" s="3" t="s">
        <v>3409</v>
      </c>
      <c r="L1373" s="15" t="s">
        <v>2546</v>
      </c>
      <c r="M1373" s="29">
        <v>45861</v>
      </c>
      <c r="N1373" s="86">
        <v>93880</v>
      </c>
      <c r="O1373" s="125"/>
      <c r="P1373" s="1" t="s">
        <v>91</v>
      </c>
      <c r="Q1373" s="32"/>
      <c r="R1373" s="191">
        <v>93880</v>
      </c>
    </row>
    <row r="1374" spans="1:18" ht="15.75" customHeight="1" x14ac:dyDescent="0.3">
      <c r="A1374" s="132" t="s">
        <v>4200</v>
      </c>
      <c r="B1374" s="3" t="s">
        <v>4200</v>
      </c>
      <c r="C1374" s="11" t="s">
        <v>4487</v>
      </c>
      <c r="D1374" t="s">
        <v>4496</v>
      </c>
      <c r="E1374" t="s">
        <v>4201</v>
      </c>
      <c r="F1374" t="s">
        <v>4202</v>
      </c>
      <c r="G1374" t="s">
        <v>4661</v>
      </c>
      <c r="H1374" s="3" t="s">
        <v>4203</v>
      </c>
      <c r="I1374" t="s">
        <v>4601</v>
      </c>
      <c r="J1374" s="166">
        <v>258971</v>
      </c>
      <c r="K1374" s="3" t="s">
        <v>1748</v>
      </c>
      <c r="L1374" s="11" t="s">
        <v>2270</v>
      </c>
      <c r="M1374" s="13">
        <v>45733</v>
      </c>
      <c r="N1374" s="86">
        <v>231559.81</v>
      </c>
      <c r="O1374" s="76"/>
      <c r="P1374" s="1" t="s">
        <v>106</v>
      </c>
      <c r="Q1374" s="32"/>
      <c r="R1374" s="191" t="s">
        <v>5021</v>
      </c>
    </row>
    <row r="1375" spans="1:18" ht="15.75" customHeight="1" x14ac:dyDescent="0.3">
      <c r="A1375" s="138" t="s">
        <v>4204</v>
      </c>
      <c r="B1375" s="19" t="s">
        <v>4204</v>
      </c>
      <c r="C1375" s="3" t="s">
        <v>4489</v>
      </c>
      <c r="D1375" t="s">
        <v>4492</v>
      </c>
      <c r="E1375"/>
      <c r="F1375"/>
      <c r="G1375"/>
      <c r="H1375" s="19" t="s">
        <v>4206</v>
      </c>
      <c r="I1375"/>
      <c r="J1375" s="184"/>
      <c r="K1375" s="18"/>
      <c r="L1375" s="18"/>
      <c r="M1375" s="21"/>
      <c r="N1375" s="89">
        <v>640691</v>
      </c>
      <c r="O1375" s="76"/>
      <c r="P1375" s="24" t="s">
        <v>91</v>
      </c>
      <c r="Q1375" s="32"/>
      <c r="R1375" s="194">
        <v>640691</v>
      </c>
    </row>
    <row r="1376" spans="1:18" ht="15.75" customHeight="1" x14ac:dyDescent="0.3">
      <c r="A1376" s="138" t="s">
        <v>4207</v>
      </c>
      <c r="B1376" s="19" t="s">
        <v>4207</v>
      </c>
      <c r="C1376" s="3" t="s">
        <v>4489</v>
      </c>
      <c r="D1376" t="s">
        <v>4492</v>
      </c>
      <c r="E1376" s="51"/>
      <c r="F1376" s="48" t="s">
        <v>4205</v>
      </c>
      <c r="G1376" s="48"/>
      <c r="H1376" s="19" t="s">
        <v>4208</v>
      </c>
      <c r="I1376"/>
      <c r="J1376" s="184"/>
      <c r="K1376" s="18"/>
      <c r="L1376" s="18"/>
      <c r="M1376" s="21"/>
      <c r="N1376" s="86">
        <v>0</v>
      </c>
      <c r="O1376" s="25"/>
      <c r="P1376" s="24" t="s">
        <v>91</v>
      </c>
      <c r="Q1376" s="32"/>
      <c r="R1376" s="191">
        <v>0</v>
      </c>
    </row>
    <row r="1377" spans="1:18" ht="15.75" customHeight="1" x14ac:dyDescent="0.3">
      <c r="A1377" s="142" t="s">
        <v>4209</v>
      </c>
      <c r="B1377" s="11" t="s">
        <v>4209</v>
      </c>
      <c r="C1377" s="11" t="s">
        <v>4519</v>
      </c>
      <c r="D1377" t="s">
        <v>4492</v>
      </c>
      <c r="E1377" s="144"/>
      <c r="F1377" s="43"/>
      <c r="G1377" s="43"/>
      <c r="H1377" s="11" t="s">
        <v>3434</v>
      </c>
      <c r="I1377"/>
      <c r="J1377" s="170">
        <v>690</v>
      </c>
      <c r="K1377" s="11" t="s">
        <v>3396</v>
      </c>
      <c r="L1377" s="11" t="s">
        <v>3397</v>
      </c>
      <c r="M1377" s="13">
        <v>45799</v>
      </c>
      <c r="N1377" s="90">
        <v>2775</v>
      </c>
      <c r="O1377" s="28"/>
      <c r="P1377" s="1" t="s">
        <v>91</v>
      </c>
      <c r="Q1377" s="32"/>
      <c r="R1377" s="193">
        <v>2775</v>
      </c>
    </row>
    <row r="1378" spans="1:18" ht="15.75" customHeight="1" x14ac:dyDescent="0.3">
      <c r="A1378" s="132" t="s">
        <v>4210</v>
      </c>
      <c r="B1378" s="3" t="s">
        <v>4210</v>
      </c>
      <c r="C1378" s="3" t="s">
        <v>4519</v>
      </c>
      <c r="D1378" t="s">
        <v>4492</v>
      </c>
      <c r="E1378" s="143"/>
      <c r="F1378" s="12"/>
      <c r="G1378" s="12"/>
      <c r="H1378" s="3" t="s">
        <v>3434</v>
      </c>
      <c r="I1378"/>
      <c r="J1378" s="166">
        <v>690</v>
      </c>
      <c r="K1378" s="3" t="s">
        <v>3396</v>
      </c>
      <c r="L1378" s="11" t="s">
        <v>3397</v>
      </c>
      <c r="M1378" s="29">
        <v>45799</v>
      </c>
      <c r="N1378" s="86">
        <v>2775</v>
      </c>
      <c r="O1378" s="28" t="s">
        <v>20</v>
      </c>
      <c r="P1378" s="1" t="s">
        <v>91</v>
      </c>
      <c r="Q1378" s="32"/>
      <c r="R1378" s="191">
        <v>2775</v>
      </c>
    </row>
    <row r="1379" spans="1:18" ht="15.75" customHeight="1" x14ac:dyDescent="0.3">
      <c r="A1379" s="142" t="s">
        <v>4211</v>
      </c>
      <c r="B1379" s="11" t="s">
        <v>4211</v>
      </c>
      <c r="C1379" s="11" t="s">
        <v>4519</v>
      </c>
      <c r="D1379" t="s">
        <v>4492</v>
      </c>
      <c r="E1379" s="144"/>
      <c r="F1379" s="43"/>
      <c r="G1379" s="43"/>
      <c r="H1379" s="11" t="s">
        <v>3434</v>
      </c>
      <c r="I1379"/>
      <c r="J1379" s="170">
        <v>690</v>
      </c>
      <c r="K1379" s="11" t="s">
        <v>3396</v>
      </c>
      <c r="L1379" s="11" t="s">
        <v>3397</v>
      </c>
      <c r="M1379" s="13">
        <v>45799</v>
      </c>
      <c r="N1379" s="90">
        <v>2775</v>
      </c>
      <c r="O1379" s="25"/>
      <c r="P1379" s="1" t="s">
        <v>91</v>
      </c>
      <c r="Q1379" s="32"/>
      <c r="R1379" s="193">
        <v>2775</v>
      </c>
    </row>
    <row r="1380" spans="1:18" ht="15.75" customHeight="1" x14ac:dyDescent="0.3">
      <c r="A1380" s="142" t="s">
        <v>4212</v>
      </c>
      <c r="B1380" s="11" t="s">
        <v>4212</v>
      </c>
      <c r="C1380" s="11" t="s">
        <v>4519</v>
      </c>
      <c r="D1380" t="s">
        <v>4492</v>
      </c>
      <c r="E1380" s="144"/>
      <c r="F1380" s="43"/>
      <c r="G1380" s="43"/>
      <c r="H1380" s="11" t="s">
        <v>3434</v>
      </c>
      <c r="I1380"/>
      <c r="J1380" s="170">
        <v>690</v>
      </c>
      <c r="K1380" s="11" t="s">
        <v>3396</v>
      </c>
      <c r="L1380" s="11" t="s">
        <v>3397</v>
      </c>
      <c r="M1380" s="13">
        <v>45799</v>
      </c>
      <c r="N1380" s="90">
        <v>2775</v>
      </c>
      <c r="O1380" s="28"/>
      <c r="P1380" s="1" t="s">
        <v>91</v>
      </c>
      <c r="Q1380" s="32"/>
      <c r="R1380" s="193">
        <v>2775</v>
      </c>
    </row>
    <row r="1381" spans="1:18" ht="15.75" customHeight="1" x14ac:dyDescent="0.3">
      <c r="A1381" s="142" t="s">
        <v>4213</v>
      </c>
      <c r="B1381" s="11" t="s">
        <v>4213</v>
      </c>
      <c r="C1381" s="11" t="s">
        <v>4519</v>
      </c>
      <c r="D1381" t="s">
        <v>4492</v>
      </c>
      <c r="E1381" s="144"/>
      <c r="F1381" s="43"/>
      <c r="G1381" s="43"/>
      <c r="H1381" s="11" t="s">
        <v>3434</v>
      </c>
      <c r="I1381"/>
      <c r="J1381" s="170">
        <v>690</v>
      </c>
      <c r="K1381" s="11" t="s">
        <v>3396</v>
      </c>
      <c r="L1381" s="11" t="s">
        <v>3397</v>
      </c>
      <c r="M1381" s="13">
        <v>45799</v>
      </c>
      <c r="N1381" s="90">
        <v>2775</v>
      </c>
      <c r="O1381" s="28"/>
      <c r="P1381" s="1" t="s">
        <v>91</v>
      </c>
      <c r="Q1381" s="32"/>
      <c r="R1381" s="193">
        <v>2775</v>
      </c>
    </row>
    <row r="1382" spans="1:18" ht="15.75" customHeight="1" x14ac:dyDescent="0.3">
      <c r="A1382" s="142" t="s">
        <v>4214</v>
      </c>
      <c r="B1382" s="11" t="s">
        <v>4214</v>
      </c>
      <c r="C1382" s="11" t="s">
        <v>4519</v>
      </c>
      <c r="D1382" t="s">
        <v>4492</v>
      </c>
      <c r="E1382" s="144"/>
      <c r="F1382" s="43"/>
      <c r="G1382" s="43"/>
      <c r="H1382" s="11" t="s">
        <v>3434</v>
      </c>
      <c r="I1382"/>
      <c r="J1382" s="170">
        <v>690</v>
      </c>
      <c r="K1382" s="11" t="s">
        <v>3396</v>
      </c>
      <c r="L1382" s="11" t="s">
        <v>3397</v>
      </c>
      <c r="M1382" s="13">
        <v>45799</v>
      </c>
      <c r="N1382" s="90">
        <v>2775</v>
      </c>
      <c r="O1382" s="28"/>
      <c r="P1382" s="1" t="s">
        <v>91</v>
      </c>
      <c r="Q1382" s="32"/>
      <c r="R1382" s="193">
        <v>2775</v>
      </c>
    </row>
    <row r="1383" spans="1:18" ht="15.75" customHeight="1" x14ac:dyDescent="0.3">
      <c r="A1383" s="142" t="s">
        <v>4215</v>
      </c>
      <c r="B1383" s="11" t="s">
        <v>4215</v>
      </c>
      <c r="C1383" s="11" t="s">
        <v>4519</v>
      </c>
      <c r="D1383" t="s">
        <v>4492</v>
      </c>
      <c r="E1383" s="144"/>
      <c r="F1383" s="43"/>
      <c r="G1383" s="43"/>
      <c r="H1383" s="11" t="s">
        <v>3434</v>
      </c>
      <c r="I1383"/>
      <c r="J1383" s="170">
        <v>690</v>
      </c>
      <c r="K1383" s="11" t="s">
        <v>3396</v>
      </c>
      <c r="L1383" s="11" t="s">
        <v>3397</v>
      </c>
      <c r="M1383" s="13">
        <v>45799</v>
      </c>
      <c r="N1383" s="90">
        <v>2775</v>
      </c>
      <c r="O1383" s="28"/>
      <c r="P1383" s="1" t="s">
        <v>91</v>
      </c>
      <c r="Q1383" s="32"/>
      <c r="R1383" s="193">
        <v>2775</v>
      </c>
    </row>
    <row r="1384" spans="1:18" ht="15.75" customHeight="1" x14ac:dyDescent="0.3">
      <c r="A1384" s="142" t="s">
        <v>4216</v>
      </c>
      <c r="B1384" s="11" t="s">
        <v>4216</v>
      </c>
      <c r="C1384" s="11" t="s">
        <v>4519</v>
      </c>
      <c r="D1384" t="s">
        <v>4492</v>
      </c>
      <c r="E1384" s="144"/>
      <c r="F1384" s="43"/>
      <c r="G1384" s="43"/>
      <c r="H1384" s="11" t="s">
        <v>3434</v>
      </c>
      <c r="I1384"/>
      <c r="J1384" s="170">
        <v>690</v>
      </c>
      <c r="K1384" s="11" t="s">
        <v>3396</v>
      </c>
      <c r="L1384" s="11" t="s">
        <v>3397</v>
      </c>
      <c r="M1384" s="13">
        <v>45799</v>
      </c>
      <c r="N1384" s="90">
        <v>2775</v>
      </c>
      <c r="O1384" s="28"/>
      <c r="P1384" s="1" t="s">
        <v>91</v>
      </c>
      <c r="Q1384" s="32"/>
      <c r="R1384" s="193">
        <v>2775</v>
      </c>
    </row>
    <row r="1385" spans="1:18" ht="15.75" customHeight="1" x14ac:dyDescent="0.3">
      <c r="A1385" s="132" t="s">
        <v>4217</v>
      </c>
      <c r="B1385" s="3" t="s">
        <v>4217</v>
      </c>
      <c r="C1385" s="11" t="s">
        <v>4489</v>
      </c>
      <c r="D1385" t="s">
        <v>4495</v>
      </c>
      <c r="E1385"/>
      <c r="F1385" t="s">
        <v>4708</v>
      </c>
      <c r="G1385"/>
      <c r="H1385" s="3" t="s">
        <v>4218</v>
      </c>
      <c r="I1385"/>
      <c r="J1385" s="166"/>
      <c r="K1385" s="11"/>
      <c r="L1385" s="11"/>
      <c r="M1385" s="13"/>
      <c r="N1385" s="86">
        <v>645414.29</v>
      </c>
      <c r="O1385" s="28"/>
      <c r="P1385" s="1" t="s">
        <v>66</v>
      </c>
      <c r="Q1385" s="32"/>
      <c r="R1385" s="191" t="s">
        <v>5022</v>
      </c>
    </row>
    <row r="1386" spans="1:18" ht="15.75" customHeight="1" x14ac:dyDescent="0.3">
      <c r="A1386" s="138" t="s">
        <v>4219</v>
      </c>
      <c r="B1386" s="19" t="s">
        <v>4219</v>
      </c>
      <c r="C1386" s="11" t="s">
        <v>4489</v>
      </c>
      <c r="D1386" t="s">
        <v>4495</v>
      </c>
      <c r="E1386"/>
      <c r="F1386" t="s">
        <v>4708</v>
      </c>
      <c r="G1386"/>
      <c r="H1386" s="19" t="s">
        <v>4220</v>
      </c>
      <c r="I1386"/>
      <c r="J1386" s="184"/>
      <c r="K1386" s="11"/>
      <c r="L1386" s="11"/>
      <c r="M1386" s="13"/>
      <c r="N1386" s="86">
        <v>783941.85</v>
      </c>
      <c r="O1386" s="28"/>
      <c r="P1386" s="1" t="s">
        <v>66</v>
      </c>
      <c r="Q1386" s="32"/>
      <c r="R1386" s="191" t="s">
        <v>5023</v>
      </c>
    </row>
    <row r="1387" spans="1:18" ht="15.75" customHeight="1" x14ac:dyDescent="0.3">
      <c r="A1387" s="132" t="s">
        <v>4221</v>
      </c>
      <c r="B1387" s="3" t="s">
        <v>4221</v>
      </c>
      <c r="C1387" s="11" t="s">
        <v>4488</v>
      </c>
      <c r="D1387" t="s">
        <v>4495</v>
      </c>
      <c r="E1387" s="160"/>
      <c r="F1387" t="s">
        <v>4662</v>
      </c>
      <c r="G1387"/>
      <c r="H1387" s="3" t="s">
        <v>4222</v>
      </c>
      <c r="I1387"/>
      <c r="J1387" s="165"/>
      <c r="K1387" s="11"/>
      <c r="L1387" s="11"/>
      <c r="M1387" s="13"/>
      <c r="N1387" s="86">
        <v>106602</v>
      </c>
      <c r="O1387" s="25"/>
      <c r="P1387" s="1" t="s">
        <v>66</v>
      </c>
      <c r="Q1387" s="32"/>
      <c r="R1387" s="191">
        <v>106602</v>
      </c>
    </row>
    <row r="1388" spans="1:18" ht="15.75" customHeight="1" x14ac:dyDescent="0.3">
      <c r="A1388" s="132" t="s">
        <v>4223</v>
      </c>
      <c r="B1388" s="3" t="s">
        <v>4223</v>
      </c>
      <c r="C1388" s="11" t="s">
        <v>4488</v>
      </c>
      <c r="D1388" t="s">
        <v>4495</v>
      </c>
      <c r="E1388"/>
      <c r="F1388" t="s">
        <v>4663</v>
      </c>
      <c r="G1388"/>
      <c r="H1388" s="3" t="s">
        <v>4224</v>
      </c>
      <c r="I1388"/>
      <c r="J1388" s="165"/>
      <c r="K1388" s="11"/>
      <c r="L1388" s="11"/>
      <c r="M1388" s="13"/>
      <c r="N1388" s="86">
        <v>1634957</v>
      </c>
      <c r="O1388" s="25"/>
      <c r="P1388" s="1" t="s">
        <v>66</v>
      </c>
      <c r="Q1388" s="32"/>
      <c r="R1388" s="191">
        <v>1634957</v>
      </c>
    </row>
    <row r="1389" spans="1:18" ht="15.75" customHeight="1" x14ac:dyDescent="0.3">
      <c r="A1389" s="132" t="s">
        <v>4225</v>
      </c>
      <c r="B1389" s="3" t="s">
        <v>4225</v>
      </c>
      <c r="C1389" s="14" t="s">
        <v>4520</v>
      </c>
      <c r="D1389" t="s">
        <v>4492</v>
      </c>
      <c r="E1389" s="143"/>
      <c r="F1389" s="12"/>
      <c r="G1389" s="12"/>
      <c r="H1389" s="3" t="s">
        <v>800</v>
      </c>
      <c r="I1389"/>
      <c r="J1389" s="166">
        <v>30111</v>
      </c>
      <c r="K1389" s="3" t="s">
        <v>196</v>
      </c>
      <c r="L1389" s="11" t="s">
        <v>197</v>
      </c>
      <c r="M1389" s="29">
        <v>45782</v>
      </c>
      <c r="N1389" s="86">
        <v>1999</v>
      </c>
      <c r="O1389" s="28"/>
      <c r="P1389" s="1" t="s">
        <v>91</v>
      </c>
      <c r="Q1389" s="32"/>
      <c r="R1389" s="191">
        <v>1999</v>
      </c>
    </row>
    <row r="1390" spans="1:18" ht="15.75" customHeight="1" x14ac:dyDescent="0.3">
      <c r="A1390" s="132" t="s">
        <v>4226</v>
      </c>
      <c r="B1390" s="3" t="s">
        <v>4226</v>
      </c>
      <c r="C1390" s="11" t="s">
        <v>4518</v>
      </c>
      <c r="D1390" t="s">
        <v>4495</v>
      </c>
      <c r="E1390" s="143"/>
      <c r="F1390" s="12"/>
      <c r="G1390" s="12"/>
      <c r="H1390" s="3" t="s">
        <v>4227</v>
      </c>
      <c r="I1390"/>
      <c r="J1390" s="166">
        <v>258</v>
      </c>
      <c r="K1390" s="11" t="s">
        <v>4228</v>
      </c>
      <c r="L1390" s="3" t="s">
        <v>4229</v>
      </c>
      <c r="M1390" s="29">
        <v>45835</v>
      </c>
      <c r="N1390" s="86">
        <v>35000</v>
      </c>
      <c r="O1390" s="28"/>
      <c r="P1390" s="1" t="s">
        <v>66</v>
      </c>
      <c r="Q1390" s="32"/>
      <c r="R1390" s="191">
        <v>35000</v>
      </c>
    </row>
    <row r="1391" spans="1:18" ht="15.75" customHeight="1" x14ac:dyDescent="0.3">
      <c r="A1391" s="132" t="s">
        <v>4230</v>
      </c>
      <c r="B1391" s="3" t="s">
        <v>4230</v>
      </c>
      <c r="C1391" s="11" t="s">
        <v>4488</v>
      </c>
      <c r="D1391" t="s">
        <v>4495</v>
      </c>
      <c r="E1391"/>
      <c r="F1391" t="s">
        <v>4664</v>
      </c>
      <c r="G1391"/>
      <c r="H1391" s="3" t="s">
        <v>4231</v>
      </c>
      <c r="I1391"/>
      <c r="J1391" s="165"/>
      <c r="K1391" s="11"/>
      <c r="L1391" s="11"/>
      <c r="M1391" s="13">
        <v>45565</v>
      </c>
      <c r="N1391" s="86">
        <v>60076</v>
      </c>
      <c r="O1391" s="25"/>
      <c r="P1391" s="1" t="s">
        <v>66</v>
      </c>
      <c r="Q1391" s="32"/>
      <c r="R1391" s="191">
        <v>60076</v>
      </c>
    </row>
    <row r="1392" spans="1:18" ht="15.75" customHeight="1" x14ac:dyDescent="0.3">
      <c r="A1392" s="132" t="s">
        <v>4232</v>
      </c>
      <c r="B1392" s="3" t="s">
        <v>4232</v>
      </c>
      <c r="C1392" s="11" t="s">
        <v>4489</v>
      </c>
      <c r="D1392" t="s">
        <v>4495</v>
      </c>
      <c r="E1392" s="143"/>
      <c r="F1392" s="12"/>
      <c r="G1392" s="12"/>
      <c r="H1392" s="3" t="s">
        <v>800</v>
      </c>
      <c r="I1392"/>
      <c r="J1392" s="166">
        <v>30209</v>
      </c>
      <c r="K1392" s="3" t="s">
        <v>196</v>
      </c>
      <c r="L1392" s="11" t="s">
        <v>197</v>
      </c>
      <c r="M1392" s="29">
        <v>45785</v>
      </c>
      <c r="N1392" s="86">
        <v>1899</v>
      </c>
      <c r="O1392" s="28"/>
      <c r="P1392" s="1" t="s">
        <v>66</v>
      </c>
      <c r="Q1392" s="32"/>
      <c r="R1392" s="191">
        <v>1899</v>
      </c>
    </row>
    <row r="1393" spans="1:18" ht="15.75" customHeight="1" x14ac:dyDescent="0.3">
      <c r="A1393" s="3" t="s">
        <v>4233</v>
      </c>
      <c r="B1393" s="3" t="s">
        <v>4233</v>
      </c>
      <c r="C1393" s="11" t="s">
        <v>4518</v>
      </c>
      <c r="D1393" t="s">
        <v>4495</v>
      </c>
      <c r="E1393" s="143"/>
      <c r="F1393" s="12"/>
      <c r="G1393" s="12"/>
      <c r="H1393" s="3" t="s">
        <v>4234</v>
      </c>
      <c r="I1393" t="s">
        <v>4602</v>
      </c>
      <c r="J1393" s="166">
        <v>16880</v>
      </c>
      <c r="K1393" s="11" t="s">
        <v>4235</v>
      </c>
      <c r="L1393" s="11" t="s">
        <v>4236</v>
      </c>
      <c r="M1393" s="13">
        <v>45860</v>
      </c>
      <c r="N1393" s="86">
        <v>11455.08</v>
      </c>
      <c r="O1393" s="28"/>
      <c r="P1393" s="1" t="s">
        <v>66</v>
      </c>
      <c r="Q1393" s="32"/>
      <c r="R1393" s="191" t="s">
        <v>5024</v>
      </c>
    </row>
    <row r="1394" spans="1:18" ht="15.75" customHeight="1" x14ac:dyDescent="0.3">
      <c r="A1394" s="3" t="s">
        <v>4237</v>
      </c>
      <c r="B1394" s="3" t="s">
        <v>4237</v>
      </c>
      <c r="C1394" s="11" t="s">
        <v>4518</v>
      </c>
      <c r="D1394" t="s">
        <v>4495</v>
      </c>
      <c r="E1394" s="143"/>
      <c r="F1394" s="12"/>
      <c r="G1394" s="12"/>
      <c r="H1394" s="3" t="s">
        <v>4238</v>
      </c>
      <c r="I1394"/>
      <c r="J1394" s="183">
        <v>16880</v>
      </c>
      <c r="K1394" s="11" t="s">
        <v>4235</v>
      </c>
      <c r="L1394" s="11" t="s">
        <v>4236</v>
      </c>
      <c r="M1394" s="13">
        <v>45860</v>
      </c>
      <c r="N1394" s="86">
        <v>9252.18</v>
      </c>
      <c r="O1394" s="28"/>
      <c r="P1394" s="1" t="s">
        <v>66</v>
      </c>
      <c r="Q1394" s="32"/>
      <c r="R1394" s="191" t="s">
        <v>5025</v>
      </c>
    </row>
    <row r="1395" spans="1:18" ht="15.75" customHeight="1" x14ac:dyDescent="0.3">
      <c r="A1395" s="3" t="s">
        <v>4239</v>
      </c>
      <c r="B1395" s="3" t="s">
        <v>4239</v>
      </c>
      <c r="C1395" s="11" t="s">
        <v>4518</v>
      </c>
      <c r="D1395" t="s">
        <v>4495</v>
      </c>
      <c r="E1395" s="143"/>
      <c r="F1395" s="12"/>
      <c r="G1395" s="12"/>
      <c r="H1395" s="3" t="s">
        <v>4240</v>
      </c>
      <c r="I1395"/>
      <c r="J1395" s="183">
        <v>16880</v>
      </c>
      <c r="K1395" s="11" t="s">
        <v>4235</v>
      </c>
      <c r="L1395" s="11" t="s">
        <v>4236</v>
      </c>
      <c r="M1395" s="13">
        <v>45860</v>
      </c>
      <c r="N1395" s="86">
        <v>7122.71</v>
      </c>
      <c r="O1395" s="28"/>
      <c r="P1395" s="1" t="s">
        <v>66</v>
      </c>
      <c r="Q1395" s="32"/>
      <c r="R1395" s="191" t="s">
        <v>5026</v>
      </c>
    </row>
    <row r="1396" spans="1:18" ht="15.75" customHeight="1" x14ac:dyDescent="0.3">
      <c r="A1396" s="3" t="s">
        <v>4241</v>
      </c>
      <c r="B1396" s="3" t="s">
        <v>4241</v>
      </c>
      <c r="C1396" s="11" t="s">
        <v>4518</v>
      </c>
      <c r="D1396" t="s">
        <v>4495</v>
      </c>
      <c r="E1396" s="143"/>
      <c r="F1396" s="12"/>
      <c r="G1396" s="12"/>
      <c r="H1396" s="3" t="s">
        <v>4242</v>
      </c>
      <c r="I1396"/>
      <c r="J1396" s="183">
        <v>16880</v>
      </c>
      <c r="K1396" s="11" t="s">
        <v>4235</v>
      </c>
      <c r="L1396" s="11" t="s">
        <v>4236</v>
      </c>
      <c r="M1396" s="13">
        <v>45860</v>
      </c>
      <c r="N1396" s="86">
        <v>34585.53</v>
      </c>
      <c r="O1396" s="28"/>
      <c r="P1396" s="1" t="s">
        <v>66</v>
      </c>
      <c r="Q1396" s="32"/>
      <c r="R1396" s="191" t="s">
        <v>5027</v>
      </c>
    </row>
    <row r="1397" spans="1:18" ht="15.75" customHeight="1" x14ac:dyDescent="0.3">
      <c r="A1397" s="132" t="s">
        <v>4243</v>
      </c>
      <c r="B1397" s="3" t="s">
        <v>4243</v>
      </c>
      <c r="C1397" s="3" t="s">
        <v>4490</v>
      </c>
      <c r="D1397" t="s">
        <v>4492</v>
      </c>
      <c r="E1397"/>
      <c r="F1397" t="s">
        <v>4244</v>
      </c>
      <c r="G1397" t="s">
        <v>4643</v>
      </c>
      <c r="H1397" s="3" t="s">
        <v>4245</v>
      </c>
      <c r="I1397"/>
      <c r="J1397" s="183">
        <v>5214</v>
      </c>
      <c r="K1397" s="15" t="s">
        <v>2808</v>
      </c>
      <c r="L1397" s="15" t="s">
        <v>834</v>
      </c>
      <c r="M1397" s="13">
        <v>45742</v>
      </c>
      <c r="N1397" s="86">
        <v>250000</v>
      </c>
      <c r="O1397" s="28" t="s">
        <v>20</v>
      </c>
      <c r="P1397" s="1" t="s">
        <v>91</v>
      </c>
      <c r="Q1397" s="32"/>
      <c r="R1397" s="191">
        <v>250000</v>
      </c>
    </row>
    <row r="1398" spans="1:18" ht="15.75" customHeight="1" x14ac:dyDescent="0.3">
      <c r="A1398" s="132" t="s">
        <v>4246</v>
      </c>
      <c r="B1398" s="3" t="s">
        <v>4246</v>
      </c>
      <c r="C1398" s="3" t="s">
        <v>4490</v>
      </c>
      <c r="D1398" t="s">
        <v>4492</v>
      </c>
      <c r="E1398"/>
      <c r="F1398" t="s">
        <v>4247</v>
      </c>
      <c r="G1398" t="s">
        <v>4629</v>
      </c>
      <c r="H1398" s="3" t="s">
        <v>2254</v>
      </c>
      <c r="I1398"/>
      <c r="J1398" s="166">
        <v>5304</v>
      </c>
      <c r="K1398" s="15" t="s">
        <v>2808</v>
      </c>
      <c r="L1398" s="15" t="s">
        <v>834</v>
      </c>
      <c r="M1398" s="13">
        <v>45792</v>
      </c>
      <c r="N1398" s="86">
        <v>265000</v>
      </c>
      <c r="O1398" s="28" t="s">
        <v>20</v>
      </c>
      <c r="P1398" s="1" t="s">
        <v>91</v>
      </c>
      <c r="Q1398" s="32"/>
      <c r="R1398" s="191">
        <v>265000</v>
      </c>
    </row>
    <row r="1399" spans="1:18" ht="15.75" customHeight="1" x14ac:dyDescent="0.3">
      <c r="A1399" s="132" t="s">
        <v>4248</v>
      </c>
      <c r="B1399" s="3" t="s">
        <v>4248</v>
      </c>
      <c r="C1399" s="3" t="s">
        <v>4490</v>
      </c>
      <c r="D1399" t="s">
        <v>4492</v>
      </c>
      <c r="E1399"/>
      <c r="F1399" t="s">
        <v>4249</v>
      </c>
      <c r="G1399" t="s">
        <v>4643</v>
      </c>
      <c r="H1399" s="3" t="s">
        <v>4250</v>
      </c>
      <c r="I1399"/>
      <c r="J1399" s="166">
        <v>5214</v>
      </c>
      <c r="K1399" s="15" t="s">
        <v>2808</v>
      </c>
      <c r="L1399" s="15" t="s">
        <v>834</v>
      </c>
      <c r="M1399" s="13">
        <v>45742</v>
      </c>
      <c r="N1399" s="86">
        <v>365000</v>
      </c>
      <c r="O1399" s="28" t="s">
        <v>20</v>
      </c>
      <c r="P1399" s="1" t="s">
        <v>91</v>
      </c>
      <c r="Q1399" s="32"/>
      <c r="R1399" s="191">
        <v>365000</v>
      </c>
    </row>
    <row r="1400" spans="1:18" ht="15.75" hidden="1" customHeight="1" x14ac:dyDescent="0.3">
      <c r="A1400" s="132" t="s">
        <v>4251</v>
      </c>
      <c r="B1400" s="3" t="s">
        <v>4251</v>
      </c>
      <c r="C1400" s="3" t="s">
        <v>4490</v>
      </c>
      <c r="D1400" t="s">
        <v>4492</v>
      </c>
      <c r="E1400"/>
      <c r="F1400" t="s">
        <v>4665</v>
      </c>
      <c r="G1400" t="s">
        <v>4643</v>
      </c>
      <c r="H1400" s="3" t="s">
        <v>3649</v>
      </c>
      <c r="I1400"/>
      <c r="J1400" s="166">
        <v>5304</v>
      </c>
      <c r="K1400" s="15" t="s">
        <v>2808</v>
      </c>
      <c r="L1400" s="15" t="s">
        <v>834</v>
      </c>
      <c r="M1400" s="13">
        <v>45792</v>
      </c>
      <c r="N1400" s="86"/>
      <c r="O1400" s="28"/>
      <c r="P1400" s="1" t="s">
        <v>91</v>
      </c>
      <c r="Q1400" s="32"/>
      <c r="R1400" s="191"/>
    </row>
    <row r="1401" spans="1:18" ht="15.75" customHeight="1" x14ac:dyDescent="0.3">
      <c r="A1401" s="132" t="s">
        <v>4252</v>
      </c>
      <c r="B1401" s="3" t="s">
        <v>4252</v>
      </c>
      <c r="C1401" s="3" t="s">
        <v>4520</v>
      </c>
      <c r="D1401" t="s">
        <v>4495</v>
      </c>
      <c r="E1401" s="143"/>
      <c r="F1401" s="12"/>
      <c r="G1401" s="12"/>
      <c r="H1401" s="3" t="s">
        <v>3853</v>
      </c>
      <c r="I1401"/>
      <c r="J1401" s="166">
        <v>30411</v>
      </c>
      <c r="K1401" s="3" t="s">
        <v>196</v>
      </c>
      <c r="L1401" s="11" t="s">
        <v>197</v>
      </c>
      <c r="M1401" s="13">
        <v>45797</v>
      </c>
      <c r="N1401" s="86">
        <v>3799</v>
      </c>
      <c r="O1401" s="28"/>
      <c r="P1401" s="1" t="s">
        <v>66</v>
      </c>
      <c r="Q1401" s="32"/>
      <c r="R1401" s="191">
        <v>3799</v>
      </c>
    </row>
    <row r="1402" spans="1:18" ht="15.75" customHeight="1" x14ac:dyDescent="0.3">
      <c r="A1402" s="132" t="s">
        <v>4253</v>
      </c>
      <c r="B1402" s="3" t="s">
        <v>4253</v>
      </c>
      <c r="C1402" s="3" t="s">
        <v>4520</v>
      </c>
      <c r="D1402" t="s">
        <v>4495</v>
      </c>
      <c r="E1402" s="143"/>
      <c r="F1402" s="12"/>
      <c r="G1402" s="12"/>
      <c r="H1402" s="3" t="s">
        <v>3853</v>
      </c>
      <c r="I1402"/>
      <c r="J1402" s="166">
        <v>30411</v>
      </c>
      <c r="K1402" s="3" t="s">
        <v>196</v>
      </c>
      <c r="L1402" s="11" t="s">
        <v>197</v>
      </c>
      <c r="M1402" s="13">
        <v>45798</v>
      </c>
      <c r="N1402" s="86">
        <v>3799</v>
      </c>
      <c r="O1402" s="28"/>
      <c r="P1402" s="1" t="s">
        <v>66</v>
      </c>
      <c r="Q1402" s="32"/>
      <c r="R1402" s="191">
        <v>3799</v>
      </c>
    </row>
    <row r="1403" spans="1:18" ht="15.75" customHeight="1" x14ac:dyDescent="0.3">
      <c r="A1403" s="132" t="s">
        <v>4254</v>
      </c>
      <c r="B1403" s="3" t="s">
        <v>4254</v>
      </c>
      <c r="C1403" s="14" t="s">
        <v>4520</v>
      </c>
      <c r="D1403" t="s">
        <v>4496</v>
      </c>
      <c r="E1403" s="143"/>
      <c r="F1403" s="12"/>
      <c r="G1403" s="12"/>
      <c r="H1403" s="3" t="s">
        <v>4255</v>
      </c>
      <c r="I1403"/>
      <c r="J1403" s="166">
        <v>30373</v>
      </c>
      <c r="K1403" s="3" t="s">
        <v>196</v>
      </c>
      <c r="L1403" s="11" t="s">
        <v>197</v>
      </c>
      <c r="M1403" s="29">
        <v>45793</v>
      </c>
      <c r="N1403" s="86">
        <v>1090</v>
      </c>
      <c r="O1403" s="28"/>
      <c r="P1403" s="1" t="s">
        <v>106</v>
      </c>
      <c r="Q1403" s="32"/>
      <c r="R1403" s="191">
        <v>1090</v>
      </c>
    </row>
    <row r="1404" spans="1:18" ht="15.75" customHeight="1" x14ac:dyDescent="0.3">
      <c r="A1404" s="132" t="s">
        <v>4256</v>
      </c>
      <c r="B1404" s="3" t="s">
        <v>4256</v>
      </c>
      <c r="C1404" s="11" t="s">
        <v>4489</v>
      </c>
      <c r="D1404" t="s">
        <v>4495</v>
      </c>
      <c r="E1404" s="143"/>
      <c r="F1404" s="12"/>
      <c r="G1404" s="12"/>
      <c r="H1404" s="3" t="s">
        <v>4095</v>
      </c>
      <c r="I1404"/>
      <c r="J1404" s="166">
        <v>73977</v>
      </c>
      <c r="K1404" s="3" t="s">
        <v>3308</v>
      </c>
      <c r="L1404" s="11" t="s">
        <v>551</v>
      </c>
      <c r="M1404" s="29">
        <v>45812</v>
      </c>
      <c r="N1404" s="86">
        <v>4700</v>
      </c>
      <c r="O1404" s="28" t="s">
        <v>20</v>
      </c>
      <c r="P1404" s="1" t="s">
        <v>66</v>
      </c>
      <c r="Q1404" s="32"/>
      <c r="R1404" s="191">
        <v>4700</v>
      </c>
    </row>
    <row r="1405" spans="1:18" ht="15.75" customHeight="1" x14ac:dyDescent="0.3">
      <c r="A1405" s="3" t="s">
        <v>4257</v>
      </c>
      <c r="B1405" s="3" t="s">
        <v>4257</v>
      </c>
      <c r="C1405" s="11" t="s">
        <v>4518</v>
      </c>
      <c r="D1405" t="s">
        <v>4495</v>
      </c>
      <c r="E1405" s="143"/>
      <c r="F1405" s="12"/>
      <c r="G1405" s="12"/>
      <c r="H1405" s="3" t="s">
        <v>4258</v>
      </c>
      <c r="I1405"/>
      <c r="J1405" s="166">
        <v>24806</v>
      </c>
      <c r="K1405" s="3" t="s">
        <v>3446</v>
      </c>
      <c r="L1405" s="11" t="s">
        <v>3447</v>
      </c>
      <c r="M1405" s="29">
        <v>45819</v>
      </c>
      <c r="N1405" s="86">
        <v>1257.45</v>
      </c>
      <c r="O1405" s="28" t="s">
        <v>20</v>
      </c>
      <c r="P1405" s="1" t="s">
        <v>66</v>
      </c>
      <c r="Q1405" s="32"/>
      <c r="R1405" s="191" t="s">
        <v>5028</v>
      </c>
    </row>
    <row r="1406" spans="1:18" ht="15.75" customHeight="1" x14ac:dyDescent="0.3">
      <c r="A1406" s="132" t="s">
        <v>4259</v>
      </c>
      <c r="B1406" s="3" t="s">
        <v>4259</v>
      </c>
      <c r="C1406" s="11" t="s">
        <v>4518</v>
      </c>
      <c r="D1406" t="s">
        <v>4493</v>
      </c>
      <c r="E1406"/>
      <c r="F1406"/>
      <c r="G1406" t="s">
        <v>4626</v>
      </c>
      <c r="H1406" s="3" t="s">
        <v>489</v>
      </c>
      <c r="I1406"/>
      <c r="J1406" s="166">
        <v>153</v>
      </c>
      <c r="K1406" s="3" t="s">
        <v>3350</v>
      </c>
      <c r="L1406" s="11" t="s">
        <v>3351</v>
      </c>
      <c r="M1406" s="29">
        <v>45812</v>
      </c>
      <c r="N1406" s="86">
        <v>1799.1</v>
      </c>
      <c r="O1406" s="28"/>
      <c r="P1406" s="1" t="s">
        <v>78</v>
      </c>
      <c r="Q1406" s="32"/>
      <c r="R1406" s="191" t="s">
        <v>5029</v>
      </c>
    </row>
    <row r="1407" spans="1:18" ht="15.75" customHeight="1" x14ac:dyDescent="0.3">
      <c r="A1407" s="132" t="s">
        <v>4260</v>
      </c>
      <c r="B1407" s="3" t="s">
        <v>4260</v>
      </c>
      <c r="C1407" s="11" t="s">
        <v>4518</v>
      </c>
      <c r="D1407" t="s">
        <v>4493</v>
      </c>
      <c r="E1407"/>
      <c r="F1407"/>
      <c r="G1407" t="s">
        <v>4626</v>
      </c>
      <c r="H1407" s="3" t="s">
        <v>489</v>
      </c>
      <c r="I1407"/>
      <c r="J1407" s="166">
        <v>153</v>
      </c>
      <c r="K1407" s="3" t="s">
        <v>3350</v>
      </c>
      <c r="L1407" s="11" t="s">
        <v>3351</v>
      </c>
      <c r="M1407" s="29">
        <v>45812</v>
      </c>
      <c r="N1407" s="86">
        <v>1799.1</v>
      </c>
      <c r="O1407" s="28" t="s">
        <v>20</v>
      </c>
      <c r="P1407" s="1" t="s">
        <v>78</v>
      </c>
      <c r="Q1407" s="32"/>
      <c r="R1407" s="191" t="s">
        <v>5029</v>
      </c>
    </row>
    <row r="1408" spans="1:18" ht="15.75" customHeight="1" x14ac:dyDescent="0.3">
      <c r="A1408" s="3" t="s">
        <v>4261</v>
      </c>
      <c r="B1408" s="3" t="s">
        <v>4261</v>
      </c>
      <c r="C1408" s="11" t="s">
        <v>4518</v>
      </c>
      <c r="D1408" t="s">
        <v>4493</v>
      </c>
      <c r="E1408"/>
      <c r="F1408"/>
      <c r="G1408" t="s">
        <v>4626</v>
      </c>
      <c r="H1408" s="3" t="s">
        <v>489</v>
      </c>
      <c r="I1408"/>
      <c r="J1408" s="166">
        <v>153</v>
      </c>
      <c r="K1408" s="3" t="s">
        <v>3350</v>
      </c>
      <c r="L1408" s="11" t="s">
        <v>3351</v>
      </c>
      <c r="M1408" s="29">
        <v>45812</v>
      </c>
      <c r="N1408" s="86">
        <v>1799.1</v>
      </c>
      <c r="O1408" s="28"/>
      <c r="P1408" s="1" t="s">
        <v>78</v>
      </c>
      <c r="Q1408" s="32"/>
      <c r="R1408" s="191" t="s">
        <v>5029</v>
      </c>
    </row>
    <row r="1409" spans="1:18" ht="15.75" customHeight="1" x14ac:dyDescent="0.3">
      <c r="A1409" s="132" t="s">
        <v>4262</v>
      </c>
      <c r="B1409" s="3" t="s">
        <v>4262</v>
      </c>
      <c r="C1409" s="11" t="s">
        <v>4518</v>
      </c>
      <c r="D1409" t="s">
        <v>4493</v>
      </c>
      <c r="E1409"/>
      <c r="F1409"/>
      <c r="G1409" t="s">
        <v>4626</v>
      </c>
      <c r="H1409" s="3" t="s">
        <v>489</v>
      </c>
      <c r="I1409"/>
      <c r="J1409" s="166">
        <v>153</v>
      </c>
      <c r="K1409" s="3" t="s">
        <v>3350</v>
      </c>
      <c r="L1409" s="11" t="s">
        <v>3351</v>
      </c>
      <c r="M1409" s="29">
        <v>45812</v>
      </c>
      <c r="N1409" s="86">
        <v>1799.1</v>
      </c>
      <c r="O1409" s="28"/>
      <c r="P1409" s="1" t="s">
        <v>78</v>
      </c>
      <c r="Q1409" s="32"/>
      <c r="R1409" s="191" t="s">
        <v>5029</v>
      </c>
    </row>
    <row r="1410" spans="1:18" ht="15.75" customHeight="1" x14ac:dyDescent="0.3">
      <c r="A1410" s="132" t="s">
        <v>4263</v>
      </c>
      <c r="B1410" s="3" t="s">
        <v>4263</v>
      </c>
      <c r="C1410" s="11" t="s">
        <v>4520</v>
      </c>
      <c r="D1410" t="s">
        <v>4492</v>
      </c>
      <c r="E1410" s="143"/>
      <c r="F1410" s="12"/>
      <c r="G1410" s="12"/>
      <c r="H1410" s="3" t="s">
        <v>800</v>
      </c>
      <c r="I1410"/>
      <c r="J1410" s="166">
        <v>30745</v>
      </c>
      <c r="K1410" s="3" t="s">
        <v>196</v>
      </c>
      <c r="L1410" s="11" t="s">
        <v>197</v>
      </c>
      <c r="M1410" s="29">
        <v>45814</v>
      </c>
      <c r="N1410" s="86">
        <v>1999</v>
      </c>
      <c r="O1410" s="28"/>
      <c r="P1410" s="1" t="s">
        <v>91</v>
      </c>
      <c r="Q1410" s="32"/>
      <c r="R1410" s="191">
        <v>1999</v>
      </c>
    </row>
    <row r="1411" spans="1:18" ht="15.75" customHeight="1" x14ac:dyDescent="0.3">
      <c r="A1411" s="132" t="s">
        <v>4264</v>
      </c>
      <c r="B1411" s="3" t="s">
        <v>4264</v>
      </c>
      <c r="C1411" s="11" t="s">
        <v>4520</v>
      </c>
      <c r="D1411" t="s">
        <v>4492</v>
      </c>
      <c r="E1411" s="143"/>
      <c r="F1411" s="12"/>
      <c r="G1411" s="12"/>
      <c r="H1411" s="3" t="s">
        <v>800</v>
      </c>
      <c r="I1411"/>
      <c r="J1411" s="166">
        <v>30745</v>
      </c>
      <c r="K1411" s="3" t="s">
        <v>196</v>
      </c>
      <c r="L1411" s="11" t="s">
        <v>197</v>
      </c>
      <c r="M1411" s="29">
        <v>45814</v>
      </c>
      <c r="N1411" s="86">
        <v>1999</v>
      </c>
      <c r="O1411" s="28"/>
      <c r="P1411" s="1" t="s">
        <v>91</v>
      </c>
      <c r="Q1411" s="32"/>
      <c r="R1411" s="191">
        <v>1999</v>
      </c>
    </row>
    <row r="1412" spans="1:18" ht="15.75" customHeight="1" x14ac:dyDescent="0.3">
      <c r="A1412" s="132" t="s">
        <v>4265</v>
      </c>
      <c r="B1412" s="3" t="s">
        <v>4265</v>
      </c>
      <c r="C1412" s="3" t="s">
        <v>4487</v>
      </c>
      <c r="D1412" t="s">
        <v>4495</v>
      </c>
      <c r="E1412" s="160" t="s">
        <v>4266</v>
      </c>
      <c r="F1412" t="s">
        <v>4267</v>
      </c>
      <c r="G1412" t="s">
        <v>4631</v>
      </c>
      <c r="H1412" s="3" t="s">
        <v>4268</v>
      </c>
      <c r="I1412"/>
      <c r="J1412" s="166">
        <v>27856</v>
      </c>
      <c r="K1412" s="3" t="s">
        <v>4080</v>
      </c>
      <c r="L1412" s="11" t="s">
        <v>4081</v>
      </c>
      <c r="M1412" s="29">
        <v>45894</v>
      </c>
      <c r="N1412" s="86">
        <v>80000</v>
      </c>
      <c r="O1412" s="28" t="s">
        <v>20</v>
      </c>
      <c r="P1412" s="1" t="s">
        <v>66</v>
      </c>
      <c r="Q1412" s="32"/>
      <c r="R1412" s="191">
        <v>80000</v>
      </c>
    </row>
    <row r="1413" spans="1:18" ht="15.75" customHeight="1" x14ac:dyDescent="0.3">
      <c r="A1413" s="132" t="s">
        <v>4269</v>
      </c>
      <c r="B1413" s="3" t="s">
        <v>4269</v>
      </c>
      <c r="C1413" s="3" t="s">
        <v>4487</v>
      </c>
      <c r="D1413" t="s">
        <v>4495</v>
      </c>
      <c r="E1413" s="160" t="s">
        <v>4270</v>
      </c>
      <c r="F1413" t="s">
        <v>4271</v>
      </c>
      <c r="G1413" t="s">
        <v>4631</v>
      </c>
      <c r="H1413" s="3" t="s">
        <v>4272</v>
      </c>
      <c r="I1413"/>
      <c r="J1413" s="183">
        <v>27856</v>
      </c>
      <c r="K1413" s="3" t="s">
        <v>4080</v>
      </c>
      <c r="L1413" s="11" t="s">
        <v>4081</v>
      </c>
      <c r="M1413" s="29">
        <v>45894</v>
      </c>
      <c r="N1413" s="86">
        <v>85000</v>
      </c>
      <c r="O1413" s="28" t="s">
        <v>20</v>
      </c>
      <c r="P1413" s="1" t="s">
        <v>66</v>
      </c>
      <c r="Q1413" s="32"/>
      <c r="R1413" s="191">
        <v>85000</v>
      </c>
    </row>
    <row r="1414" spans="1:18" ht="15.75" customHeight="1" x14ac:dyDescent="0.3">
      <c r="A1414" s="132" t="s">
        <v>4273</v>
      </c>
      <c r="B1414" s="3" t="s">
        <v>4273</v>
      </c>
      <c r="C1414" s="3" t="s">
        <v>4487</v>
      </c>
      <c r="D1414" t="s">
        <v>4495</v>
      </c>
      <c r="E1414" s="160" t="s">
        <v>4274</v>
      </c>
      <c r="F1414" t="s">
        <v>4275</v>
      </c>
      <c r="G1414" t="s">
        <v>4631</v>
      </c>
      <c r="H1414" s="3" t="s">
        <v>4272</v>
      </c>
      <c r="I1414"/>
      <c r="J1414" s="183">
        <v>27856</v>
      </c>
      <c r="K1414" s="3" t="s">
        <v>4080</v>
      </c>
      <c r="L1414" s="11" t="s">
        <v>4081</v>
      </c>
      <c r="M1414" s="29">
        <v>45894</v>
      </c>
      <c r="N1414" s="86">
        <v>85000</v>
      </c>
      <c r="O1414" s="28"/>
      <c r="P1414" s="1" t="s">
        <v>66</v>
      </c>
      <c r="Q1414" s="32"/>
      <c r="R1414" s="191">
        <v>85000</v>
      </c>
    </row>
    <row r="1415" spans="1:18" ht="15.75" customHeight="1" x14ac:dyDescent="0.3">
      <c r="A1415" s="132" t="s">
        <v>4276</v>
      </c>
      <c r="B1415" s="3" t="s">
        <v>4276</v>
      </c>
      <c r="C1415" s="3" t="s">
        <v>4487</v>
      </c>
      <c r="D1415" t="s">
        <v>4495</v>
      </c>
      <c r="E1415" s="160" t="s">
        <v>4277</v>
      </c>
      <c r="F1415" t="s">
        <v>4278</v>
      </c>
      <c r="G1415" t="s">
        <v>4631</v>
      </c>
      <c r="H1415" s="3" t="s">
        <v>4272</v>
      </c>
      <c r="I1415"/>
      <c r="J1415" s="166">
        <v>27857</v>
      </c>
      <c r="K1415" s="3" t="s">
        <v>4080</v>
      </c>
      <c r="L1415" s="11" t="s">
        <v>4081</v>
      </c>
      <c r="M1415" s="29">
        <v>45894</v>
      </c>
      <c r="N1415" s="86">
        <v>85000</v>
      </c>
      <c r="O1415" s="28" t="s">
        <v>20</v>
      </c>
      <c r="P1415" s="1" t="s">
        <v>66</v>
      </c>
      <c r="Q1415" s="32"/>
      <c r="R1415" s="191">
        <v>85000</v>
      </c>
    </row>
    <row r="1416" spans="1:18" ht="15.75" customHeight="1" x14ac:dyDescent="0.3">
      <c r="A1416" s="132" t="s">
        <v>4279</v>
      </c>
      <c r="B1416" s="3" t="s">
        <v>4279</v>
      </c>
      <c r="C1416" s="3" t="s">
        <v>4487</v>
      </c>
      <c r="D1416" t="s">
        <v>4495</v>
      </c>
      <c r="E1416" s="160" t="s">
        <v>4280</v>
      </c>
      <c r="F1416" t="s">
        <v>4281</v>
      </c>
      <c r="G1416" t="s">
        <v>4631</v>
      </c>
      <c r="H1416" s="3" t="s">
        <v>4282</v>
      </c>
      <c r="I1416"/>
      <c r="J1416" s="166">
        <v>27857</v>
      </c>
      <c r="K1416" s="3" t="s">
        <v>4080</v>
      </c>
      <c r="L1416" s="11" t="s">
        <v>4081</v>
      </c>
      <c r="M1416" s="29">
        <v>45894</v>
      </c>
      <c r="N1416" s="86">
        <v>85000</v>
      </c>
      <c r="O1416" s="28" t="s">
        <v>20</v>
      </c>
      <c r="P1416" s="1" t="s">
        <v>66</v>
      </c>
      <c r="Q1416" s="32"/>
      <c r="R1416" s="191">
        <v>85000</v>
      </c>
    </row>
    <row r="1417" spans="1:18" ht="15.75" customHeight="1" x14ac:dyDescent="0.3">
      <c r="A1417" s="132" t="s">
        <v>4283</v>
      </c>
      <c r="B1417" s="3" t="s">
        <v>4283</v>
      </c>
      <c r="C1417" s="3" t="s">
        <v>4487</v>
      </c>
      <c r="D1417" t="s">
        <v>4495</v>
      </c>
      <c r="E1417" s="160" t="s">
        <v>4284</v>
      </c>
      <c r="F1417" t="s">
        <v>4285</v>
      </c>
      <c r="G1417" t="s">
        <v>4631</v>
      </c>
      <c r="H1417" s="3" t="s">
        <v>4268</v>
      </c>
      <c r="I1417"/>
      <c r="J1417" s="166">
        <v>27857</v>
      </c>
      <c r="K1417" s="3" t="s">
        <v>4080</v>
      </c>
      <c r="L1417" s="11" t="s">
        <v>4081</v>
      </c>
      <c r="M1417" s="29">
        <v>45894</v>
      </c>
      <c r="N1417" s="86">
        <v>80000</v>
      </c>
      <c r="O1417" s="28" t="s">
        <v>20</v>
      </c>
      <c r="P1417" s="1" t="s">
        <v>66</v>
      </c>
      <c r="Q1417" s="32"/>
      <c r="R1417" s="191">
        <v>80000</v>
      </c>
    </row>
    <row r="1418" spans="1:18" ht="15.75" customHeight="1" x14ac:dyDescent="0.3">
      <c r="A1418" s="3" t="s">
        <v>4286</v>
      </c>
      <c r="B1418" s="3" t="s">
        <v>4286</v>
      </c>
      <c r="C1418" s="3" t="s">
        <v>4489</v>
      </c>
      <c r="D1418" t="s">
        <v>4493</v>
      </c>
      <c r="E1418" s="12"/>
      <c r="F1418" s="12"/>
      <c r="G1418" s="12"/>
      <c r="H1418" s="3" t="s">
        <v>4287</v>
      </c>
      <c r="I1418"/>
      <c r="J1418" s="166">
        <v>10833</v>
      </c>
      <c r="K1418" s="3" t="s">
        <v>4288</v>
      </c>
      <c r="L1418" s="11" t="s">
        <v>4289</v>
      </c>
      <c r="M1418" s="29">
        <v>45817</v>
      </c>
      <c r="N1418" s="86">
        <v>7661.92</v>
      </c>
      <c r="O1418" s="28"/>
      <c r="P1418" s="1" t="s">
        <v>78</v>
      </c>
      <c r="Q1418" s="32"/>
      <c r="R1418" s="191" t="s">
        <v>5030</v>
      </c>
    </row>
    <row r="1419" spans="1:18" ht="15.75" customHeight="1" x14ac:dyDescent="0.3">
      <c r="A1419" s="132" t="s">
        <v>4290</v>
      </c>
      <c r="B1419" s="3" t="s">
        <v>4290</v>
      </c>
      <c r="C1419" s="3" t="s">
        <v>4490</v>
      </c>
      <c r="D1419" t="s">
        <v>4493</v>
      </c>
      <c r="E1419"/>
      <c r="F1419" t="s">
        <v>4291</v>
      </c>
      <c r="G1419" t="s">
        <v>4629</v>
      </c>
      <c r="H1419" s="3" t="s">
        <v>2254</v>
      </c>
      <c r="I1419"/>
      <c r="J1419" s="166">
        <v>5305</v>
      </c>
      <c r="K1419" s="11" t="s">
        <v>2255</v>
      </c>
      <c r="L1419" s="11" t="s">
        <v>834</v>
      </c>
      <c r="M1419" s="13">
        <v>45792</v>
      </c>
      <c r="N1419" s="86">
        <v>265000</v>
      </c>
      <c r="O1419" s="28" t="s">
        <v>20</v>
      </c>
      <c r="P1419" s="1" t="s">
        <v>91</v>
      </c>
      <c r="Q1419" s="32"/>
      <c r="R1419" s="191">
        <v>265000</v>
      </c>
    </row>
    <row r="1420" spans="1:18" ht="15.75" customHeight="1" x14ac:dyDescent="0.3">
      <c r="A1420" s="132" t="s">
        <v>4292</v>
      </c>
      <c r="B1420" s="3" t="s">
        <v>4292</v>
      </c>
      <c r="C1420" s="3" t="s">
        <v>4518</v>
      </c>
      <c r="D1420" t="s">
        <v>4495</v>
      </c>
      <c r="E1420"/>
      <c r="F1420"/>
      <c r="G1420" t="s">
        <v>4626</v>
      </c>
      <c r="H1420" s="3" t="s">
        <v>2180</v>
      </c>
      <c r="I1420"/>
      <c r="J1420" s="166">
        <v>174</v>
      </c>
      <c r="K1420" s="3" t="s">
        <v>3350</v>
      </c>
      <c r="L1420" s="11" t="s">
        <v>3351</v>
      </c>
      <c r="M1420" s="29">
        <v>45821</v>
      </c>
      <c r="N1420" s="86">
        <v>1512.15</v>
      </c>
      <c r="O1420" s="28"/>
      <c r="P1420" s="1"/>
      <c r="Q1420" s="32"/>
      <c r="R1420" s="191" t="s">
        <v>5031</v>
      </c>
    </row>
    <row r="1421" spans="1:18" ht="15.75" customHeight="1" x14ac:dyDescent="0.3">
      <c r="A1421" s="132" t="s">
        <v>4293</v>
      </c>
      <c r="B1421" s="3" t="s">
        <v>4293</v>
      </c>
      <c r="C1421" s="11" t="s">
        <v>4520</v>
      </c>
      <c r="D1421" t="s">
        <v>4494</v>
      </c>
      <c r="E1421" s="143"/>
      <c r="F1421" s="12"/>
      <c r="G1421" s="12"/>
      <c r="H1421" s="3" t="s">
        <v>734</v>
      </c>
      <c r="I1421" t="s">
        <v>4603</v>
      </c>
      <c r="J1421" s="166">
        <v>2935</v>
      </c>
      <c r="K1421" s="11" t="s">
        <v>735</v>
      </c>
      <c r="L1421" s="3" t="s">
        <v>105</v>
      </c>
      <c r="M1421" s="29">
        <v>45932</v>
      </c>
      <c r="N1421" s="86">
        <v>2390</v>
      </c>
      <c r="O1421" s="28"/>
      <c r="P1421" s="1" t="s">
        <v>44</v>
      </c>
      <c r="Q1421" s="32"/>
      <c r="R1421" s="191">
        <v>2390</v>
      </c>
    </row>
    <row r="1422" spans="1:18" ht="15.75" customHeight="1" x14ac:dyDescent="0.3">
      <c r="A1422" s="132" t="s">
        <v>4294</v>
      </c>
      <c r="B1422" s="3" t="s">
        <v>4294</v>
      </c>
      <c r="C1422" s="3" t="s">
        <v>4489</v>
      </c>
      <c r="D1422" t="s">
        <v>4495</v>
      </c>
      <c r="E1422" s="143"/>
      <c r="F1422" s="12"/>
      <c r="G1422" s="12"/>
      <c r="H1422" s="3" t="s">
        <v>4295</v>
      </c>
      <c r="I1422"/>
      <c r="J1422" s="166">
        <v>474</v>
      </c>
      <c r="K1422" s="11" t="s">
        <v>3785</v>
      </c>
      <c r="L1422" s="3" t="s">
        <v>3786</v>
      </c>
      <c r="M1422" s="29">
        <v>45827</v>
      </c>
      <c r="N1422" s="86">
        <v>19900</v>
      </c>
      <c r="O1422" s="28"/>
      <c r="P1422" s="1"/>
      <c r="Q1422" s="32"/>
      <c r="R1422" s="191">
        <v>19900</v>
      </c>
    </row>
    <row r="1423" spans="1:18" ht="15.75" customHeight="1" x14ac:dyDescent="0.3">
      <c r="A1423" s="132" t="s">
        <v>4296</v>
      </c>
      <c r="B1423" s="3" t="s">
        <v>4296</v>
      </c>
      <c r="C1423" s="3" t="s">
        <v>4519</v>
      </c>
      <c r="D1423" t="s">
        <v>4495</v>
      </c>
      <c r="E1423" s="143"/>
      <c r="F1423" s="12"/>
      <c r="G1423" s="12"/>
      <c r="H1423" s="3" t="s">
        <v>4297</v>
      </c>
      <c r="I1423"/>
      <c r="J1423" s="166">
        <v>41917</v>
      </c>
      <c r="K1423" s="3" t="s">
        <v>187</v>
      </c>
      <c r="L1423" s="11" t="s">
        <v>188</v>
      </c>
      <c r="M1423" s="13">
        <v>45839</v>
      </c>
      <c r="N1423" s="86">
        <v>2199</v>
      </c>
      <c r="O1423" s="28"/>
      <c r="P1423" s="1" t="s">
        <v>66</v>
      </c>
      <c r="Q1423" s="32"/>
      <c r="R1423" s="191">
        <v>2199</v>
      </c>
    </row>
    <row r="1424" spans="1:18" ht="15.75" customHeight="1" x14ac:dyDescent="0.3">
      <c r="A1424" s="3" t="s">
        <v>4298</v>
      </c>
      <c r="B1424" s="3" t="s">
        <v>4298</v>
      </c>
      <c r="C1424" s="3" t="s">
        <v>4489</v>
      </c>
      <c r="D1424" t="s">
        <v>4492</v>
      </c>
      <c r="E1424" s="143"/>
      <c r="F1424" s="12"/>
      <c r="G1424" s="12"/>
      <c r="H1424" s="3" t="s">
        <v>4299</v>
      </c>
      <c r="I1424"/>
      <c r="J1424" s="166">
        <v>6851</v>
      </c>
      <c r="K1424" s="11" t="s">
        <v>4161</v>
      </c>
      <c r="L1424" s="11" t="s">
        <v>4162</v>
      </c>
      <c r="M1424" s="13">
        <v>45821</v>
      </c>
      <c r="N1424" s="86">
        <v>5925.45</v>
      </c>
      <c r="O1424" s="28"/>
      <c r="P1424" s="1" t="s">
        <v>91</v>
      </c>
      <c r="Q1424" s="32"/>
      <c r="R1424" s="191" t="s">
        <v>5032</v>
      </c>
    </row>
    <row r="1425" spans="1:18" ht="15.75" customHeight="1" x14ac:dyDescent="0.3">
      <c r="A1425" s="132" t="s">
        <v>4300</v>
      </c>
      <c r="B1425" s="3" t="s">
        <v>4300</v>
      </c>
      <c r="C1425" s="3" t="s">
        <v>4520</v>
      </c>
      <c r="D1425" t="s">
        <v>4496</v>
      </c>
      <c r="E1425" s="143"/>
      <c r="F1425" s="12"/>
      <c r="G1425" s="12"/>
      <c r="H1425" s="3" t="s">
        <v>4255</v>
      </c>
      <c r="I1425"/>
      <c r="J1425" s="166">
        <v>31372</v>
      </c>
      <c r="K1425" s="11" t="s">
        <v>196</v>
      </c>
      <c r="L1425" s="11" t="s">
        <v>197</v>
      </c>
      <c r="M1425" s="13">
        <v>45855</v>
      </c>
      <c r="N1425" s="86">
        <v>1150</v>
      </c>
      <c r="O1425" s="28"/>
      <c r="P1425" s="1"/>
      <c r="Q1425" s="32"/>
      <c r="R1425" s="191">
        <v>1150</v>
      </c>
    </row>
    <row r="1426" spans="1:18" ht="15.75" customHeight="1" x14ac:dyDescent="0.3">
      <c r="A1426" s="3" t="s">
        <v>4301</v>
      </c>
      <c r="B1426" s="3" t="s">
        <v>4301</v>
      </c>
      <c r="C1426" s="3" t="s">
        <v>4489</v>
      </c>
      <c r="D1426" t="s">
        <v>4492</v>
      </c>
      <c r="E1426" s="143"/>
      <c r="F1426" s="12"/>
      <c r="G1426" s="12"/>
      <c r="H1426" s="3" t="s">
        <v>3753</v>
      </c>
      <c r="I1426"/>
      <c r="J1426" s="166">
        <v>320</v>
      </c>
      <c r="K1426" s="3" t="s">
        <v>3350</v>
      </c>
      <c r="L1426" s="11" t="s">
        <v>3351</v>
      </c>
      <c r="M1426" s="29">
        <v>45860</v>
      </c>
      <c r="N1426" s="86">
        <v>1799.1</v>
      </c>
      <c r="O1426" s="28" t="s">
        <v>20</v>
      </c>
      <c r="P1426" s="1" t="s">
        <v>78</v>
      </c>
      <c r="Q1426" s="32"/>
      <c r="R1426" s="191" t="s">
        <v>5029</v>
      </c>
    </row>
    <row r="1427" spans="1:18" ht="15.75" customHeight="1" x14ac:dyDescent="0.3">
      <c r="A1427" s="132" t="s">
        <v>4302</v>
      </c>
      <c r="B1427" s="3" t="s">
        <v>4302</v>
      </c>
      <c r="C1427" s="3" t="s">
        <v>4489</v>
      </c>
      <c r="D1427" t="s">
        <v>4495</v>
      </c>
      <c r="E1427" s="143"/>
      <c r="F1427" s="12"/>
      <c r="G1427" s="12"/>
      <c r="H1427" s="3" t="s">
        <v>590</v>
      </c>
      <c r="I1427"/>
      <c r="J1427" s="166">
        <v>261166</v>
      </c>
      <c r="K1427" s="3" t="s">
        <v>1769</v>
      </c>
      <c r="L1427" s="11" t="s">
        <v>2463</v>
      </c>
      <c r="M1427" s="13">
        <v>45860</v>
      </c>
      <c r="N1427" s="86">
        <v>3544</v>
      </c>
      <c r="O1427" s="28"/>
      <c r="P1427" s="1" t="s">
        <v>66</v>
      </c>
      <c r="Q1427" s="32"/>
      <c r="R1427" s="191">
        <v>3544</v>
      </c>
    </row>
    <row r="1428" spans="1:18" ht="15.75" customHeight="1" x14ac:dyDescent="0.3">
      <c r="A1428" s="132" t="s">
        <v>4303</v>
      </c>
      <c r="B1428" s="3" t="s">
        <v>4303</v>
      </c>
      <c r="C1428" s="3" t="s">
        <v>4520</v>
      </c>
      <c r="D1428" t="s">
        <v>4495</v>
      </c>
      <c r="E1428" s="143"/>
      <c r="F1428" s="12"/>
      <c r="G1428" s="12"/>
      <c r="H1428" s="3" t="s">
        <v>4304</v>
      </c>
      <c r="I1428"/>
      <c r="J1428" s="166">
        <v>31247</v>
      </c>
      <c r="K1428" s="11" t="s">
        <v>196</v>
      </c>
      <c r="L1428" s="11" t="s">
        <v>197</v>
      </c>
      <c r="M1428" s="29">
        <v>45847</v>
      </c>
      <c r="N1428" s="86">
        <v>2950</v>
      </c>
      <c r="O1428" s="28"/>
      <c r="P1428" s="1" t="s">
        <v>66</v>
      </c>
      <c r="Q1428" s="32"/>
      <c r="R1428" s="191">
        <v>2950</v>
      </c>
    </row>
    <row r="1429" spans="1:18" ht="15.75" customHeight="1" x14ac:dyDescent="0.3">
      <c r="A1429" s="3" t="s">
        <v>4305</v>
      </c>
      <c r="B1429" s="3" t="s">
        <v>4305</v>
      </c>
      <c r="C1429" s="3" t="s">
        <v>4520</v>
      </c>
      <c r="D1429" t="s">
        <v>4493</v>
      </c>
      <c r="E1429" s="143"/>
      <c r="F1429" s="12"/>
      <c r="G1429" s="12"/>
      <c r="H1429" s="3" t="s">
        <v>4306</v>
      </c>
      <c r="I1429"/>
      <c r="J1429" s="166">
        <v>31245</v>
      </c>
      <c r="K1429" s="11" t="s">
        <v>196</v>
      </c>
      <c r="L1429" s="11" t="s">
        <v>197</v>
      </c>
      <c r="M1429" s="29">
        <v>45847</v>
      </c>
      <c r="N1429" s="86">
        <v>3799.9</v>
      </c>
      <c r="O1429" s="28"/>
      <c r="P1429" s="1" t="s">
        <v>78</v>
      </c>
      <c r="Q1429" s="32"/>
      <c r="R1429" s="191" t="s">
        <v>5033</v>
      </c>
    </row>
    <row r="1430" spans="1:18" ht="15.75" customHeight="1" x14ac:dyDescent="0.3">
      <c r="A1430" s="3" t="s">
        <v>4307</v>
      </c>
      <c r="B1430" s="3" t="s">
        <v>4307</v>
      </c>
      <c r="C1430" s="3" t="s">
        <v>4520</v>
      </c>
      <c r="D1430" t="s">
        <v>4493</v>
      </c>
      <c r="E1430" s="143"/>
      <c r="F1430" s="12"/>
      <c r="G1430" s="12"/>
      <c r="H1430" s="3" t="s">
        <v>4308</v>
      </c>
      <c r="I1430"/>
      <c r="J1430" s="166">
        <v>31245</v>
      </c>
      <c r="K1430" s="11" t="s">
        <v>196</v>
      </c>
      <c r="L1430" s="11" t="s">
        <v>197</v>
      </c>
      <c r="M1430" s="29">
        <v>45847</v>
      </c>
      <c r="N1430" s="86">
        <v>3799.9</v>
      </c>
      <c r="O1430" s="28"/>
      <c r="P1430" s="1" t="s">
        <v>78</v>
      </c>
      <c r="Q1430" s="32"/>
      <c r="R1430" s="191" t="s">
        <v>5033</v>
      </c>
    </row>
    <row r="1431" spans="1:18" ht="15.75" customHeight="1" x14ac:dyDescent="0.3">
      <c r="A1431" s="3" t="s">
        <v>4309</v>
      </c>
      <c r="B1431" s="3" t="s">
        <v>4309</v>
      </c>
      <c r="C1431" s="3" t="s">
        <v>4520</v>
      </c>
      <c r="D1431" t="s">
        <v>4493</v>
      </c>
      <c r="E1431" s="143"/>
      <c r="F1431" s="12"/>
      <c r="G1431" s="12"/>
      <c r="H1431" s="3" t="s">
        <v>4310</v>
      </c>
      <c r="I1431"/>
      <c r="J1431" s="166">
        <v>31245</v>
      </c>
      <c r="K1431" s="11" t="s">
        <v>196</v>
      </c>
      <c r="L1431" s="11" t="s">
        <v>197</v>
      </c>
      <c r="M1431" s="29">
        <v>45847</v>
      </c>
      <c r="N1431" s="86">
        <v>3799.9</v>
      </c>
      <c r="O1431" s="28"/>
      <c r="P1431" s="1" t="s">
        <v>78</v>
      </c>
      <c r="Q1431" s="32"/>
      <c r="R1431" s="191" t="s">
        <v>5033</v>
      </c>
    </row>
    <row r="1432" spans="1:18" ht="15.75" customHeight="1" x14ac:dyDescent="0.3">
      <c r="A1432" s="3" t="s">
        <v>4311</v>
      </c>
      <c r="B1432" s="3" t="s">
        <v>4311</v>
      </c>
      <c r="C1432" s="3" t="s">
        <v>4520</v>
      </c>
      <c r="D1432" t="s">
        <v>4493</v>
      </c>
      <c r="E1432" s="143"/>
      <c r="F1432" s="12"/>
      <c r="G1432" s="12"/>
      <c r="H1432" s="3" t="s">
        <v>4312</v>
      </c>
      <c r="I1432"/>
      <c r="J1432" s="166">
        <v>31245</v>
      </c>
      <c r="K1432" s="11" t="s">
        <v>196</v>
      </c>
      <c r="L1432" s="11" t="s">
        <v>197</v>
      </c>
      <c r="M1432" s="29">
        <v>45847</v>
      </c>
      <c r="N1432" s="86">
        <v>3799.9</v>
      </c>
      <c r="O1432" s="28"/>
      <c r="P1432" s="1" t="s">
        <v>78</v>
      </c>
      <c r="Q1432" s="32"/>
      <c r="R1432" s="191" t="s">
        <v>5033</v>
      </c>
    </row>
    <row r="1433" spans="1:18" ht="15.75" customHeight="1" x14ac:dyDescent="0.3">
      <c r="A1433" s="132" t="s">
        <v>4313</v>
      </c>
      <c r="B1433" s="3" t="s">
        <v>4313</v>
      </c>
      <c r="C1433" s="3" t="s">
        <v>4520</v>
      </c>
      <c r="D1433" t="s">
        <v>4493</v>
      </c>
      <c r="E1433" s="143"/>
      <c r="F1433" s="12"/>
      <c r="G1433" s="12"/>
      <c r="H1433" s="3" t="s">
        <v>4304</v>
      </c>
      <c r="I1433"/>
      <c r="J1433" s="166">
        <v>31245</v>
      </c>
      <c r="K1433" s="11" t="s">
        <v>196</v>
      </c>
      <c r="L1433" s="11" t="s">
        <v>197</v>
      </c>
      <c r="M1433" s="29">
        <v>45847</v>
      </c>
      <c r="N1433" s="86">
        <v>2950</v>
      </c>
      <c r="O1433" s="28"/>
      <c r="P1433" s="1" t="s">
        <v>78</v>
      </c>
      <c r="Q1433" s="32"/>
      <c r="R1433" s="191">
        <v>2950</v>
      </c>
    </row>
    <row r="1434" spans="1:18" ht="15.75" customHeight="1" x14ac:dyDescent="0.3">
      <c r="A1434" s="132" t="s">
        <v>4314</v>
      </c>
      <c r="B1434" s="3" t="s">
        <v>4314</v>
      </c>
      <c r="C1434" s="3" t="s">
        <v>4520</v>
      </c>
      <c r="D1434" t="s">
        <v>4493</v>
      </c>
      <c r="E1434" s="143"/>
      <c r="F1434" s="12"/>
      <c r="G1434" s="12"/>
      <c r="H1434" s="3" t="s">
        <v>4304</v>
      </c>
      <c r="I1434"/>
      <c r="J1434" s="166">
        <v>31245</v>
      </c>
      <c r="K1434" s="11" t="s">
        <v>196</v>
      </c>
      <c r="L1434" s="11" t="s">
        <v>197</v>
      </c>
      <c r="M1434" s="29">
        <v>45847</v>
      </c>
      <c r="N1434" s="86">
        <v>2950</v>
      </c>
      <c r="O1434" s="28"/>
      <c r="P1434" s="1" t="s">
        <v>78</v>
      </c>
      <c r="Q1434" s="32"/>
      <c r="R1434" s="191">
        <v>2950</v>
      </c>
    </row>
    <row r="1435" spans="1:18" ht="15.75" customHeight="1" x14ac:dyDescent="0.3">
      <c r="A1435" s="132" t="s">
        <v>4315</v>
      </c>
      <c r="B1435" s="3" t="s">
        <v>4315</v>
      </c>
      <c r="C1435" s="3" t="s">
        <v>4520</v>
      </c>
      <c r="D1435" t="s">
        <v>4493</v>
      </c>
      <c r="E1435" s="143"/>
      <c r="F1435" s="12"/>
      <c r="G1435" s="12"/>
      <c r="H1435" s="3" t="s">
        <v>4304</v>
      </c>
      <c r="I1435"/>
      <c r="J1435" s="166">
        <v>31245</v>
      </c>
      <c r="K1435" s="11" t="s">
        <v>196</v>
      </c>
      <c r="L1435" s="11" t="s">
        <v>197</v>
      </c>
      <c r="M1435" s="29">
        <v>45847</v>
      </c>
      <c r="N1435" s="86">
        <v>2950</v>
      </c>
      <c r="O1435" s="28"/>
      <c r="P1435" s="1" t="s">
        <v>78</v>
      </c>
      <c r="Q1435" s="32"/>
      <c r="R1435" s="191">
        <v>2950</v>
      </c>
    </row>
    <row r="1436" spans="1:18" ht="15.75" customHeight="1" x14ac:dyDescent="0.3">
      <c r="A1436" s="132" t="s">
        <v>4316</v>
      </c>
      <c r="B1436" s="3" t="s">
        <v>4316</v>
      </c>
      <c r="C1436" s="3" t="s">
        <v>4520</v>
      </c>
      <c r="D1436" t="s">
        <v>4494</v>
      </c>
      <c r="E1436" s="143"/>
      <c r="F1436" s="12"/>
      <c r="G1436" s="12"/>
      <c r="H1436" s="3" t="s">
        <v>4304</v>
      </c>
      <c r="I1436"/>
      <c r="J1436" s="171">
        <v>31584</v>
      </c>
      <c r="K1436" s="11" t="s">
        <v>196</v>
      </c>
      <c r="L1436" s="11" t="s">
        <v>197</v>
      </c>
      <c r="M1436" s="29">
        <v>45847</v>
      </c>
      <c r="N1436" s="86">
        <v>2950</v>
      </c>
      <c r="O1436" s="28"/>
      <c r="P1436" s="1" t="s">
        <v>44</v>
      </c>
      <c r="Q1436" s="32"/>
      <c r="R1436" s="191">
        <v>2950</v>
      </c>
    </row>
    <row r="1437" spans="1:18" ht="15.75" customHeight="1" x14ac:dyDescent="0.3">
      <c r="A1437" s="132" t="s">
        <v>4317</v>
      </c>
      <c r="B1437" s="3" t="s">
        <v>4317</v>
      </c>
      <c r="C1437" s="3" t="s">
        <v>4520</v>
      </c>
      <c r="D1437" t="s">
        <v>4494</v>
      </c>
      <c r="E1437" s="143"/>
      <c r="F1437" s="12"/>
      <c r="G1437" s="12"/>
      <c r="H1437" s="3" t="s">
        <v>4304</v>
      </c>
      <c r="I1437"/>
      <c r="J1437" s="171">
        <v>31584</v>
      </c>
      <c r="K1437" s="11" t="s">
        <v>196</v>
      </c>
      <c r="L1437" s="11" t="s">
        <v>197</v>
      </c>
      <c r="M1437" s="29">
        <v>45847</v>
      </c>
      <c r="N1437" s="86">
        <v>2950</v>
      </c>
      <c r="O1437" s="28"/>
      <c r="P1437" s="1" t="s">
        <v>44</v>
      </c>
      <c r="Q1437" s="32"/>
      <c r="R1437" s="191">
        <v>2950</v>
      </c>
    </row>
    <row r="1438" spans="1:18" ht="15.75" customHeight="1" x14ac:dyDescent="0.3">
      <c r="A1438" s="132" t="s">
        <v>4318</v>
      </c>
      <c r="B1438" s="3" t="s">
        <v>4318</v>
      </c>
      <c r="C1438" s="3" t="s">
        <v>4520</v>
      </c>
      <c r="D1438" t="s">
        <v>4494</v>
      </c>
      <c r="E1438" s="143"/>
      <c r="F1438" s="12"/>
      <c r="G1438" s="12"/>
      <c r="H1438" s="3" t="s">
        <v>4304</v>
      </c>
      <c r="I1438"/>
      <c r="J1438" s="171">
        <v>31584</v>
      </c>
      <c r="K1438" s="11" t="s">
        <v>196</v>
      </c>
      <c r="L1438" s="11" t="s">
        <v>197</v>
      </c>
      <c r="M1438" s="29">
        <v>45847</v>
      </c>
      <c r="N1438" s="86">
        <v>2950</v>
      </c>
      <c r="O1438" s="28"/>
      <c r="P1438" s="1" t="s">
        <v>44</v>
      </c>
      <c r="Q1438" s="32"/>
      <c r="R1438" s="191">
        <v>2950</v>
      </c>
    </row>
    <row r="1439" spans="1:18" ht="15.75" customHeight="1" x14ac:dyDescent="0.3">
      <c r="A1439" s="132" t="s">
        <v>4319</v>
      </c>
      <c r="B1439" s="3" t="s">
        <v>4319</v>
      </c>
      <c r="C1439" s="3" t="s">
        <v>4520</v>
      </c>
      <c r="D1439" t="s">
        <v>4494</v>
      </c>
      <c r="E1439" s="143"/>
      <c r="F1439" s="12"/>
      <c r="G1439" s="12"/>
      <c r="H1439" s="3" t="s">
        <v>4304</v>
      </c>
      <c r="I1439"/>
      <c r="J1439" s="171">
        <v>31584</v>
      </c>
      <c r="K1439" s="11" t="s">
        <v>196</v>
      </c>
      <c r="L1439" s="11" t="s">
        <v>197</v>
      </c>
      <c r="M1439" s="29">
        <v>45847</v>
      </c>
      <c r="N1439" s="86">
        <v>2950</v>
      </c>
      <c r="O1439" s="28"/>
      <c r="P1439" s="1" t="s">
        <v>44</v>
      </c>
      <c r="Q1439" s="32"/>
      <c r="R1439" s="191">
        <v>2950</v>
      </c>
    </row>
    <row r="1440" spans="1:18" ht="15.75" customHeight="1" x14ac:dyDescent="0.3">
      <c r="A1440" s="132" t="s">
        <v>4320</v>
      </c>
      <c r="B1440" s="3" t="s">
        <v>4320</v>
      </c>
      <c r="C1440" s="3" t="s">
        <v>4520</v>
      </c>
      <c r="D1440" t="s">
        <v>4494</v>
      </c>
      <c r="E1440" s="143"/>
      <c r="F1440" s="12"/>
      <c r="G1440" s="12"/>
      <c r="H1440" s="3" t="s">
        <v>4304</v>
      </c>
      <c r="I1440"/>
      <c r="J1440" s="171">
        <v>31584</v>
      </c>
      <c r="K1440" s="11" t="s">
        <v>196</v>
      </c>
      <c r="L1440" s="11" t="s">
        <v>197</v>
      </c>
      <c r="M1440" s="29">
        <v>45847</v>
      </c>
      <c r="N1440" s="86">
        <v>2950</v>
      </c>
      <c r="O1440" s="28"/>
      <c r="P1440" s="1" t="s">
        <v>44</v>
      </c>
      <c r="Q1440" s="32"/>
      <c r="R1440" s="191">
        <v>2950</v>
      </c>
    </row>
    <row r="1441" spans="1:18" ht="15.75" customHeight="1" x14ac:dyDescent="0.3">
      <c r="A1441" s="132" t="s">
        <v>4321</v>
      </c>
      <c r="B1441" s="3" t="s">
        <v>4321</v>
      </c>
      <c r="C1441" s="3" t="s">
        <v>4520</v>
      </c>
      <c r="D1441" t="s">
        <v>4492</v>
      </c>
      <c r="E1441" s="143"/>
      <c r="F1441" s="12"/>
      <c r="G1441" s="12"/>
      <c r="H1441" s="3" t="s">
        <v>4304</v>
      </c>
      <c r="I1441"/>
      <c r="J1441" s="166">
        <v>31243</v>
      </c>
      <c r="K1441" s="11" t="s">
        <v>196</v>
      </c>
      <c r="L1441" s="11" t="s">
        <v>197</v>
      </c>
      <c r="M1441" s="29">
        <v>45847</v>
      </c>
      <c r="N1441" s="86">
        <v>2950</v>
      </c>
      <c r="O1441" s="28"/>
      <c r="P1441" s="1" t="s">
        <v>91</v>
      </c>
      <c r="Q1441" s="32"/>
      <c r="R1441" s="191">
        <v>2950</v>
      </c>
    </row>
    <row r="1442" spans="1:18" ht="15.75" customHeight="1" x14ac:dyDescent="0.3">
      <c r="A1442" s="132" t="s">
        <v>4322</v>
      </c>
      <c r="B1442" s="3" t="s">
        <v>4322</v>
      </c>
      <c r="C1442" s="3" t="s">
        <v>4520</v>
      </c>
      <c r="D1442" t="s">
        <v>4492</v>
      </c>
      <c r="E1442" s="143"/>
      <c r="F1442" s="12"/>
      <c r="G1442" s="12"/>
      <c r="H1442" s="3" t="s">
        <v>4304</v>
      </c>
      <c r="I1442"/>
      <c r="J1442" s="166">
        <v>31243</v>
      </c>
      <c r="K1442" s="11" t="s">
        <v>196</v>
      </c>
      <c r="L1442" s="11" t="s">
        <v>197</v>
      </c>
      <c r="M1442" s="29">
        <v>45847</v>
      </c>
      <c r="N1442" s="86">
        <v>2950</v>
      </c>
      <c r="O1442" s="28"/>
      <c r="P1442" s="1" t="s">
        <v>91</v>
      </c>
      <c r="Q1442" s="32"/>
      <c r="R1442" s="191">
        <v>2950</v>
      </c>
    </row>
    <row r="1443" spans="1:18" ht="15.75" customHeight="1" x14ac:dyDescent="0.3">
      <c r="A1443" s="132" t="s">
        <v>4323</v>
      </c>
      <c r="B1443" s="3" t="s">
        <v>4323</v>
      </c>
      <c r="C1443" s="11" t="s">
        <v>4490</v>
      </c>
      <c r="D1443" t="s">
        <v>4495</v>
      </c>
      <c r="E1443"/>
      <c r="F1443" t="s">
        <v>4666</v>
      </c>
      <c r="G1443" t="s">
        <v>4645</v>
      </c>
      <c r="H1443" s="3" t="s">
        <v>4324</v>
      </c>
      <c r="I1443"/>
      <c r="J1443" s="166">
        <v>144036</v>
      </c>
      <c r="K1443" s="3" t="s">
        <v>1769</v>
      </c>
      <c r="L1443" s="11" t="s">
        <v>2463</v>
      </c>
      <c r="M1443" s="13">
        <v>45804</v>
      </c>
      <c r="N1443" s="86">
        <v>250000</v>
      </c>
      <c r="O1443" s="28"/>
      <c r="P1443" s="1" t="s">
        <v>106</v>
      </c>
      <c r="Q1443" s="32"/>
      <c r="R1443" s="191">
        <v>250000</v>
      </c>
    </row>
    <row r="1444" spans="1:18" ht="15.75" customHeight="1" x14ac:dyDescent="0.3">
      <c r="A1444" s="3" t="s">
        <v>4325</v>
      </c>
      <c r="B1444" s="3" t="s">
        <v>4325</v>
      </c>
      <c r="C1444" s="3" t="s">
        <v>4489</v>
      </c>
      <c r="D1444" t="s">
        <v>4495</v>
      </c>
      <c r="E1444" s="143"/>
      <c r="F1444" s="12"/>
      <c r="G1444" s="12"/>
      <c r="H1444" s="3" t="s">
        <v>590</v>
      </c>
      <c r="I1444"/>
      <c r="J1444" s="166">
        <v>261166</v>
      </c>
      <c r="K1444" s="3" t="s">
        <v>1769</v>
      </c>
      <c r="L1444" s="11" t="s">
        <v>1770</v>
      </c>
      <c r="M1444" s="29">
        <v>45860</v>
      </c>
      <c r="N1444" s="86">
        <v>3083.5</v>
      </c>
      <c r="O1444" s="28"/>
      <c r="P1444" s="1" t="s">
        <v>66</v>
      </c>
      <c r="Q1444" s="32"/>
      <c r="R1444" s="191" t="s">
        <v>5034</v>
      </c>
    </row>
    <row r="1445" spans="1:18" ht="15.75" customHeight="1" x14ac:dyDescent="0.3">
      <c r="A1445" s="132" t="s">
        <v>4326</v>
      </c>
      <c r="B1445" s="132" t="s">
        <v>4326</v>
      </c>
      <c r="C1445" s="132" t="s">
        <v>4489</v>
      </c>
      <c r="D1445" t="s">
        <v>4495</v>
      </c>
      <c r="E1445" s="143"/>
      <c r="F1445" s="143"/>
      <c r="G1445" s="143"/>
      <c r="H1445" s="132" t="s">
        <v>4327</v>
      </c>
      <c r="I1445"/>
      <c r="J1445" s="183"/>
      <c r="K1445" s="142"/>
      <c r="L1445" s="142"/>
      <c r="M1445" s="162"/>
      <c r="N1445" s="152">
        <v>62900</v>
      </c>
      <c r="O1445" s="153"/>
      <c r="P1445" s="1" t="s">
        <v>66</v>
      </c>
      <c r="Q1445" s="32"/>
      <c r="R1445" s="191">
        <v>62900</v>
      </c>
    </row>
    <row r="1446" spans="1:18" ht="15.75" customHeight="1" x14ac:dyDescent="0.3">
      <c r="A1446" s="3" t="s">
        <v>4328</v>
      </c>
      <c r="B1446" s="3" t="s">
        <v>4328</v>
      </c>
      <c r="C1446" s="3" t="s">
        <v>4489</v>
      </c>
      <c r="D1446" t="s">
        <v>4492</v>
      </c>
      <c r="E1446" s="143"/>
      <c r="F1446" s="12"/>
      <c r="G1446" s="12"/>
      <c r="H1446" s="3" t="s">
        <v>4327</v>
      </c>
      <c r="I1446"/>
      <c r="J1446" s="166"/>
      <c r="K1446" s="11"/>
      <c r="L1446" s="11"/>
      <c r="M1446" s="13"/>
      <c r="N1446" s="86">
        <v>96300</v>
      </c>
      <c r="O1446" s="28"/>
      <c r="P1446" s="1" t="s">
        <v>91</v>
      </c>
      <c r="Q1446" s="32"/>
      <c r="R1446" s="191">
        <v>96300</v>
      </c>
    </row>
    <row r="1447" spans="1:18" ht="15.75" customHeight="1" x14ac:dyDescent="0.3">
      <c r="A1447" s="132" t="s">
        <v>4329</v>
      </c>
      <c r="B1447" s="3" t="s">
        <v>4329</v>
      </c>
      <c r="C1447" s="3" t="s">
        <v>4489</v>
      </c>
      <c r="D1447" t="s">
        <v>4502</v>
      </c>
      <c r="E1447" s="143"/>
      <c r="F1447" s="12"/>
      <c r="G1447" s="12"/>
      <c r="H1447" s="3" t="s">
        <v>4327</v>
      </c>
      <c r="I1447"/>
      <c r="J1447" s="166"/>
      <c r="K1447" s="11"/>
      <c r="L1447" s="11"/>
      <c r="M1447" s="13"/>
      <c r="N1447" s="86">
        <v>14150</v>
      </c>
      <c r="O1447" s="28"/>
      <c r="P1447" s="1" t="s">
        <v>106</v>
      </c>
      <c r="Q1447" s="32"/>
      <c r="R1447" s="191">
        <v>14150</v>
      </c>
    </row>
    <row r="1448" spans="1:18" ht="15.75" customHeight="1" x14ac:dyDescent="0.3">
      <c r="A1448" s="54" t="s">
        <v>4330</v>
      </c>
      <c r="B1448" s="54" t="s">
        <v>4330</v>
      </c>
      <c r="C1448" s="54" t="s">
        <v>4489</v>
      </c>
      <c r="D1448" t="s">
        <v>4492</v>
      </c>
      <c r="E1448" s="55"/>
      <c r="F1448" s="83"/>
      <c r="G1448" s="83"/>
      <c r="H1448" s="54" t="s">
        <v>4331</v>
      </c>
      <c r="I1448"/>
      <c r="J1448" s="185"/>
      <c r="K1448" s="54"/>
      <c r="L1448" s="54"/>
      <c r="M1448" s="57"/>
      <c r="N1448" s="93">
        <v>158734.14000000001</v>
      </c>
      <c r="O1448" s="82"/>
      <c r="P1448" s="85" t="s">
        <v>66</v>
      </c>
      <c r="Q1448" s="32"/>
      <c r="R1448" s="196" t="s">
        <v>5035</v>
      </c>
    </row>
    <row r="1449" spans="1:18" ht="15.75" customHeight="1" x14ac:dyDescent="0.3">
      <c r="A1449" s="132" t="s">
        <v>4332</v>
      </c>
      <c r="B1449" s="3" t="s">
        <v>4332</v>
      </c>
      <c r="C1449" s="3" t="s">
        <v>4520</v>
      </c>
      <c r="D1449" t="s">
        <v>4495</v>
      </c>
      <c r="E1449" s="143"/>
      <c r="F1449" s="12"/>
      <c r="G1449" s="12"/>
      <c r="H1449" s="3" t="s">
        <v>4306</v>
      </c>
      <c r="I1449"/>
      <c r="J1449" s="166">
        <v>31246</v>
      </c>
      <c r="K1449" s="11" t="s">
        <v>196</v>
      </c>
      <c r="L1449" s="11" t="s">
        <v>197</v>
      </c>
      <c r="M1449" s="13">
        <v>45847</v>
      </c>
      <c r="N1449" s="86">
        <v>3400</v>
      </c>
      <c r="O1449" s="28"/>
      <c r="P1449" s="1" t="s">
        <v>66</v>
      </c>
      <c r="Q1449" s="32"/>
      <c r="R1449" s="191">
        <v>3400</v>
      </c>
    </row>
    <row r="1450" spans="1:18" ht="15.75" customHeight="1" x14ac:dyDescent="0.3">
      <c r="A1450" s="132" t="s">
        <v>4333</v>
      </c>
      <c r="B1450" s="3" t="s">
        <v>4333</v>
      </c>
      <c r="C1450" s="3" t="s">
        <v>4520</v>
      </c>
      <c r="D1450" t="s">
        <v>4495</v>
      </c>
      <c r="E1450" s="143"/>
      <c r="F1450" s="12"/>
      <c r="G1450" s="12"/>
      <c r="H1450" s="3" t="s">
        <v>4308</v>
      </c>
      <c r="I1450"/>
      <c r="J1450" s="166">
        <v>31246</v>
      </c>
      <c r="K1450" s="11" t="s">
        <v>196</v>
      </c>
      <c r="L1450" s="11" t="s">
        <v>197</v>
      </c>
      <c r="M1450" s="13">
        <v>45847</v>
      </c>
      <c r="N1450" s="86">
        <v>3400</v>
      </c>
      <c r="O1450" s="28"/>
      <c r="P1450" s="1" t="s">
        <v>66</v>
      </c>
      <c r="Q1450" s="32"/>
      <c r="R1450" s="191">
        <v>3400</v>
      </c>
    </row>
    <row r="1451" spans="1:18" ht="15.75" customHeight="1" x14ac:dyDescent="0.3">
      <c r="A1451" s="132" t="s">
        <v>4334</v>
      </c>
      <c r="B1451" s="3" t="s">
        <v>4334</v>
      </c>
      <c r="C1451" s="3" t="s">
        <v>4520</v>
      </c>
      <c r="D1451" t="s">
        <v>4495</v>
      </c>
      <c r="E1451" s="143"/>
      <c r="F1451" s="12"/>
      <c r="G1451" s="12"/>
      <c r="H1451" s="3" t="s">
        <v>4310</v>
      </c>
      <c r="I1451"/>
      <c r="J1451" s="166">
        <v>31246</v>
      </c>
      <c r="K1451" s="11" t="s">
        <v>196</v>
      </c>
      <c r="L1451" s="11" t="s">
        <v>197</v>
      </c>
      <c r="M1451" s="13">
        <v>45847</v>
      </c>
      <c r="N1451" s="86">
        <v>3400</v>
      </c>
      <c r="O1451" s="28"/>
      <c r="P1451" s="1" t="s">
        <v>66</v>
      </c>
      <c r="Q1451" s="32"/>
      <c r="R1451" s="191">
        <v>3400</v>
      </c>
    </row>
    <row r="1452" spans="1:18" ht="15.75" customHeight="1" x14ac:dyDescent="0.3">
      <c r="A1452" s="132" t="s">
        <v>4335</v>
      </c>
      <c r="B1452" s="3" t="s">
        <v>4335</v>
      </c>
      <c r="C1452" s="3" t="s">
        <v>4520</v>
      </c>
      <c r="D1452" t="s">
        <v>4495</v>
      </c>
      <c r="E1452" s="143"/>
      <c r="F1452" s="12"/>
      <c r="G1452" s="12"/>
      <c r="H1452" s="3" t="s">
        <v>4312</v>
      </c>
      <c r="I1452"/>
      <c r="J1452" s="166">
        <v>31246</v>
      </c>
      <c r="K1452" s="11" t="s">
        <v>196</v>
      </c>
      <c r="L1452" s="11" t="s">
        <v>197</v>
      </c>
      <c r="M1452" s="13">
        <v>45847</v>
      </c>
      <c r="N1452" s="86">
        <v>3400</v>
      </c>
      <c r="O1452" s="28"/>
      <c r="P1452" s="1" t="s">
        <v>66</v>
      </c>
      <c r="Q1452" s="32"/>
      <c r="R1452" s="191">
        <v>3400</v>
      </c>
    </row>
    <row r="1453" spans="1:18" ht="15.75" customHeight="1" x14ac:dyDescent="0.3">
      <c r="A1453" s="132" t="s">
        <v>4336</v>
      </c>
      <c r="B1453" s="3" t="s">
        <v>4336</v>
      </c>
      <c r="C1453" s="3" t="s">
        <v>4520</v>
      </c>
      <c r="D1453" t="s">
        <v>4495</v>
      </c>
      <c r="E1453" s="143"/>
      <c r="F1453" s="12"/>
      <c r="G1453" s="12"/>
      <c r="H1453" s="3" t="s">
        <v>4337</v>
      </c>
      <c r="I1453"/>
      <c r="J1453" s="166">
        <v>31246</v>
      </c>
      <c r="K1453" s="11" t="s">
        <v>196</v>
      </c>
      <c r="L1453" s="11" t="s">
        <v>197</v>
      </c>
      <c r="M1453" s="13">
        <v>45847</v>
      </c>
      <c r="N1453" s="86">
        <v>3400</v>
      </c>
      <c r="O1453" s="28"/>
      <c r="P1453" s="1" t="s">
        <v>66</v>
      </c>
      <c r="Q1453" s="32"/>
      <c r="R1453" s="191">
        <v>3400</v>
      </c>
    </row>
    <row r="1454" spans="1:18" ht="15.75" customHeight="1" x14ac:dyDescent="0.3">
      <c r="A1454" s="132" t="s">
        <v>4338</v>
      </c>
      <c r="B1454" s="3" t="s">
        <v>4338</v>
      </c>
      <c r="C1454" s="11" t="s">
        <v>4490</v>
      </c>
      <c r="D1454" t="s">
        <v>4495</v>
      </c>
      <c r="E1454"/>
      <c r="F1454" t="s">
        <v>4339</v>
      </c>
      <c r="G1454" t="s">
        <v>4643</v>
      </c>
      <c r="H1454" s="3" t="s">
        <v>4340</v>
      </c>
      <c r="I1454" t="s">
        <v>4339</v>
      </c>
      <c r="J1454" s="166">
        <v>170957</v>
      </c>
      <c r="K1454" s="11" t="s">
        <v>176</v>
      </c>
      <c r="L1454" s="11" t="s">
        <v>1015</v>
      </c>
      <c r="M1454" s="13"/>
      <c r="N1454" s="86">
        <v>1550000</v>
      </c>
      <c r="O1454" s="28" t="s">
        <v>20</v>
      </c>
      <c r="P1454" s="1" t="s">
        <v>66</v>
      </c>
      <c r="Q1454" s="32"/>
      <c r="R1454" s="191">
        <v>1550000</v>
      </c>
    </row>
    <row r="1455" spans="1:18" ht="15.75" customHeight="1" x14ac:dyDescent="0.3">
      <c r="A1455" s="132" t="s">
        <v>4341</v>
      </c>
      <c r="B1455" s="3" t="s">
        <v>4341</v>
      </c>
      <c r="C1455" s="11" t="s">
        <v>4490</v>
      </c>
      <c r="D1455" t="s">
        <v>4495</v>
      </c>
      <c r="E1455"/>
      <c r="F1455" t="s">
        <v>4342</v>
      </c>
      <c r="G1455" t="s">
        <v>4643</v>
      </c>
      <c r="H1455" s="3" t="s">
        <v>4340</v>
      </c>
      <c r="I1455" t="s">
        <v>4342</v>
      </c>
      <c r="J1455" s="166">
        <v>170959</v>
      </c>
      <c r="K1455" s="11" t="s">
        <v>176</v>
      </c>
      <c r="L1455" s="11" t="s">
        <v>1015</v>
      </c>
      <c r="M1455" s="13"/>
      <c r="N1455" s="86">
        <v>1550000</v>
      </c>
      <c r="O1455" s="28" t="s">
        <v>20</v>
      </c>
      <c r="P1455" s="1" t="s">
        <v>66</v>
      </c>
      <c r="Q1455" s="32"/>
      <c r="R1455" s="191">
        <v>1550000</v>
      </c>
    </row>
    <row r="1456" spans="1:18" ht="15.75" customHeight="1" x14ac:dyDescent="0.3">
      <c r="A1456" s="132" t="s">
        <v>4343</v>
      </c>
      <c r="B1456" s="3" t="s">
        <v>4343</v>
      </c>
      <c r="C1456" s="11" t="s">
        <v>4490</v>
      </c>
      <c r="D1456" t="s">
        <v>4494</v>
      </c>
      <c r="E1456"/>
      <c r="F1456" t="s">
        <v>4346</v>
      </c>
      <c r="G1456" t="s">
        <v>4643</v>
      </c>
      <c r="H1456" s="3" t="s">
        <v>4340</v>
      </c>
      <c r="I1456" t="s">
        <v>4346</v>
      </c>
      <c r="J1456" s="166">
        <v>170960</v>
      </c>
      <c r="K1456" s="11" t="s">
        <v>176</v>
      </c>
      <c r="L1456" s="11" t="s">
        <v>1015</v>
      </c>
      <c r="M1456" s="13"/>
      <c r="N1456" s="86">
        <v>1550000</v>
      </c>
      <c r="O1456" s="28" t="s">
        <v>20</v>
      </c>
      <c r="P1456" s="1" t="s">
        <v>66</v>
      </c>
      <c r="Q1456" s="32"/>
      <c r="R1456" s="191">
        <v>1550000</v>
      </c>
    </row>
    <row r="1457" spans="1:18" ht="15.75" customHeight="1" x14ac:dyDescent="0.3">
      <c r="A1457" s="132" t="s">
        <v>4345</v>
      </c>
      <c r="B1457" s="3" t="s">
        <v>4345</v>
      </c>
      <c r="C1457" s="11" t="s">
        <v>4490</v>
      </c>
      <c r="D1457" t="s">
        <v>4495</v>
      </c>
      <c r="E1457"/>
      <c r="F1457" t="s">
        <v>4344</v>
      </c>
      <c r="G1457" t="s">
        <v>4643</v>
      </c>
      <c r="H1457" s="3" t="s">
        <v>4340</v>
      </c>
      <c r="I1457" t="s">
        <v>4344</v>
      </c>
      <c r="J1457" s="166">
        <v>19233</v>
      </c>
      <c r="K1457" s="11" t="s">
        <v>176</v>
      </c>
      <c r="L1457" s="11" t="s">
        <v>1015</v>
      </c>
      <c r="M1457" s="13"/>
      <c r="N1457" s="86">
        <v>1550000</v>
      </c>
      <c r="O1457" s="28" t="s">
        <v>20</v>
      </c>
      <c r="P1457" s="1" t="s">
        <v>66</v>
      </c>
      <c r="Q1457" s="32"/>
      <c r="R1457" s="191">
        <v>1550000</v>
      </c>
    </row>
    <row r="1458" spans="1:18" ht="15.75" customHeight="1" x14ac:dyDescent="0.3">
      <c r="A1458" s="132" t="s">
        <v>4347</v>
      </c>
      <c r="B1458" s="3" t="s">
        <v>4347</v>
      </c>
      <c r="C1458" s="11" t="s">
        <v>4490</v>
      </c>
      <c r="D1458" t="s">
        <v>4495</v>
      </c>
      <c r="E1458"/>
      <c r="F1458" t="s">
        <v>4667</v>
      </c>
      <c r="G1458" t="s">
        <v>4643</v>
      </c>
      <c r="H1458" s="3" t="s">
        <v>4348</v>
      </c>
      <c r="I1458"/>
      <c r="J1458" s="166">
        <v>171229</v>
      </c>
      <c r="K1458" s="11" t="s">
        <v>176</v>
      </c>
      <c r="L1458" s="11" t="s">
        <v>1015</v>
      </c>
      <c r="M1458" s="29">
        <v>45861</v>
      </c>
      <c r="N1458" s="86">
        <v>300000</v>
      </c>
      <c r="O1458" s="28"/>
      <c r="P1458" s="1" t="s">
        <v>66</v>
      </c>
      <c r="Q1458" s="32"/>
      <c r="R1458" s="191">
        <v>300000</v>
      </c>
    </row>
    <row r="1459" spans="1:18" ht="15.75" customHeight="1" x14ac:dyDescent="0.3">
      <c r="A1459" s="132" t="s">
        <v>4349</v>
      </c>
      <c r="B1459" s="3" t="s">
        <v>4349</v>
      </c>
      <c r="C1459" s="11" t="s">
        <v>4490</v>
      </c>
      <c r="D1459" t="s">
        <v>4495</v>
      </c>
      <c r="E1459"/>
      <c r="F1459" t="s">
        <v>4668</v>
      </c>
      <c r="G1459" t="s">
        <v>4643</v>
      </c>
      <c r="H1459" s="12" t="s">
        <v>4348</v>
      </c>
      <c r="I1459"/>
      <c r="J1459" s="166">
        <v>171230</v>
      </c>
      <c r="K1459" s="11" t="s">
        <v>176</v>
      </c>
      <c r="L1459" s="11" t="s">
        <v>1015</v>
      </c>
      <c r="M1459" s="29">
        <v>45861</v>
      </c>
      <c r="N1459" s="86">
        <v>300000</v>
      </c>
      <c r="O1459" s="28"/>
      <c r="P1459" s="1" t="s">
        <v>66</v>
      </c>
      <c r="Q1459" s="32"/>
      <c r="R1459" s="191">
        <v>300000</v>
      </c>
    </row>
    <row r="1460" spans="1:18" ht="15.75" customHeight="1" x14ac:dyDescent="0.3">
      <c r="A1460" s="132" t="s">
        <v>4350</v>
      </c>
      <c r="B1460" s="3" t="s">
        <v>4350</v>
      </c>
      <c r="C1460" s="11" t="s">
        <v>4490</v>
      </c>
      <c r="D1460" t="s">
        <v>4495</v>
      </c>
      <c r="E1460"/>
      <c r="F1460" t="s">
        <v>4669</v>
      </c>
      <c r="G1460" t="s">
        <v>4643</v>
      </c>
      <c r="H1460" s="12" t="s">
        <v>4348</v>
      </c>
      <c r="I1460"/>
      <c r="J1460" s="166">
        <v>171228</v>
      </c>
      <c r="K1460" s="11" t="s">
        <v>176</v>
      </c>
      <c r="L1460" s="11" t="s">
        <v>1015</v>
      </c>
      <c r="M1460" s="29">
        <v>45861</v>
      </c>
      <c r="N1460" s="86">
        <v>300000</v>
      </c>
      <c r="O1460" s="28"/>
      <c r="P1460" s="1" t="s">
        <v>66</v>
      </c>
      <c r="Q1460" s="32"/>
      <c r="R1460" s="191">
        <v>300000</v>
      </c>
    </row>
    <row r="1461" spans="1:18" ht="15.75" customHeight="1" x14ac:dyDescent="0.3">
      <c r="A1461" s="132" t="s">
        <v>4351</v>
      </c>
      <c r="B1461" s="3" t="s">
        <v>4351</v>
      </c>
      <c r="C1461" s="11" t="s">
        <v>4490</v>
      </c>
      <c r="D1461" t="s">
        <v>4495</v>
      </c>
      <c r="E1461"/>
      <c r="F1461" t="s">
        <v>4352</v>
      </c>
      <c r="G1461" t="s">
        <v>4643</v>
      </c>
      <c r="H1461" s="3" t="s">
        <v>4353</v>
      </c>
      <c r="I1461"/>
      <c r="J1461" s="166">
        <v>171269</v>
      </c>
      <c r="K1461" s="11" t="s">
        <v>176</v>
      </c>
      <c r="L1461" s="11" t="s">
        <v>1015</v>
      </c>
      <c r="M1461" s="29">
        <v>45862</v>
      </c>
      <c r="N1461" s="86">
        <v>460000</v>
      </c>
      <c r="O1461" s="28" t="s">
        <v>20</v>
      </c>
      <c r="P1461" s="1" t="s">
        <v>66</v>
      </c>
      <c r="Q1461" s="32"/>
      <c r="R1461" s="191">
        <v>460000</v>
      </c>
    </row>
    <row r="1462" spans="1:18" ht="15.75" customHeight="1" x14ac:dyDescent="0.3">
      <c r="A1462" s="132" t="s">
        <v>4354</v>
      </c>
      <c r="B1462" s="3" t="s">
        <v>4354</v>
      </c>
      <c r="C1462" s="11" t="s">
        <v>4490</v>
      </c>
      <c r="D1462" t="s">
        <v>4495</v>
      </c>
      <c r="E1462"/>
      <c r="F1462" t="s">
        <v>4355</v>
      </c>
      <c r="G1462" t="s">
        <v>4643</v>
      </c>
      <c r="H1462" s="3" t="s">
        <v>4353</v>
      </c>
      <c r="I1462"/>
      <c r="J1462" s="166">
        <v>171271</v>
      </c>
      <c r="K1462" s="11" t="s">
        <v>176</v>
      </c>
      <c r="L1462" s="11" t="s">
        <v>1015</v>
      </c>
      <c r="M1462" s="29">
        <v>45862</v>
      </c>
      <c r="N1462" s="86">
        <v>460000</v>
      </c>
      <c r="O1462" s="28"/>
      <c r="P1462" s="1" t="s">
        <v>66</v>
      </c>
      <c r="Q1462" s="32"/>
      <c r="R1462" s="191">
        <v>460000</v>
      </c>
    </row>
    <row r="1463" spans="1:18" ht="15.75" customHeight="1" x14ac:dyDescent="0.3">
      <c r="A1463" s="132" t="s">
        <v>4356</v>
      </c>
      <c r="B1463" s="3" t="s">
        <v>4356</v>
      </c>
      <c r="C1463" s="11" t="s">
        <v>4490</v>
      </c>
      <c r="D1463" t="s">
        <v>4495</v>
      </c>
      <c r="E1463"/>
      <c r="F1463" t="s">
        <v>4357</v>
      </c>
      <c r="G1463" t="s">
        <v>4643</v>
      </c>
      <c r="H1463" s="3" t="s">
        <v>4353</v>
      </c>
      <c r="I1463"/>
      <c r="J1463" s="166">
        <v>171267</v>
      </c>
      <c r="K1463" s="11" t="s">
        <v>176</v>
      </c>
      <c r="L1463" s="11" t="s">
        <v>1015</v>
      </c>
      <c r="M1463" s="29">
        <v>45862</v>
      </c>
      <c r="N1463" s="86">
        <v>460000</v>
      </c>
      <c r="O1463" s="28"/>
      <c r="P1463" s="1" t="s">
        <v>66</v>
      </c>
      <c r="Q1463" s="32"/>
      <c r="R1463" s="191">
        <v>460000</v>
      </c>
    </row>
    <row r="1464" spans="1:18" ht="15.75" customHeight="1" x14ac:dyDescent="0.3">
      <c r="A1464" s="132" t="s">
        <v>4358</v>
      </c>
      <c r="B1464" s="3" t="s">
        <v>4358</v>
      </c>
      <c r="C1464" s="11" t="s">
        <v>4490</v>
      </c>
      <c r="D1464" t="s">
        <v>4495</v>
      </c>
      <c r="E1464"/>
      <c r="F1464" t="s">
        <v>4359</v>
      </c>
      <c r="G1464" t="s">
        <v>4643</v>
      </c>
      <c r="H1464" s="3" t="s">
        <v>4348</v>
      </c>
      <c r="I1464"/>
      <c r="J1464" s="166">
        <v>171369</v>
      </c>
      <c r="K1464" s="11" t="s">
        <v>176</v>
      </c>
      <c r="L1464" s="11" t="s">
        <v>1015</v>
      </c>
      <c r="M1464" s="29">
        <v>45866</v>
      </c>
      <c r="N1464" s="86">
        <v>300000</v>
      </c>
      <c r="O1464" s="28"/>
      <c r="P1464" s="1" t="s">
        <v>66</v>
      </c>
      <c r="Q1464" s="32"/>
      <c r="R1464" s="191">
        <v>300000</v>
      </c>
    </row>
    <row r="1465" spans="1:18" ht="15.75" customHeight="1" x14ac:dyDescent="0.3">
      <c r="A1465" s="132" t="s">
        <v>4360</v>
      </c>
      <c r="B1465" s="3" t="s">
        <v>4360</v>
      </c>
      <c r="C1465" s="11" t="s">
        <v>4490</v>
      </c>
      <c r="D1465" t="s">
        <v>4495</v>
      </c>
      <c r="E1465"/>
      <c r="F1465" t="s">
        <v>4361</v>
      </c>
      <c r="G1465" t="s">
        <v>4643</v>
      </c>
      <c r="H1465" s="3" t="s">
        <v>4348</v>
      </c>
      <c r="I1465"/>
      <c r="J1465" s="166">
        <v>171368</v>
      </c>
      <c r="K1465" s="11" t="s">
        <v>176</v>
      </c>
      <c r="L1465" s="11" t="s">
        <v>1015</v>
      </c>
      <c r="M1465" s="29">
        <v>45866</v>
      </c>
      <c r="N1465" s="86">
        <v>300000</v>
      </c>
      <c r="O1465" s="28"/>
      <c r="P1465" s="1" t="s">
        <v>66</v>
      </c>
      <c r="Q1465" s="32"/>
      <c r="R1465" s="191">
        <v>300000</v>
      </c>
    </row>
    <row r="1466" spans="1:18" ht="15.75" customHeight="1" x14ac:dyDescent="0.3">
      <c r="A1466" s="132" t="s">
        <v>4362</v>
      </c>
      <c r="B1466" s="3" t="s">
        <v>4362</v>
      </c>
      <c r="C1466" s="11" t="s">
        <v>4489</v>
      </c>
      <c r="D1466" t="s">
        <v>4494</v>
      </c>
      <c r="E1466"/>
      <c r="F1466" t="s">
        <v>4670</v>
      </c>
      <c r="G1466"/>
      <c r="H1466" s="3" t="s">
        <v>4363</v>
      </c>
      <c r="I1466"/>
      <c r="J1466" s="165">
        <v>75936</v>
      </c>
      <c r="K1466" s="11" t="s">
        <v>3308</v>
      </c>
      <c r="L1466" s="11" t="s">
        <v>551</v>
      </c>
      <c r="M1466" s="29">
        <v>45874</v>
      </c>
      <c r="N1466" s="86">
        <v>2820.55</v>
      </c>
      <c r="O1466" s="28"/>
      <c r="P1466" s="1" t="s">
        <v>44</v>
      </c>
      <c r="Q1466" s="32"/>
      <c r="R1466" s="191" t="s">
        <v>5036</v>
      </c>
    </row>
    <row r="1467" spans="1:18" ht="15.75" customHeight="1" x14ac:dyDescent="0.3">
      <c r="A1467" s="132" t="s">
        <v>4364</v>
      </c>
      <c r="B1467" s="3" t="s">
        <v>4364</v>
      </c>
      <c r="C1467" s="3" t="s">
        <v>4520</v>
      </c>
      <c r="D1467" t="s">
        <v>4494</v>
      </c>
      <c r="E1467" s="143"/>
      <c r="F1467" s="12"/>
      <c r="G1467" s="12"/>
      <c r="H1467" s="3" t="s">
        <v>4365</v>
      </c>
      <c r="I1467"/>
      <c r="J1467" s="166">
        <v>2710</v>
      </c>
      <c r="K1467" s="3" t="s">
        <v>735</v>
      </c>
      <c r="L1467" s="142" t="s">
        <v>105</v>
      </c>
      <c r="M1467" s="29">
        <v>45880</v>
      </c>
      <c r="N1467" s="86">
        <v>1490</v>
      </c>
      <c r="O1467" s="28"/>
      <c r="P1467" s="1" t="s">
        <v>44</v>
      </c>
      <c r="Q1467" s="32"/>
      <c r="R1467" s="191">
        <v>1490</v>
      </c>
    </row>
    <row r="1468" spans="1:18" ht="15.75" customHeight="1" x14ac:dyDescent="0.3">
      <c r="A1468" s="132" t="s">
        <v>4366</v>
      </c>
      <c r="B1468" s="3" t="s">
        <v>4366</v>
      </c>
      <c r="C1468" s="3" t="s">
        <v>4520</v>
      </c>
      <c r="D1468" t="s">
        <v>4496</v>
      </c>
      <c r="E1468" s="143"/>
      <c r="F1468" s="12"/>
      <c r="G1468" s="12"/>
      <c r="H1468" s="3" t="s">
        <v>4367</v>
      </c>
      <c r="I1468" t="s">
        <v>4604</v>
      </c>
      <c r="J1468" s="166">
        <v>2699</v>
      </c>
      <c r="K1468" s="3" t="s">
        <v>735</v>
      </c>
      <c r="L1468" s="11" t="s">
        <v>105</v>
      </c>
      <c r="M1468" s="29">
        <v>45877</v>
      </c>
      <c r="N1468" s="86">
        <v>10000</v>
      </c>
      <c r="O1468" s="28" t="s">
        <v>20</v>
      </c>
      <c r="P1468" s="1" t="s">
        <v>106</v>
      </c>
      <c r="Q1468" s="32"/>
      <c r="R1468" s="191">
        <v>10000</v>
      </c>
    </row>
    <row r="1469" spans="1:18" ht="15.75" customHeight="1" x14ac:dyDescent="0.3">
      <c r="A1469" s="3" t="s">
        <v>4368</v>
      </c>
      <c r="B1469" s="3" t="s">
        <v>4368</v>
      </c>
      <c r="C1469" s="3" t="s">
        <v>4519</v>
      </c>
      <c r="D1469" t="s">
        <v>4492</v>
      </c>
      <c r="E1469" s="143"/>
      <c r="F1469" s="12"/>
      <c r="G1469" s="12"/>
      <c r="H1469" s="3" t="s">
        <v>4369</v>
      </c>
      <c r="I1469"/>
      <c r="J1469" s="166">
        <v>43345</v>
      </c>
      <c r="K1469" s="11" t="s">
        <v>187</v>
      </c>
      <c r="L1469" s="11" t="s">
        <v>188</v>
      </c>
      <c r="M1469" s="29">
        <v>45876</v>
      </c>
      <c r="N1469" s="86">
        <v>2699.9</v>
      </c>
      <c r="O1469" s="28"/>
      <c r="P1469" s="1"/>
      <c r="Q1469" s="32"/>
      <c r="R1469" s="191" t="s">
        <v>4749</v>
      </c>
    </row>
    <row r="1470" spans="1:18" ht="15.75" customHeight="1" x14ac:dyDescent="0.3">
      <c r="A1470" s="132" t="s">
        <v>4370</v>
      </c>
      <c r="B1470" s="3" t="s">
        <v>4370</v>
      </c>
      <c r="C1470" s="11" t="s">
        <v>4487</v>
      </c>
      <c r="D1470" t="s">
        <v>4496</v>
      </c>
      <c r="E1470" t="s">
        <v>4371</v>
      </c>
      <c r="F1470" t="s">
        <v>4372</v>
      </c>
      <c r="G1470" t="s">
        <v>4626</v>
      </c>
      <c r="H1470" s="3" t="s">
        <v>3333</v>
      </c>
      <c r="I1470" t="s">
        <v>4605</v>
      </c>
      <c r="J1470" s="166">
        <v>291768</v>
      </c>
      <c r="K1470" s="3" t="s">
        <v>1748</v>
      </c>
      <c r="L1470" s="11" t="s">
        <v>2270</v>
      </c>
      <c r="M1470" s="29">
        <v>45905</v>
      </c>
      <c r="N1470" s="86">
        <v>227897.74</v>
      </c>
      <c r="O1470" s="28" t="s">
        <v>20</v>
      </c>
      <c r="P1470" s="1" t="s">
        <v>106</v>
      </c>
      <c r="Q1470" s="32"/>
      <c r="R1470" s="191" t="s">
        <v>4940</v>
      </c>
    </row>
    <row r="1471" spans="1:18" ht="15.75" hidden="1" customHeight="1" x14ac:dyDescent="0.3">
      <c r="A1471" s="3" t="s">
        <v>4373</v>
      </c>
      <c r="B1471" s="3" t="s">
        <v>4373</v>
      </c>
      <c r="C1471" s="3" t="s">
        <v>4489</v>
      </c>
      <c r="D1471" t="s">
        <v>4495</v>
      </c>
      <c r="E1471" s="3"/>
      <c r="F1471" s="15"/>
      <c r="G1471" s="15"/>
      <c r="H1471" s="3" t="s">
        <v>4374</v>
      </c>
      <c r="I1471"/>
      <c r="J1471" s="166"/>
      <c r="K1471" s="11"/>
      <c r="L1471" s="11"/>
      <c r="M1471" s="13"/>
      <c r="N1471" s="86"/>
      <c r="O1471" s="28"/>
      <c r="P1471" s="1" t="s">
        <v>66</v>
      </c>
      <c r="Q1471" s="32"/>
      <c r="R1471" s="191"/>
    </row>
    <row r="1472" spans="1:18" ht="15.75" customHeight="1" x14ac:dyDescent="0.3">
      <c r="A1472" s="156" t="s">
        <v>4375</v>
      </c>
      <c r="B1472" s="55" t="s">
        <v>4375</v>
      </c>
      <c r="C1472" s="55" t="s">
        <v>4519</v>
      </c>
      <c r="D1472" t="s">
        <v>4493</v>
      </c>
      <c r="E1472" s="55"/>
      <c r="F1472" s="56"/>
      <c r="G1472" s="56"/>
      <c r="H1472" s="55" t="s">
        <v>1794</v>
      </c>
      <c r="I1472"/>
      <c r="J1472" s="169">
        <v>294910</v>
      </c>
      <c r="K1472" s="55" t="s">
        <v>1089</v>
      </c>
      <c r="L1472" s="55" t="s">
        <v>1090</v>
      </c>
      <c r="M1472" s="61">
        <v>45987</v>
      </c>
      <c r="N1472" s="95">
        <v>8470</v>
      </c>
      <c r="O1472" s="82"/>
      <c r="P1472" s="58"/>
      <c r="Q1472" s="32"/>
      <c r="R1472" s="197">
        <v>8470</v>
      </c>
    </row>
    <row r="1473" spans="1:18" ht="15.75" customHeight="1" x14ac:dyDescent="0.3">
      <c r="A1473" s="132" t="s">
        <v>4376</v>
      </c>
      <c r="B1473" s="3" t="s">
        <v>4376</v>
      </c>
      <c r="C1473" s="3" t="s">
        <v>4489</v>
      </c>
      <c r="D1473" t="s">
        <v>4492</v>
      </c>
      <c r="E1473" s="160"/>
      <c r="F1473" t="s">
        <v>4671</v>
      </c>
      <c r="G1473"/>
      <c r="H1473" s="3" t="s">
        <v>4377</v>
      </c>
      <c r="I1473"/>
      <c r="J1473" s="166">
        <v>2398</v>
      </c>
      <c r="K1473" s="3" t="s">
        <v>4378</v>
      </c>
      <c r="L1473" s="3" t="s">
        <v>4379</v>
      </c>
      <c r="M1473" s="29">
        <v>45912</v>
      </c>
      <c r="N1473" s="86">
        <v>110000</v>
      </c>
      <c r="O1473" s="28" t="s">
        <v>20</v>
      </c>
      <c r="P1473" s="1" t="s">
        <v>66</v>
      </c>
      <c r="Q1473" s="32"/>
      <c r="R1473" s="191">
        <v>110000</v>
      </c>
    </row>
    <row r="1474" spans="1:18" ht="15.75" customHeight="1" x14ac:dyDescent="0.3">
      <c r="A1474" s="132" t="s">
        <v>4380</v>
      </c>
      <c r="B1474" s="3" t="s">
        <v>4380</v>
      </c>
      <c r="C1474" s="3" t="s">
        <v>4520</v>
      </c>
      <c r="D1474" t="s">
        <v>4496</v>
      </c>
      <c r="E1474" s="3"/>
      <c r="F1474" s="15"/>
      <c r="G1474" s="15"/>
      <c r="H1474" s="3" t="s">
        <v>4381</v>
      </c>
      <c r="I1474"/>
      <c r="J1474" s="166">
        <v>2840</v>
      </c>
      <c r="K1474" s="11" t="s">
        <v>735</v>
      </c>
      <c r="L1474" s="11" t="s">
        <v>105</v>
      </c>
      <c r="M1474" s="29">
        <v>45912</v>
      </c>
      <c r="N1474" s="86">
        <v>1140</v>
      </c>
      <c r="O1474" s="28"/>
      <c r="P1474" s="1" t="s">
        <v>106</v>
      </c>
      <c r="Q1474" s="32"/>
      <c r="R1474" s="191">
        <v>1140</v>
      </c>
    </row>
    <row r="1475" spans="1:18" ht="15.75" customHeight="1" x14ac:dyDescent="0.3">
      <c r="A1475" s="142" t="s">
        <v>4382</v>
      </c>
      <c r="B1475" s="11" t="s">
        <v>4382</v>
      </c>
      <c r="C1475" s="11" t="s">
        <v>4490</v>
      </c>
      <c r="D1475" t="s">
        <v>4493</v>
      </c>
      <c r="E1475" s="11"/>
      <c r="F1475" s="15"/>
      <c r="G1475" s="15"/>
      <c r="H1475" s="11" t="s">
        <v>474</v>
      </c>
      <c r="I1475"/>
      <c r="J1475" s="166">
        <v>2660</v>
      </c>
      <c r="K1475" s="3" t="s">
        <v>3396</v>
      </c>
      <c r="L1475" s="3" t="s">
        <v>3397</v>
      </c>
      <c r="M1475" s="29">
        <v>45929</v>
      </c>
      <c r="N1475" s="86">
        <v>2583</v>
      </c>
      <c r="O1475" s="28"/>
      <c r="P1475" s="1" t="s">
        <v>91</v>
      </c>
      <c r="Q1475" s="32"/>
      <c r="R1475" s="191">
        <v>2583</v>
      </c>
    </row>
    <row r="1476" spans="1:18" ht="15.75" customHeight="1" x14ac:dyDescent="0.3">
      <c r="A1476" s="132" t="s">
        <v>4383</v>
      </c>
      <c r="B1476" s="3" t="s">
        <v>4383</v>
      </c>
      <c r="C1476" s="3" t="s">
        <v>4490</v>
      </c>
      <c r="D1476" t="s">
        <v>4495</v>
      </c>
      <c r="E1476"/>
      <c r="F1476" t="s">
        <v>4384</v>
      </c>
      <c r="G1476" t="s">
        <v>4643</v>
      </c>
      <c r="H1476" s="3" t="s">
        <v>4385</v>
      </c>
      <c r="I1476"/>
      <c r="J1476" s="166">
        <v>168</v>
      </c>
      <c r="K1476" s="11" t="s">
        <v>4483</v>
      </c>
      <c r="L1476" s="44" t="s">
        <v>4484</v>
      </c>
      <c r="M1476" s="119">
        <v>46002</v>
      </c>
      <c r="N1476" s="120">
        <v>2300000</v>
      </c>
      <c r="O1476" s="28"/>
      <c r="P1476" s="1" t="s">
        <v>78</v>
      </c>
      <c r="Q1476" s="32"/>
      <c r="R1476" s="198">
        <v>2300000</v>
      </c>
    </row>
    <row r="1477" spans="1:18" ht="15.75" customHeight="1" x14ac:dyDescent="0.3">
      <c r="A1477" s="132" t="s">
        <v>4386</v>
      </c>
      <c r="B1477" s="3" t="s">
        <v>4386</v>
      </c>
      <c r="C1477" s="3" t="s">
        <v>4519</v>
      </c>
      <c r="D1477" t="s">
        <v>4495</v>
      </c>
      <c r="E1477" s="3"/>
      <c r="F1477" s="15"/>
      <c r="G1477" s="15"/>
      <c r="H1477" s="3" t="s">
        <v>3861</v>
      </c>
      <c r="I1477" t="s">
        <v>4606</v>
      </c>
      <c r="J1477" s="166">
        <v>46973</v>
      </c>
      <c r="K1477" s="3" t="s">
        <v>187</v>
      </c>
      <c r="L1477" s="3" t="s">
        <v>188</v>
      </c>
      <c r="M1477" s="29">
        <v>45965</v>
      </c>
      <c r="N1477" s="86">
        <v>1713</v>
      </c>
      <c r="O1477" s="28"/>
      <c r="P1477" s="1"/>
      <c r="Q1477" s="32"/>
      <c r="R1477" s="191">
        <v>1713</v>
      </c>
    </row>
    <row r="1478" spans="1:18" ht="15.75" customHeight="1" x14ac:dyDescent="0.3">
      <c r="A1478" s="132" t="s">
        <v>4387</v>
      </c>
      <c r="B1478" s="3" t="s">
        <v>4387</v>
      </c>
      <c r="C1478" s="3" t="s">
        <v>4489</v>
      </c>
      <c r="D1478" t="s">
        <v>4493</v>
      </c>
      <c r="E1478" s="3"/>
      <c r="F1478" s="15"/>
      <c r="G1478" s="15"/>
      <c r="H1478" s="3" t="s">
        <v>3664</v>
      </c>
      <c r="I1478"/>
      <c r="J1478" s="166">
        <v>4908</v>
      </c>
      <c r="K1478" s="3" t="s">
        <v>2184</v>
      </c>
      <c r="L1478" s="3" t="s">
        <v>547</v>
      </c>
      <c r="M1478" s="29">
        <v>45936</v>
      </c>
      <c r="N1478" s="86">
        <v>4998</v>
      </c>
      <c r="O1478" s="28" t="s">
        <v>20</v>
      </c>
      <c r="P1478" s="1" t="s">
        <v>78</v>
      </c>
      <c r="Q1478" s="32"/>
      <c r="R1478" s="191">
        <v>4998</v>
      </c>
    </row>
    <row r="1479" spans="1:18" ht="15.75" customHeight="1" x14ac:dyDescent="0.3">
      <c r="A1479" s="132" t="s">
        <v>4388</v>
      </c>
      <c r="B1479" s="3" t="s">
        <v>4388</v>
      </c>
      <c r="C1479" s="3" t="s">
        <v>4520</v>
      </c>
      <c r="D1479" t="s">
        <v>4494</v>
      </c>
      <c r="E1479" s="3"/>
      <c r="F1479" s="15"/>
      <c r="G1479" s="15"/>
      <c r="H1479" s="3" t="s">
        <v>4389</v>
      </c>
      <c r="I1479"/>
      <c r="J1479" s="166">
        <v>2846</v>
      </c>
      <c r="K1479" s="3" t="s">
        <v>735</v>
      </c>
      <c r="L1479" s="3" t="s">
        <v>105</v>
      </c>
      <c r="M1479" s="29">
        <v>45916</v>
      </c>
      <c r="N1479" s="86">
        <v>1685</v>
      </c>
      <c r="O1479" s="28"/>
      <c r="P1479" s="1" t="s">
        <v>44</v>
      </c>
      <c r="Q1479" s="32"/>
      <c r="R1479" s="191">
        <v>1685</v>
      </c>
    </row>
    <row r="1480" spans="1:18" ht="15.75" hidden="1" customHeight="1" x14ac:dyDescent="0.3">
      <c r="A1480" s="132" t="s">
        <v>4390</v>
      </c>
      <c r="B1480" s="3" t="s">
        <v>4390</v>
      </c>
      <c r="C1480" s="3" t="s">
        <v>4490</v>
      </c>
      <c r="D1480" t="s">
        <v>4495</v>
      </c>
      <c r="E1480"/>
      <c r="F1480"/>
      <c r="G1480" t="s">
        <v>4643</v>
      </c>
      <c r="H1480" s="3" t="s">
        <v>4391</v>
      </c>
      <c r="I1480"/>
      <c r="J1480" s="166"/>
      <c r="K1480" s="11"/>
      <c r="L1480" s="11"/>
      <c r="M1480" s="13"/>
      <c r="N1480" s="86"/>
      <c r="O1480" s="28"/>
      <c r="P1480" s="1"/>
      <c r="Q1480" s="32"/>
      <c r="R1480" s="191"/>
    </row>
    <row r="1481" spans="1:18" ht="15.75" customHeight="1" x14ac:dyDescent="0.3">
      <c r="A1481" s="3" t="s">
        <v>4392</v>
      </c>
      <c r="B1481" s="3" t="s">
        <v>4392</v>
      </c>
      <c r="C1481" s="3" t="s">
        <v>4489</v>
      </c>
      <c r="D1481" t="s">
        <v>4492</v>
      </c>
      <c r="E1481" s="3"/>
      <c r="F1481" s="15"/>
      <c r="G1481" s="15"/>
      <c r="H1481" s="3" t="s">
        <v>2180</v>
      </c>
      <c r="I1481"/>
      <c r="J1481" s="166">
        <v>174</v>
      </c>
      <c r="K1481" s="3" t="s">
        <v>3350</v>
      </c>
      <c r="L1481" s="3" t="s">
        <v>3351</v>
      </c>
      <c r="M1481" s="29">
        <v>45821</v>
      </c>
      <c r="N1481" s="86">
        <v>1512.15</v>
      </c>
      <c r="O1481" s="28"/>
      <c r="P1481" s="1"/>
      <c r="Q1481" s="32"/>
      <c r="R1481" s="191" t="s">
        <v>5031</v>
      </c>
    </row>
    <row r="1482" spans="1:18" ht="15.75" customHeight="1" x14ac:dyDescent="0.3">
      <c r="A1482" s="132" t="s">
        <v>4393</v>
      </c>
      <c r="B1482" s="3" t="s">
        <v>4393</v>
      </c>
      <c r="C1482" s="3" t="s">
        <v>4520</v>
      </c>
      <c r="D1482" t="s">
        <v>4496</v>
      </c>
      <c r="E1482" s="3"/>
      <c r="F1482" s="15"/>
      <c r="G1482" s="15"/>
      <c r="H1482" s="3" t="s">
        <v>2444</v>
      </c>
      <c r="I1482" s="146" t="s">
        <v>4470</v>
      </c>
      <c r="J1482" s="166">
        <v>3077</v>
      </c>
      <c r="K1482" s="3" t="s">
        <v>735</v>
      </c>
      <c r="L1482" s="3" t="s">
        <v>105</v>
      </c>
      <c r="M1482" s="29">
        <v>45961</v>
      </c>
      <c r="N1482" s="86">
        <v>2000</v>
      </c>
      <c r="O1482" s="28"/>
      <c r="P1482" s="1"/>
      <c r="Q1482" s="32"/>
      <c r="R1482" s="191">
        <v>2000</v>
      </c>
    </row>
    <row r="1483" spans="1:18" ht="15.75" hidden="1" customHeight="1" x14ac:dyDescent="0.3">
      <c r="A1483" s="132" t="s">
        <v>4394</v>
      </c>
      <c r="B1483" s="3" t="s">
        <v>4394</v>
      </c>
      <c r="C1483" s="3" t="s">
        <v>4490</v>
      </c>
      <c r="D1483" t="s">
        <v>4493</v>
      </c>
      <c r="E1483"/>
      <c r="F1483" t="s">
        <v>4672</v>
      </c>
      <c r="G1483" t="s">
        <v>4557</v>
      </c>
      <c r="H1483" s="3" t="s">
        <v>4395</v>
      </c>
      <c r="I1483" s="146" t="s">
        <v>4607</v>
      </c>
      <c r="J1483" s="166"/>
      <c r="K1483" s="11"/>
      <c r="L1483" s="11"/>
      <c r="M1483" s="13"/>
      <c r="N1483" s="86"/>
      <c r="O1483" s="28"/>
      <c r="P1483" s="1"/>
      <c r="Q1483" s="32"/>
      <c r="R1483" s="191"/>
    </row>
    <row r="1484" spans="1:18" ht="15.75" customHeight="1" x14ac:dyDescent="0.3">
      <c r="A1484" s="132" t="s">
        <v>4396</v>
      </c>
      <c r="B1484" s="3" t="s">
        <v>4396</v>
      </c>
      <c r="C1484" s="3" t="s">
        <v>4520</v>
      </c>
      <c r="D1484" t="s">
        <v>4495</v>
      </c>
      <c r="E1484" s="3"/>
      <c r="F1484" s="15"/>
      <c r="G1484" s="15"/>
      <c r="H1484" s="3" t="s">
        <v>2444</v>
      </c>
      <c r="I1484" s="146"/>
      <c r="J1484" s="166">
        <v>3159</v>
      </c>
      <c r="K1484" s="3" t="s">
        <v>735</v>
      </c>
      <c r="L1484" s="3" t="s">
        <v>105</v>
      </c>
      <c r="M1484" s="29">
        <v>45978</v>
      </c>
      <c r="N1484" s="86">
        <v>2000</v>
      </c>
      <c r="O1484" s="28"/>
      <c r="P1484" s="1"/>
      <c r="Q1484" s="32"/>
      <c r="R1484" s="191">
        <v>2000</v>
      </c>
    </row>
    <row r="1485" spans="1:18" ht="15.75" hidden="1" customHeight="1" x14ac:dyDescent="0.3">
      <c r="A1485" s="156" t="s">
        <v>4397</v>
      </c>
      <c r="B1485" s="55" t="s">
        <v>4397</v>
      </c>
      <c r="C1485" s="55" t="s">
        <v>4490</v>
      </c>
      <c r="D1485" t="s">
        <v>4492</v>
      </c>
      <c r="E1485"/>
      <c r="F1485"/>
      <c r="G1485" t="s">
        <v>4616</v>
      </c>
      <c r="H1485" s="55" t="s">
        <v>578</v>
      </c>
      <c r="I1485" s="146" t="s">
        <v>4608</v>
      </c>
      <c r="J1485" s="169"/>
      <c r="K1485" s="54"/>
      <c r="L1485" s="54"/>
      <c r="M1485" s="57"/>
      <c r="N1485" s="95"/>
      <c r="O1485" s="82"/>
      <c r="P1485" s="58"/>
      <c r="Q1485" s="32"/>
      <c r="R1485" s="197"/>
    </row>
    <row r="1486" spans="1:18" ht="15.75" customHeight="1" x14ac:dyDescent="0.3">
      <c r="A1486" s="3" t="s">
        <v>4398</v>
      </c>
      <c r="B1486" s="3" t="s">
        <v>4398</v>
      </c>
      <c r="C1486" s="3" t="s">
        <v>4519</v>
      </c>
      <c r="D1486" t="s">
        <v>4496</v>
      </c>
      <c r="E1486" s="3"/>
      <c r="F1486" s="15"/>
      <c r="G1486" s="15"/>
      <c r="H1486" s="3" t="s">
        <v>4399</v>
      </c>
      <c r="I1486" s="146" t="s">
        <v>4469</v>
      </c>
      <c r="J1486" s="166">
        <v>900</v>
      </c>
      <c r="K1486" s="11" t="s">
        <v>4400</v>
      </c>
      <c r="L1486" s="3" t="s">
        <v>4401</v>
      </c>
      <c r="M1486" s="70">
        <v>45945</v>
      </c>
      <c r="N1486" s="86">
        <v>1346.15</v>
      </c>
      <c r="O1486" s="28" t="s">
        <v>20</v>
      </c>
      <c r="P1486" s="1" t="s">
        <v>106</v>
      </c>
      <c r="Q1486" s="32"/>
      <c r="R1486" s="191" t="s">
        <v>5037</v>
      </c>
    </row>
    <row r="1487" spans="1:18" ht="15.75" customHeight="1" x14ac:dyDescent="0.3">
      <c r="A1487" s="3" t="s">
        <v>4402</v>
      </c>
      <c r="B1487" s="3" t="s">
        <v>4402</v>
      </c>
      <c r="C1487" s="3" t="s">
        <v>4519</v>
      </c>
      <c r="D1487" t="s">
        <v>4496</v>
      </c>
      <c r="E1487" s="3"/>
      <c r="F1487" s="15"/>
      <c r="G1487" s="15"/>
      <c r="H1487" s="3" t="s">
        <v>4399</v>
      </c>
      <c r="I1487" s="146" t="s">
        <v>4469</v>
      </c>
      <c r="J1487" s="166">
        <v>900</v>
      </c>
      <c r="K1487" s="11" t="s">
        <v>4400</v>
      </c>
      <c r="L1487" s="3" t="s">
        <v>4401</v>
      </c>
      <c r="M1487" s="70">
        <v>45946</v>
      </c>
      <c r="N1487" s="86">
        <v>1346.15</v>
      </c>
      <c r="O1487" s="28" t="s">
        <v>20</v>
      </c>
      <c r="P1487" s="1" t="s">
        <v>106</v>
      </c>
      <c r="Q1487" s="32"/>
      <c r="R1487" s="191" t="s">
        <v>5037</v>
      </c>
    </row>
    <row r="1488" spans="1:18" ht="15.75" customHeight="1" x14ac:dyDescent="0.3">
      <c r="A1488" s="3" t="s">
        <v>4403</v>
      </c>
      <c r="B1488" s="3" t="s">
        <v>4403</v>
      </c>
      <c r="C1488" s="3" t="s">
        <v>4519</v>
      </c>
      <c r="D1488" t="s">
        <v>4496</v>
      </c>
      <c r="E1488" s="3"/>
      <c r="F1488" s="15"/>
      <c r="G1488" s="15"/>
      <c r="H1488" s="3" t="s">
        <v>4399</v>
      </c>
      <c r="I1488" s="146" t="s">
        <v>4469</v>
      </c>
      <c r="J1488" s="166">
        <v>900</v>
      </c>
      <c r="K1488" s="11" t="s">
        <v>4400</v>
      </c>
      <c r="L1488" s="3" t="s">
        <v>4401</v>
      </c>
      <c r="M1488" s="70">
        <v>45947</v>
      </c>
      <c r="N1488" s="86">
        <v>1346.15</v>
      </c>
      <c r="O1488" s="28" t="s">
        <v>20</v>
      </c>
      <c r="P1488" s="1" t="s">
        <v>106</v>
      </c>
      <c r="Q1488" s="32"/>
      <c r="R1488" s="191" t="s">
        <v>5037</v>
      </c>
    </row>
    <row r="1489" spans="1:18" ht="15.75" customHeight="1" x14ac:dyDescent="0.3">
      <c r="A1489" s="3" t="s">
        <v>4404</v>
      </c>
      <c r="B1489" s="3" t="s">
        <v>4404</v>
      </c>
      <c r="C1489" s="3" t="s">
        <v>4519</v>
      </c>
      <c r="D1489" t="s">
        <v>4496</v>
      </c>
      <c r="E1489" s="3"/>
      <c r="F1489" s="15"/>
      <c r="G1489" s="15"/>
      <c r="H1489" s="3" t="s">
        <v>4399</v>
      </c>
      <c r="I1489" s="146" t="s">
        <v>4469</v>
      </c>
      <c r="J1489" s="166">
        <v>900</v>
      </c>
      <c r="K1489" s="11" t="s">
        <v>4400</v>
      </c>
      <c r="L1489" s="3" t="s">
        <v>4401</v>
      </c>
      <c r="M1489" s="70">
        <v>45948</v>
      </c>
      <c r="N1489" s="86">
        <v>1346.15</v>
      </c>
      <c r="O1489" s="28" t="s">
        <v>20</v>
      </c>
      <c r="P1489" s="1" t="s">
        <v>106</v>
      </c>
      <c r="Q1489" s="32"/>
      <c r="R1489" s="191" t="s">
        <v>5037</v>
      </c>
    </row>
    <row r="1490" spans="1:18" ht="15.75" customHeight="1" x14ac:dyDescent="0.3">
      <c r="A1490" s="3" t="s">
        <v>4405</v>
      </c>
      <c r="B1490" s="3" t="s">
        <v>4405</v>
      </c>
      <c r="C1490" s="3" t="s">
        <v>4519</v>
      </c>
      <c r="D1490" t="s">
        <v>4496</v>
      </c>
      <c r="E1490" s="3"/>
      <c r="F1490" s="15"/>
      <c r="G1490" s="15"/>
      <c r="H1490" s="3" t="s">
        <v>4399</v>
      </c>
      <c r="I1490" s="146" t="s">
        <v>4469</v>
      </c>
      <c r="J1490" s="166">
        <v>900</v>
      </c>
      <c r="K1490" s="11" t="s">
        <v>4400</v>
      </c>
      <c r="L1490" s="3" t="s">
        <v>4401</v>
      </c>
      <c r="M1490" s="70">
        <v>45949</v>
      </c>
      <c r="N1490" s="86">
        <v>1346.15</v>
      </c>
      <c r="O1490" s="28" t="s">
        <v>20</v>
      </c>
      <c r="P1490" s="1" t="s">
        <v>106</v>
      </c>
      <c r="Q1490" s="32"/>
      <c r="R1490" s="191" t="s">
        <v>5037</v>
      </c>
    </row>
    <row r="1491" spans="1:18" ht="15.75" customHeight="1" x14ac:dyDescent="0.3">
      <c r="A1491" s="3" t="s">
        <v>4406</v>
      </c>
      <c r="B1491" s="3" t="s">
        <v>4406</v>
      </c>
      <c r="C1491" s="3" t="s">
        <v>4519</v>
      </c>
      <c r="D1491" t="s">
        <v>4496</v>
      </c>
      <c r="E1491" s="3"/>
      <c r="F1491" s="15"/>
      <c r="G1491" s="15"/>
      <c r="H1491" s="3" t="s">
        <v>4399</v>
      </c>
      <c r="I1491" s="146" t="s">
        <v>4469</v>
      </c>
      <c r="J1491" s="166">
        <v>900</v>
      </c>
      <c r="K1491" s="11" t="s">
        <v>4400</v>
      </c>
      <c r="L1491" s="3" t="s">
        <v>4401</v>
      </c>
      <c r="M1491" s="70">
        <v>45950</v>
      </c>
      <c r="N1491" s="86">
        <v>1346.15</v>
      </c>
      <c r="O1491" s="28" t="s">
        <v>20</v>
      </c>
      <c r="P1491" s="1" t="s">
        <v>106</v>
      </c>
      <c r="Q1491" s="32"/>
      <c r="R1491" s="191" t="s">
        <v>5037</v>
      </c>
    </row>
    <row r="1492" spans="1:18" ht="15.75" customHeight="1" x14ac:dyDescent="0.3">
      <c r="A1492" s="3" t="s">
        <v>4407</v>
      </c>
      <c r="B1492" s="3" t="s">
        <v>4407</v>
      </c>
      <c r="C1492" s="3" t="s">
        <v>4519</v>
      </c>
      <c r="D1492" t="s">
        <v>4496</v>
      </c>
      <c r="E1492" s="3"/>
      <c r="F1492" s="15"/>
      <c r="G1492" s="15"/>
      <c r="H1492" s="3" t="s">
        <v>4399</v>
      </c>
      <c r="I1492" s="146" t="s">
        <v>4469</v>
      </c>
      <c r="J1492" s="166">
        <v>900</v>
      </c>
      <c r="K1492" s="11" t="s">
        <v>4400</v>
      </c>
      <c r="L1492" s="3" t="s">
        <v>4401</v>
      </c>
      <c r="M1492" s="70">
        <v>45951</v>
      </c>
      <c r="N1492" s="86">
        <v>1346.15</v>
      </c>
      <c r="O1492" s="28" t="s">
        <v>20</v>
      </c>
      <c r="P1492" s="1" t="s">
        <v>106</v>
      </c>
      <c r="Q1492" s="32"/>
      <c r="R1492" s="191" t="s">
        <v>5037</v>
      </c>
    </row>
    <row r="1493" spans="1:18" ht="15.75" customHeight="1" x14ac:dyDescent="0.3">
      <c r="A1493" s="3" t="s">
        <v>4408</v>
      </c>
      <c r="B1493" s="3" t="s">
        <v>4408</v>
      </c>
      <c r="C1493" s="3" t="s">
        <v>4519</v>
      </c>
      <c r="D1493" t="s">
        <v>4496</v>
      </c>
      <c r="E1493" s="3"/>
      <c r="F1493" s="15"/>
      <c r="G1493" s="15"/>
      <c r="H1493" s="3" t="s">
        <v>4399</v>
      </c>
      <c r="I1493" s="146" t="s">
        <v>4469</v>
      </c>
      <c r="J1493" s="166">
        <v>900</v>
      </c>
      <c r="K1493" s="11" t="s">
        <v>4400</v>
      </c>
      <c r="L1493" s="3" t="s">
        <v>4401</v>
      </c>
      <c r="M1493" s="70">
        <v>45952</v>
      </c>
      <c r="N1493" s="86">
        <v>1346.15</v>
      </c>
      <c r="O1493" s="28" t="s">
        <v>20</v>
      </c>
      <c r="P1493" s="1" t="s">
        <v>106</v>
      </c>
      <c r="Q1493" s="32"/>
      <c r="R1493" s="191" t="s">
        <v>5037</v>
      </c>
    </row>
    <row r="1494" spans="1:18" ht="15.75" customHeight="1" x14ac:dyDescent="0.3">
      <c r="A1494" s="3" t="s">
        <v>4409</v>
      </c>
      <c r="B1494" s="3" t="s">
        <v>4409</v>
      </c>
      <c r="C1494" s="3" t="s">
        <v>4519</v>
      </c>
      <c r="D1494" t="s">
        <v>4496</v>
      </c>
      <c r="E1494" s="3"/>
      <c r="F1494" s="15"/>
      <c r="G1494" s="15"/>
      <c r="H1494" s="3" t="s">
        <v>4399</v>
      </c>
      <c r="I1494" s="146" t="s">
        <v>4469</v>
      </c>
      <c r="J1494" s="166">
        <v>900</v>
      </c>
      <c r="K1494" s="11" t="s">
        <v>4400</v>
      </c>
      <c r="L1494" s="3" t="s">
        <v>4401</v>
      </c>
      <c r="M1494" s="70">
        <v>45953</v>
      </c>
      <c r="N1494" s="86">
        <v>1346.15</v>
      </c>
      <c r="O1494" s="28" t="s">
        <v>20</v>
      </c>
      <c r="P1494" s="1" t="s">
        <v>106</v>
      </c>
      <c r="Q1494" s="32"/>
      <c r="R1494" s="191" t="s">
        <v>5037</v>
      </c>
    </row>
    <row r="1495" spans="1:18" ht="15.75" customHeight="1" x14ac:dyDescent="0.3">
      <c r="A1495" s="3" t="s">
        <v>4410</v>
      </c>
      <c r="B1495" s="3" t="s">
        <v>4410</v>
      </c>
      <c r="C1495" s="3" t="s">
        <v>4519</v>
      </c>
      <c r="D1495" t="s">
        <v>4496</v>
      </c>
      <c r="E1495" s="3"/>
      <c r="F1495" s="15"/>
      <c r="G1495" s="15"/>
      <c r="H1495" s="3" t="s">
        <v>4399</v>
      </c>
      <c r="I1495" s="146" t="s">
        <v>4469</v>
      </c>
      <c r="J1495" s="166">
        <v>900</v>
      </c>
      <c r="K1495" s="11" t="s">
        <v>4400</v>
      </c>
      <c r="L1495" s="3" t="s">
        <v>4401</v>
      </c>
      <c r="M1495" s="70">
        <v>45954</v>
      </c>
      <c r="N1495" s="86">
        <v>1346.15</v>
      </c>
      <c r="O1495" s="28" t="s">
        <v>20</v>
      </c>
      <c r="P1495" s="1" t="s">
        <v>106</v>
      </c>
      <c r="Q1495" s="32"/>
      <c r="R1495" s="191" t="s">
        <v>5037</v>
      </c>
    </row>
    <row r="1496" spans="1:18" ht="15.75" customHeight="1" x14ac:dyDescent="0.3">
      <c r="A1496" s="3" t="s">
        <v>4411</v>
      </c>
      <c r="B1496" s="3" t="s">
        <v>4411</v>
      </c>
      <c r="C1496" s="3" t="s">
        <v>4519</v>
      </c>
      <c r="D1496" t="s">
        <v>4496</v>
      </c>
      <c r="E1496" s="3"/>
      <c r="F1496" s="15"/>
      <c r="G1496" s="15"/>
      <c r="H1496" s="3" t="s">
        <v>4399</v>
      </c>
      <c r="I1496" s="146" t="s">
        <v>4469</v>
      </c>
      <c r="J1496" s="166">
        <v>900</v>
      </c>
      <c r="K1496" s="11" t="s">
        <v>4400</v>
      </c>
      <c r="L1496" s="3" t="s">
        <v>4401</v>
      </c>
      <c r="M1496" s="70">
        <v>45955</v>
      </c>
      <c r="N1496" s="86">
        <v>1346.15</v>
      </c>
      <c r="O1496" s="28" t="s">
        <v>20</v>
      </c>
      <c r="P1496" s="1" t="s">
        <v>106</v>
      </c>
      <c r="Q1496" s="32"/>
      <c r="R1496" s="191" t="s">
        <v>5037</v>
      </c>
    </row>
    <row r="1497" spans="1:18" ht="15.75" customHeight="1" x14ac:dyDescent="0.3">
      <c r="A1497" s="3" t="s">
        <v>4412</v>
      </c>
      <c r="B1497" s="3" t="s">
        <v>4412</v>
      </c>
      <c r="C1497" s="3" t="s">
        <v>4519</v>
      </c>
      <c r="D1497" t="s">
        <v>4496</v>
      </c>
      <c r="E1497" s="3"/>
      <c r="F1497" s="15"/>
      <c r="G1497" s="15"/>
      <c r="H1497" s="3" t="s">
        <v>4399</v>
      </c>
      <c r="I1497" s="146" t="s">
        <v>4469</v>
      </c>
      <c r="J1497" s="166">
        <v>900</v>
      </c>
      <c r="K1497" s="11" t="s">
        <v>4400</v>
      </c>
      <c r="L1497" s="3" t="s">
        <v>4401</v>
      </c>
      <c r="M1497" s="70">
        <v>45956</v>
      </c>
      <c r="N1497" s="86">
        <v>1346.15</v>
      </c>
      <c r="O1497" s="28" t="s">
        <v>20</v>
      </c>
      <c r="P1497" s="1" t="s">
        <v>106</v>
      </c>
      <c r="Q1497" s="32"/>
      <c r="R1497" s="191" t="s">
        <v>5037</v>
      </c>
    </row>
    <row r="1498" spans="1:18" ht="15.75" customHeight="1" x14ac:dyDescent="0.3">
      <c r="A1498" s="3" t="s">
        <v>4413</v>
      </c>
      <c r="B1498" s="3" t="s">
        <v>4413</v>
      </c>
      <c r="C1498" s="3" t="s">
        <v>4519</v>
      </c>
      <c r="D1498" t="s">
        <v>4496</v>
      </c>
      <c r="E1498" s="3"/>
      <c r="F1498" s="15"/>
      <c r="G1498" s="15"/>
      <c r="H1498" s="3" t="s">
        <v>4399</v>
      </c>
      <c r="I1498" s="146" t="s">
        <v>4469</v>
      </c>
      <c r="J1498" s="166">
        <v>900</v>
      </c>
      <c r="K1498" s="11" t="s">
        <v>4400</v>
      </c>
      <c r="L1498" s="3" t="s">
        <v>4401</v>
      </c>
      <c r="M1498" s="70">
        <v>45957</v>
      </c>
      <c r="N1498" s="86">
        <v>1346.15</v>
      </c>
      <c r="O1498" s="28" t="s">
        <v>20</v>
      </c>
      <c r="P1498" s="1" t="s">
        <v>106</v>
      </c>
      <c r="Q1498" s="32"/>
      <c r="R1498" s="191" t="s">
        <v>5037</v>
      </c>
    </row>
    <row r="1499" spans="1:18" ht="15.75" customHeight="1" x14ac:dyDescent="0.3">
      <c r="A1499" s="3" t="s">
        <v>4414</v>
      </c>
      <c r="B1499" s="3" t="s">
        <v>4414</v>
      </c>
      <c r="C1499" s="3" t="s">
        <v>4519</v>
      </c>
      <c r="D1499" t="s">
        <v>4496</v>
      </c>
      <c r="E1499" s="3"/>
      <c r="F1499" s="15"/>
      <c r="G1499" s="15"/>
      <c r="H1499" s="3" t="s">
        <v>4399</v>
      </c>
      <c r="I1499" s="146" t="s">
        <v>4469</v>
      </c>
      <c r="J1499" s="166">
        <v>900</v>
      </c>
      <c r="K1499" s="11" t="s">
        <v>4400</v>
      </c>
      <c r="L1499" s="3" t="s">
        <v>4401</v>
      </c>
      <c r="M1499" s="70">
        <v>45958</v>
      </c>
      <c r="N1499" s="86">
        <v>1346.15</v>
      </c>
      <c r="O1499" s="28" t="s">
        <v>20</v>
      </c>
      <c r="P1499" s="1" t="s">
        <v>106</v>
      </c>
      <c r="Q1499" s="32"/>
      <c r="R1499" s="191" t="s">
        <v>5037</v>
      </c>
    </row>
    <row r="1500" spans="1:18" ht="15.75" customHeight="1" x14ac:dyDescent="0.3">
      <c r="A1500" s="3" t="s">
        <v>4415</v>
      </c>
      <c r="B1500" s="3" t="s">
        <v>4415</v>
      </c>
      <c r="C1500" s="3" t="s">
        <v>4519</v>
      </c>
      <c r="D1500" t="s">
        <v>4496</v>
      </c>
      <c r="E1500" s="3"/>
      <c r="F1500" s="15"/>
      <c r="G1500" s="15"/>
      <c r="H1500" s="3" t="s">
        <v>4399</v>
      </c>
      <c r="I1500" s="146" t="s">
        <v>4469</v>
      </c>
      <c r="J1500" s="166">
        <v>900</v>
      </c>
      <c r="K1500" s="11" t="s">
        <v>4400</v>
      </c>
      <c r="L1500" s="3" t="s">
        <v>4401</v>
      </c>
      <c r="M1500" s="70">
        <v>45959</v>
      </c>
      <c r="N1500" s="86">
        <v>1346.15</v>
      </c>
      <c r="O1500" s="28" t="s">
        <v>20</v>
      </c>
      <c r="P1500" s="1" t="s">
        <v>106</v>
      </c>
      <c r="Q1500" s="32"/>
      <c r="R1500" s="191" t="s">
        <v>5037</v>
      </c>
    </row>
    <row r="1501" spans="1:18" ht="15.75" customHeight="1" x14ac:dyDescent="0.3">
      <c r="A1501" s="3" t="s">
        <v>4416</v>
      </c>
      <c r="B1501" s="3" t="s">
        <v>4416</v>
      </c>
      <c r="C1501" s="3" t="s">
        <v>4519</v>
      </c>
      <c r="D1501" t="s">
        <v>4496</v>
      </c>
      <c r="E1501" s="3"/>
      <c r="F1501" s="15"/>
      <c r="G1501" s="15"/>
      <c r="H1501" s="3" t="s">
        <v>4399</v>
      </c>
      <c r="I1501" s="146" t="s">
        <v>4469</v>
      </c>
      <c r="J1501" s="166">
        <v>900</v>
      </c>
      <c r="K1501" s="11" t="s">
        <v>4400</v>
      </c>
      <c r="L1501" s="3" t="s">
        <v>4401</v>
      </c>
      <c r="M1501" s="70">
        <v>45960</v>
      </c>
      <c r="N1501" s="86">
        <v>1346.15</v>
      </c>
      <c r="O1501" s="28" t="s">
        <v>20</v>
      </c>
      <c r="P1501" s="1" t="s">
        <v>106</v>
      </c>
      <c r="Q1501" s="32"/>
      <c r="R1501" s="191" t="s">
        <v>5037</v>
      </c>
    </row>
    <row r="1502" spans="1:18" ht="15.75" customHeight="1" x14ac:dyDescent="0.3">
      <c r="A1502" s="3" t="s">
        <v>4417</v>
      </c>
      <c r="B1502" s="3" t="s">
        <v>4417</v>
      </c>
      <c r="C1502" s="3" t="s">
        <v>4519</v>
      </c>
      <c r="D1502" t="s">
        <v>4496</v>
      </c>
      <c r="E1502" s="3"/>
      <c r="F1502" s="15"/>
      <c r="G1502" s="15"/>
      <c r="H1502" s="3" t="s">
        <v>4399</v>
      </c>
      <c r="I1502" s="146" t="s">
        <v>4469</v>
      </c>
      <c r="J1502" s="166">
        <v>900</v>
      </c>
      <c r="K1502" s="11" t="s">
        <v>4400</v>
      </c>
      <c r="L1502" s="3" t="s">
        <v>4401</v>
      </c>
      <c r="M1502" s="70">
        <v>45961</v>
      </c>
      <c r="N1502" s="86">
        <v>1346.15</v>
      </c>
      <c r="O1502" s="28" t="s">
        <v>20</v>
      </c>
      <c r="P1502" s="1" t="s">
        <v>106</v>
      </c>
      <c r="Q1502" s="32"/>
      <c r="R1502" s="191" t="s">
        <v>5037</v>
      </c>
    </row>
    <row r="1503" spans="1:18" ht="15.75" customHeight="1" x14ac:dyDescent="0.3">
      <c r="A1503" s="3" t="s">
        <v>4418</v>
      </c>
      <c r="B1503" s="3" t="s">
        <v>4418</v>
      </c>
      <c r="C1503" s="3" t="s">
        <v>4519</v>
      </c>
      <c r="D1503" t="s">
        <v>4496</v>
      </c>
      <c r="E1503" s="3"/>
      <c r="F1503" s="15"/>
      <c r="G1503" s="15"/>
      <c r="H1503" s="3" t="s">
        <v>4399</v>
      </c>
      <c r="I1503" s="146" t="s">
        <v>4469</v>
      </c>
      <c r="J1503" s="166">
        <v>900</v>
      </c>
      <c r="K1503" s="11" t="s">
        <v>4400</v>
      </c>
      <c r="L1503" s="3" t="s">
        <v>4401</v>
      </c>
      <c r="M1503" s="70">
        <v>45962</v>
      </c>
      <c r="N1503" s="86">
        <v>1346.15</v>
      </c>
      <c r="O1503" s="28" t="s">
        <v>20</v>
      </c>
      <c r="P1503" s="1" t="s">
        <v>106</v>
      </c>
      <c r="Q1503" s="32"/>
      <c r="R1503" s="191" t="s">
        <v>5037</v>
      </c>
    </row>
    <row r="1504" spans="1:18" ht="15.75" customHeight="1" x14ac:dyDescent="0.3">
      <c r="A1504" s="3" t="s">
        <v>4419</v>
      </c>
      <c r="B1504" s="3" t="s">
        <v>4419</v>
      </c>
      <c r="C1504" s="3" t="s">
        <v>4519</v>
      </c>
      <c r="D1504" t="s">
        <v>4496</v>
      </c>
      <c r="E1504" s="3"/>
      <c r="F1504" s="15"/>
      <c r="G1504" s="15"/>
      <c r="H1504" s="3" t="s">
        <v>4399</v>
      </c>
      <c r="I1504" s="146" t="s">
        <v>4469</v>
      </c>
      <c r="J1504" s="166">
        <v>900</v>
      </c>
      <c r="K1504" s="11" t="s">
        <v>4400</v>
      </c>
      <c r="L1504" s="3" t="s">
        <v>4401</v>
      </c>
      <c r="M1504" s="70">
        <v>45963</v>
      </c>
      <c r="N1504" s="86">
        <v>1346.15</v>
      </c>
      <c r="O1504" s="28" t="s">
        <v>20</v>
      </c>
      <c r="P1504" s="1" t="s">
        <v>106</v>
      </c>
      <c r="Q1504" s="32"/>
      <c r="R1504" s="191" t="s">
        <v>5037</v>
      </c>
    </row>
    <row r="1505" spans="1:18" ht="15.75" customHeight="1" x14ac:dyDescent="0.3">
      <c r="A1505" s="3" t="s">
        <v>4420</v>
      </c>
      <c r="B1505" s="3" t="s">
        <v>4420</v>
      </c>
      <c r="C1505" s="3" t="s">
        <v>4519</v>
      </c>
      <c r="D1505" t="s">
        <v>4496</v>
      </c>
      <c r="E1505" s="3"/>
      <c r="F1505" s="15"/>
      <c r="G1505" s="15"/>
      <c r="H1505" s="3" t="s">
        <v>4399</v>
      </c>
      <c r="I1505" s="146" t="s">
        <v>4469</v>
      </c>
      <c r="J1505" s="166">
        <v>900</v>
      </c>
      <c r="K1505" s="11" t="s">
        <v>4400</v>
      </c>
      <c r="L1505" s="3" t="s">
        <v>4401</v>
      </c>
      <c r="M1505" s="70">
        <v>45964</v>
      </c>
      <c r="N1505" s="86">
        <v>1346.15</v>
      </c>
      <c r="O1505" s="28" t="s">
        <v>20</v>
      </c>
      <c r="P1505" s="1" t="s">
        <v>106</v>
      </c>
      <c r="Q1505" s="32"/>
      <c r="R1505" s="191" t="s">
        <v>5037</v>
      </c>
    </row>
    <row r="1506" spans="1:18" ht="15.75" customHeight="1" x14ac:dyDescent="0.3">
      <c r="A1506" s="3" t="s">
        <v>4421</v>
      </c>
      <c r="B1506" s="3" t="s">
        <v>4421</v>
      </c>
      <c r="C1506" s="3" t="s">
        <v>4519</v>
      </c>
      <c r="D1506" t="s">
        <v>4496</v>
      </c>
      <c r="E1506" s="3"/>
      <c r="F1506" s="15"/>
      <c r="G1506" s="15"/>
      <c r="H1506" s="3" t="s">
        <v>4399</v>
      </c>
      <c r="I1506" s="146" t="s">
        <v>4469</v>
      </c>
      <c r="J1506" s="166">
        <v>900</v>
      </c>
      <c r="K1506" s="11" t="s">
        <v>4400</v>
      </c>
      <c r="L1506" s="3" t="s">
        <v>4401</v>
      </c>
      <c r="M1506" s="70">
        <v>45965</v>
      </c>
      <c r="N1506" s="86">
        <v>1346.15</v>
      </c>
      <c r="O1506" s="28" t="s">
        <v>20</v>
      </c>
      <c r="P1506" s="1" t="s">
        <v>106</v>
      </c>
      <c r="Q1506" s="32"/>
      <c r="R1506" s="191" t="s">
        <v>5037</v>
      </c>
    </row>
    <row r="1507" spans="1:18" ht="15.75" customHeight="1" x14ac:dyDescent="0.3">
      <c r="A1507" s="3" t="s">
        <v>4422</v>
      </c>
      <c r="B1507" s="3" t="s">
        <v>4422</v>
      </c>
      <c r="C1507" s="3" t="s">
        <v>4519</v>
      </c>
      <c r="D1507" t="s">
        <v>4496</v>
      </c>
      <c r="E1507" s="3"/>
      <c r="F1507" s="15"/>
      <c r="G1507" s="15"/>
      <c r="H1507" s="3" t="s">
        <v>4399</v>
      </c>
      <c r="I1507" s="146" t="s">
        <v>4469</v>
      </c>
      <c r="J1507" s="166">
        <v>900</v>
      </c>
      <c r="K1507" s="11" t="s">
        <v>4400</v>
      </c>
      <c r="L1507" s="3" t="s">
        <v>4401</v>
      </c>
      <c r="M1507" s="70">
        <v>45966</v>
      </c>
      <c r="N1507" s="86">
        <v>1346.15</v>
      </c>
      <c r="O1507" s="28" t="s">
        <v>20</v>
      </c>
      <c r="P1507" s="1" t="s">
        <v>106</v>
      </c>
      <c r="Q1507" s="32"/>
      <c r="R1507" s="191" t="s">
        <v>5037</v>
      </c>
    </row>
    <row r="1508" spans="1:18" ht="15.75" customHeight="1" x14ac:dyDescent="0.3">
      <c r="A1508" s="3" t="s">
        <v>4423</v>
      </c>
      <c r="B1508" s="3" t="s">
        <v>4423</v>
      </c>
      <c r="C1508" s="3" t="s">
        <v>4519</v>
      </c>
      <c r="D1508" t="s">
        <v>4496</v>
      </c>
      <c r="E1508" s="3"/>
      <c r="F1508" s="15"/>
      <c r="G1508" s="15"/>
      <c r="H1508" s="3" t="s">
        <v>4399</v>
      </c>
      <c r="I1508" s="146" t="s">
        <v>4469</v>
      </c>
      <c r="J1508" s="166">
        <v>900</v>
      </c>
      <c r="K1508" s="11" t="s">
        <v>4400</v>
      </c>
      <c r="L1508" s="3" t="s">
        <v>4401</v>
      </c>
      <c r="M1508" s="70">
        <v>45967</v>
      </c>
      <c r="N1508" s="86">
        <v>1346.15</v>
      </c>
      <c r="O1508" s="28" t="s">
        <v>20</v>
      </c>
      <c r="P1508" s="1" t="s">
        <v>106</v>
      </c>
      <c r="Q1508" s="32"/>
      <c r="R1508" s="191" t="s">
        <v>5037</v>
      </c>
    </row>
    <row r="1509" spans="1:18" ht="15.75" customHeight="1" x14ac:dyDescent="0.3">
      <c r="A1509" s="3" t="s">
        <v>4424</v>
      </c>
      <c r="B1509" s="3" t="s">
        <v>4424</v>
      </c>
      <c r="C1509" s="3" t="s">
        <v>4519</v>
      </c>
      <c r="D1509" t="s">
        <v>4496</v>
      </c>
      <c r="E1509" s="3"/>
      <c r="F1509" s="15"/>
      <c r="G1509" s="15"/>
      <c r="H1509" s="3" t="s">
        <v>4399</v>
      </c>
      <c r="I1509" s="146" t="s">
        <v>4469</v>
      </c>
      <c r="J1509" s="166">
        <v>900</v>
      </c>
      <c r="K1509" s="11" t="s">
        <v>4400</v>
      </c>
      <c r="L1509" s="3" t="s">
        <v>4401</v>
      </c>
      <c r="M1509" s="70">
        <v>45968</v>
      </c>
      <c r="N1509" s="86">
        <v>1346.15</v>
      </c>
      <c r="O1509" s="28" t="s">
        <v>20</v>
      </c>
      <c r="P1509" s="1" t="s">
        <v>106</v>
      </c>
      <c r="Q1509" s="32"/>
      <c r="R1509" s="191" t="s">
        <v>5037</v>
      </c>
    </row>
    <row r="1510" spans="1:18" ht="15.75" customHeight="1" x14ac:dyDescent="0.3">
      <c r="A1510" s="3" t="s">
        <v>4425</v>
      </c>
      <c r="B1510" s="3" t="s">
        <v>4425</v>
      </c>
      <c r="C1510" s="3" t="s">
        <v>4519</v>
      </c>
      <c r="D1510" t="s">
        <v>4496</v>
      </c>
      <c r="E1510" s="3"/>
      <c r="F1510" s="15"/>
      <c r="G1510" s="15"/>
      <c r="H1510" s="3" t="s">
        <v>4399</v>
      </c>
      <c r="I1510" s="146" t="s">
        <v>4469</v>
      </c>
      <c r="J1510" s="166">
        <v>900</v>
      </c>
      <c r="K1510" s="11" t="s">
        <v>4400</v>
      </c>
      <c r="L1510" s="3" t="s">
        <v>4401</v>
      </c>
      <c r="M1510" s="70">
        <v>45969</v>
      </c>
      <c r="N1510" s="86">
        <v>1346.15</v>
      </c>
      <c r="O1510" s="28" t="s">
        <v>20</v>
      </c>
      <c r="P1510" s="1" t="s">
        <v>106</v>
      </c>
      <c r="Q1510" s="32"/>
      <c r="R1510" s="191" t="s">
        <v>5037</v>
      </c>
    </row>
    <row r="1511" spans="1:18" ht="15.75" customHeight="1" x14ac:dyDescent="0.3">
      <c r="A1511" s="3" t="s">
        <v>4426</v>
      </c>
      <c r="B1511" s="3" t="s">
        <v>4426</v>
      </c>
      <c r="C1511" s="3" t="s">
        <v>4519</v>
      </c>
      <c r="D1511" t="s">
        <v>4496</v>
      </c>
      <c r="E1511" s="3"/>
      <c r="F1511" s="15"/>
      <c r="G1511" s="15"/>
      <c r="H1511" s="3" t="s">
        <v>4399</v>
      </c>
      <c r="I1511" s="146" t="s">
        <v>4469</v>
      </c>
      <c r="J1511" s="166">
        <v>900</v>
      </c>
      <c r="K1511" s="11" t="s">
        <v>4400</v>
      </c>
      <c r="L1511" s="3" t="s">
        <v>4401</v>
      </c>
      <c r="M1511" s="70">
        <v>45970</v>
      </c>
      <c r="N1511" s="86">
        <v>1346.15</v>
      </c>
      <c r="O1511" s="28" t="s">
        <v>20</v>
      </c>
      <c r="P1511" s="1" t="s">
        <v>106</v>
      </c>
      <c r="Q1511" s="32"/>
      <c r="R1511" s="191" t="s">
        <v>5037</v>
      </c>
    </row>
    <row r="1512" spans="1:18" ht="15.75" hidden="1" customHeight="1" x14ac:dyDescent="0.3">
      <c r="A1512" s="132" t="s">
        <v>4427</v>
      </c>
      <c r="B1512" s="3" t="s">
        <v>4427</v>
      </c>
      <c r="C1512" s="3" t="s">
        <v>4520</v>
      </c>
      <c r="D1512" t="s">
        <v>4492</v>
      </c>
      <c r="E1512"/>
      <c r="F1512" t="s">
        <v>4428</v>
      </c>
      <c r="G1512" t="s">
        <v>4643</v>
      </c>
      <c r="H1512" s="3" t="s">
        <v>4429</v>
      </c>
      <c r="I1512" s="146"/>
      <c r="J1512" s="166">
        <v>4515</v>
      </c>
      <c r="K1512" s="11" t="s">
        <v>4430</v>
      </c>
      <c r="L1512" s="11"/>
      <c r="M1512" s="13"/>
      <c r="N1512" s="86"/>
      <c r="O1512" s="28"/>
      <c r="P1512" s="1"/>
      <c r="Q1512" s="32"/>
      <c r="R1512" s="191"/>
    </row>
    <row r="1513" spans="1:18" ht="15.75" customHeight="1" x14ac:dyDescent="0.3">
      <c r="A1513" s="3" t="s">
        <v>4431</v>
      </c>
      <c r="B1513" s="3" t="s">
        <v>4431</v>
      </c>
      <c r="C1513" s="3" t="s">
        <v>4519</v>
      </c>
      <c r="D1513" t="s">
        <v>4496</v>
      </c>
      <c r="E1513" s="3"/>
      <c r="F1513" s="15"/>
      <c r="G1513" s="15"/>
      <c r="H1513" s="3" t="s">
        <v>4432</v>
      </c>
      <c r="I1513" s="146" t="s">
        <v>4469</v>
      </c>
      <c r="J1513" s="166">
        <v>5690</v>
      </c>
      <c r="K1513" s="11" t="s">
        <v>2184</v>
      </c>
      <c r="L1513" s="44" t="s">
        <v>547</v>
      </c>
      <c r="M1513" s="119">
        <v>46045</v>
      </c>
      <c r="N1513" s="120">
        <v>1487.9</v>
      </c>
      <c r="O1513" s="28" t="s">
        <v>20</v>
      </c>
      <c r="P1513" s="1" t="s">
        <v>106</v>
      </c>
      <c r="Q1513" s="32"/>
      <c r="R1513" s="198" t="s">
        <v>5038</v>
      </c>
    </row>
    <row r="1514" spans="1:18" ht="15.75" customHeight="1" x14ac:dyDescent="0.3">
      <c r="A1514" s="3" t="s">
        <v>4433</v>
      </c>
      <c r="B1514" s="3" t="s">
        <v>4433</v>
      </c>
      <c r="C1514" s="3" t="s">
        <v>4519</v>
      </c>
      <c r="D1514" t="s">
        <v>4496</v>
      </c>
      <c r="E1514" s="3"/>
      <c r="F1514" s="15"/>
      <c r="G1514" s="15"/>
      <c r="H1514" s="3" t="s">
        <v>4434</v>
      </c>
      <c r="I1514" s="146" t="s">
        <v>4469</v>
      </c>
      <c r="J1514" s="166">
        <v>5691</v>
      </c>
      <c r="K1514" s="11" t="s">
        <v>2184</v>
      </c>
      <c r="L1514" s="44" t="s">
        <v>547</v>
      </c>
      <c r="M1514" s="119">
        <v>46045</v>
      </c>
      <c r="N1514" s="120">
        <v>1798.9</v>
      </c>
      <c r="O1514" s="28" t="s">
        <v>20</v>
      </c>
      <c r="P1514" s="1" t="s">
        <v>106</v>
      </c>
      <c r="Q1514" s="32"/>
      <c r="R1514" s="198" t="s">
        <v>5039</v>
      </c>
    </row>
    <row r="1515" spans="1:18" ht="15.75" customHeight="1" x14ac:dyDescent="0.3">
      <c r="A1515" s="132" t="s">
        <v>4435</v>
      </c>
      <c r="B1515" s="3" t="s">
        <v>4435</v>
      </c>
      <c r="C1515" s="3" t="s">
        <v>4519</v>
      </c>
      <c r="D1515" t="s">
        <v>4496</v>
      </c>
      <c r="E1515" s="3"/>
      <c r="F1515" s="15"/>
      <c r="G1515" s="15"/>
      <c r="H1515" s="3" t="s">
        <v>4436</v>
      </c>
      <c r="I1515" s="146" t="s">
        <v>4469</v>
      </c>
      <c r="J1515" s="166">
        <v>5692</v>
      </c>
      <c r="K1515" s="11" t="s">
        <v>2184</v>
      </c>
      <c r="L1515" s="44" t="s">
        <v>547</v>
      </c>
      <c r="M1515" s="119">
        <v>46045</v>
      </c>
      <c r="N1515" s="120">
        <v>4980</v>
      </c>
      <c r="O1515" s="28" t="s">
        <v>20</v>
      </c>
      <c r="P1515" s="1" t="s">
        <v>106</v>
      </c>
      <c r="Q1515" s="32"/>
      <c r="R1515" s="198">
        <v>4980</v>
      </c>
    </row>
    <row r="1516" spans="1:18" ht="15.75" hidden="1" customHeight="1" x14ac:dyDescent="0.3">
      <c r="A1516" s="3" t="s">
        <v>4437</v>
      </c>
      <c r="B1516" s="3" t="s">
        <v>4437</v>
      </c>
      <c r="C1516" s="3" t="s">
        <v>4489</v>
      </c>
      <c r="D1516" t="s">
        <v>4495</v>
      </c>
      <c r="E1516" s="3"/>
      <c r="F1516" s="15"/>
      <c r="G1516" s="15"/>
      <c r="H1516" s="3" t="s">
        <v>4438</v>
      </c>
      <c r="I1516" s="146"/>
      <c r="J1516" s="166"/>
      <c r="K1516" s="11"/>
      <c r="L1516" s="11"/>
      <c r="M1516" s="13"/>
      <c r="N1516" s="86"/>
      <c r="O1516" s="28"/>
      <c r="P1516" s="1"/>
      <c r="Q1516" s="32"/>
      <c r="R1516" s="191"/>
    </row>
    <row r="1517" spans="1:18" ht="15.75" hidden="1" customHeight="1" x14ac:dyDescent="0.3">
      <c r="A1517" s="132" t="s">
        <v>4439</v>
      </c>
      <c r="B1517" s="3" t="s">
        <v>4439</v>
      </c>
      <c r="C1517" s="3" t="s">
        <v>4490</v>
      </c>
      <c r="D1517" t="s">
        <v>4493</v>
      </c>
      <c r="E1517"/>
      <c r="F1517" t="s">
        <v>4673</v>
      </c>
      <c r="G1517" t="s">
        <v>4626</v>
      </c>
      <c r="H1517" s="3" t="s">
        <v>4440</v>
      </c>
      <c r="I1517" s="146"/>
      <c r="J1517" s="166"/>
      <c r="K1517" s="11"/>
      <c r="L1517" s="11"/>
      <c r="M1517" s="13"/>
      <c r="N1517" s="86"/>
      <c r="O1517" s="28"/>
      <c r="P1517" s="1"/>
      <c r="Q1517" s="32"/>
      <c r="R1517" s="191"/>
    </row>
    <row r="1518" spans="1:18" ht="15.75" hidden="1" customHeight="1" x14ac:dyDescent="0.3">
      <c r="A1518" s="3" t="s">
        <v>4441</v>
      </c>
      <c r="B1518" s="3" t="s">
        <v>4441</v>
      </c>
      <c r="C1518" s="3" t="s">
        <v>4490</v>
      </c>
      <c r="D1518" t="s">
        <v>4493</v>
      </c>
      <c r="E1518" s="3"/>
      <c r="F1518" s="15"/>
      <c r="G1518" s="15"/>
      <c r="H1518" s="3" t="s">
        <v>4442</v>
      </c>
      <c r="I1518" s="146"/>
      <c r="J1518" s="166"/>
      <c r="K1518" s="11"/>
      <c r="L1518" s="11"/>
      <c r="M1518" s="13"/>
      <c r="N1518" s="86"/>
      <c r="O1518" s="28"/>
      <c r="P1518" s="1"/>
      <c r="Q1518" s="32"/>
      <c r="R1518" s="191"/>
    </row>
    <row r="1519" spans="1:18" ht="15.75" customHeight="1" x14ac:dyDescent="0.3">
      <c r="A1519" s="132" t="s">
        <v>4443</v>
      </c>
      <c r="B1519" s="3" t="s">
        <v>4443</v>
      </c>
      <c r="C1519" s="3" t="s">
        <v>4520</v>
      </c>
      <c r="D1519" t="s">
        <v>4495</v>
      </c>
      <c r="E1519"/>
      <c r="F1519" t="s">
        <v>4444</v>
      </c>
      <c r="G1519" t="s">
        <v>4643</v>
      </c>
      <c r="H1519" s="3" t="s">
        <v>4429</v>
      </c>
      <c r="I1519" s="146"/>
      <c r="J1519" s="166">
        <v>4661</v>
      </c>
      <c r="K1519" s="11" t="s">
        <v>4430</v>
      </c>
      <c r="L1519" s="3" t="s">
        <v>4445</v>
      </c>
      <c r="M1519" s="29">
        <v>46049</v>
      </c>
      <c r="N1519" s="86">
        <v>155000</v>
      </c>
      <c r="O1519" s="28"/>
      <c r="P1519" s="1"/>
      <c r="Q1519" s="32"/>
      <c r="R1519" s="191">
        <v>155000</v>
      </c>
    </row>
    <row r="1520" spans="1:18" ht="15.75" customHeight="1" x14ac:dyDescent="0.3">
      <c r="A1520" s="132" t="s">
        <v>4446</v>
      </c>
      <c r="B1520" s="3" t="s">
        <v>4446</v>
      </c>
      <c r="C1520" s="3" t="s">
        <v>4489</v>
      </c>
      <c r="D1520" t="s">
        <v>4492</v>
      </c>
      <c r="E1520"/>
      <c r="F1520"/>
      <c r="G1520"/>
      <c r="H1520" s="3" t="s">
        <v>4447</v>
      </c>
      <c r="I1520" s="146"/>
      <c r="J1520" s="166">
        <v>7966</v>
      </c>
      <c r="K1520" s="11" t="s">
        <v>3308</v>
      </c>
      <c r="L1520" s="11" t="s">
        <v>551</v>
      </c>
      <c r="M1520" s="13">
        <v>46031</v>
      </c>
      <c r="N1520" s="86">
        <v>19500</v>
      </c>
      <c r="O1520" s="28"/>
      <c r="P1520" s="1"/>
      <c r="Q1520" s="32"/>
      <c r="R1520" s="191">
        <v>19500</v>
      </c>
    </row>
    <row r="1521" spans="1:18" ht="15.75" hidden="1" customHeight="1" x14ac:dyDescent="0.3">
      <c r="A1521" s="3" t="s">
        <v>4448</v>
      </c>
      <c r="B1521" s="3" t="s">
        <v>4448</v>
      </c>
      <c r="C1521" s="3" t="s">
        <v>4520</v>
      </c>
      <c r="D1521" t="s">
        <v>4496</v>
      </c>
      <c r="E1521" s="3"/>
      <c r="F1521" s="15"/>
      <c r="G1521" s="15"/>
      <c r="H1521" s="3" t="s">
        <v>4449</v>
      </c>
      <c r="I1521" s="146" t="s">
        <v>4471</v>
      </c>
      <c r="J1521" s="166"/>
      <c r="K1521" s="11"/>
      <c r="L1521" s="11"/>
      <c r="M1521" s="13"/>
      <c r="N1521" s="86"/>
      <c r="O1521" s="28"/>
      <c r="P1521" s="1"/>
      <c r="Q1521" s="32"/>
      <c r="R1521" s="191"/>
    </row>
    <row r="1522" spans="1:18" ht="15.75" hidden="1" customHeight="1" x14ac:dyDescent="0.3">
      <c r="A1522" s="3" t="s">
        <v>4450</v>
      </c>
      <c r="B1522" s="3" t="s">
        <v>4450</v>
      </c>
      <c r="C1522" s="3" t="s">
        <v>4518</v>
      </c>
      <c r="D1522" t="s">
        <v>4495</v>
      </c>
      <c r="E1522" s="3"/>
      <c r="F1522" s="15"/>
      <c r="G1522" s="15"/>
      <c r="H1522" s="3" t="s">
        <v>2272</v>
      </c>
      <c r="I1522" s="146"/>
      <c r="J1522" s="166"/>
      <c r="K1522" s="11"/>
      <c r="L1522" s="11"/>
      <c r="M1522" s="13"/>
      <c r="N1522" s="86"/>
      <c r="O1522" s="28"/>
      <c r="P1522" s="1"/>
      <c r="Q1522" s="32"/>
      <c r="R1522" s="191"/>
    </row>
    <row r="1523" spans="1:18" ht="15.75" hidden="1" customHeight="1" x14ac:dyDescent="0.3">
      <c r="A1523" s="3" t="s">
        <v>4451</v>
      </c>
      <c r="B1523" s="3" t="s">
        <v>4451</v>
      </c>
      <c r="C1523" s="3" t="s">
        <v>4518</v>
      </c>
      <c r="D1523" t="s">
        <v>4495</v>
      </c>
      <c r="E1523" s="3"/>
      <c r="F1523" s="15"/>
      <c r="G1523" s="15"/>
      <c r="H1523" s="3" t="s">
        <v>2272</v>
      </c>
      <c r="I1523" s="146"/>
      <c r="J1523" s="166"/>
      <c r="K1523" s="11"/>
      <c r="L1523" s="11"/>
      <c r="M1523" s="13"/>
      <c r="N1523" s="86"/>
      <c r="O1523" s="28"/>
      <c r="P1523" s="1"/>
      <c r="Q1523" s="32"/>
      <c r="R1523" s="191"/>
    </row>
    <row r="1524" spans="1:18" ht="15.75" hidden="1" customHeight="1" x14ac:dyDescent="0.3">
      <c r="A1524" s="3" t="s">
        <v>4452</v>
      </c>
      <c r="B1524" s="3" t="s">
        <v>4452</v>
      </c>
      <c r="C1524" s="3" t="s">
        <v>4518</v>
      </c>
      <c r="D1524" t="s">
        <v>4496</v>
      </c>
      <c r="E1524" s="3"/>
      <c r="F1524" s="15"/>
      <c r="G1524" s="15"/>
      <c r="H1524" s="3" t="s">
        <v>4453</v>
      </c>
      <c r="I1524" s="146"/>
      <c r="J1524" s="166"/>
      <c r="K1524" s="11"/>
      <c r="L1524" s="11"/>
      <c r="M1524" s="13"/>
      <c r="N1524" s="86"/>
      <c r="O1524" s="28" t="s">
        <v>20</v>
      </c>
      <c r="P1524" s="1"/>
      <c r="Q1524" s="32"/>
      <c r="R1524" s="191"/>
    </row>
    <row r="1525" spans="1:18" ht="15.75" customHeight="1" x14ac:dyDescent="0.3">
      <c r="A1525" s="132" t="s">
        <v>4454</v>
      </c>
      <c r="B1525" s="3" t="s">
        <v>4454</v>
      </c>
      <c r="C1525" s="3" t="s">
        <v>4520</v>
      </c>
      <c r="D1525" t="s">
        <v>4496</v>
      </c>
      <c r="E1525" s="3"/>
      <c r="F1525" s="15"/>
      <c r="G1525" s="15"/>
      <c r="H1525" s="3" t="s">
        <v>4455</v>
      </c>
      <c r="I1525" s="146" t="s">
        <v>4462</v>
      </c>
      <c r="J1525" s="166">
        <v>1983</v>
      </c>
      <c r="K1525" s="11" t="s">
        <v>735</v>
      </c>
      <c r="L1525" s="3" t="s">
        <v>105</v>
      </c>
      <c r="M1525" s="119">
        <v>45679</v>
      </c>
      <c r="N1525" s="120">
        <v>5790</v>
      </c>
      <c r="O1525" s="28" t="s">
        <v>20</v>
      </c>
      <c r="P1525" s="1"/>
      <c r="Q1525" s="32" t="s">
        <v>4720</v>
      </c>
      <c r="R1525" s="198">
        <v>5790</v>
      </c>
    </row>
    <row r="1526" spans="1:18" ht="15.75" hidden="1" customHeight="1" x14ac:dyDescent="0.3">
      <c r="A1526" s="3" t="s">
        <v>4463</v>
      </c>
      <c r="B1526" s="3" t="s">
        <v>4463</v>
      </c>
      <c r="C1526" s="3" t="s">
        <v>4520</v>
      </c>
      <c r="D1526" t="s">
        <v>4493</v>
      </c>
      <c r="E1526" s="3"/>
      <c r="F1526" s="15"/>
      <c r="G1526" s="15"/>
      <c r="H1526" s="3" t="s">
        <v>4466</v>
      </c>
      <c r="I1526" s="146"/>
      <c r="J1526" s="166"/>
      <c r="K1526" s="11"/>
      <c r="L1526" s="11"/>
      <c r="M1526" s="13"/>
      <c r="N1526" s="86"/>
      <c r="O1526" s="28"/>
      <c r="P1526" s="1"/>
      <c r="Q1526" s="32"/>
      <c r="R1526" s="191"/>
    </row>
    <row r="1527" spans="1:18" ht="15.75" hidden="1" customHeight="1" x14ac:dyDescent="0.3">
      <c r="A1527" s="3" t="s">
        <v>4464</v>
      </c>
      <c r="B1527" s="3" t="s">
        <v>4464</v>
      </c>
      <c r="C1527" s="3" t="s">
        <v>4489</v>
      </c>
      <c r="D1527" t="s">
        <v>4495</v>
      </c>
      <c r="E1527" s="12"/>
      <c r="F1527" s="12"/>
      <c r="G1527" s="12"/>
      <c r="H1527" s="3" t="s">
        <v>4467</v>
      </c>
      <c r="I1527" s="146"/>
      <c r="J1527" s="166"/>
      <c r="K1527" s="11"/>
      <c r="L1527" s="11"/>
      <c r="M1527" s="13"/>
      <c r="N1527" s="86"/>
      <c r="O1527" s="28"/>
      <c r="P1527" s="1"/>
      <c r="Q1527" s="32"/>
      <c r="R1527" s="191"/>
    </row>
    <row r="1528" spans="1:18" ht="15.75" hidden="1" customHeight="1" x14ac:dyDescent="0.3">
      <c r="A1528" s="3" t="s">
        <v>4465</v>
      </c>
      <c r="B1528" s="3" t="s">
        <v>4465</v>
      </c>
      <c r="C1528" s="3" t="s">
        <v>4520</v>
      </c>
      <c r="D1528" t="s">
        <v>4496</v>
      </c>
      <c r="E1528" s="3"/>
      <c r="F1528" s="15"/>
      <c r="G1528" s="15"/>
      <c r="H1528" s="3" t="s">
        <v>2444</v>
      </c>
      <c r="I1528" s="146" t="s">
        <v>4468</v>
      </c>
      <c r="J1528" s="166"/>
      <c r="K1528" s="11"/>
      <c r="L1528" s="11"/>
      <c r="M1528" s="13"/>
      <c r="N1528" s="86"/>
      <c r="O1528" s="28"/>
      <c r="P1528" s="1"/>
      <c r="Q1528" s="32"/>
      <c r="R1528" s="191"/>
    </row>
    <row r="1529" spans="1:18" ht="15.75" customHeight="1" x14ac:dyDescent="0.3">
      <c r="A1529" s="132" t="s">
        <v>4472</v>
      </c>
      <c r="B1529" s="3" t="s">
        <v>4472</v>
      </c>
      <c r="C1529" s="3" t="s">
        <v>4520</v>
      </c>
      <c r="D1529" t="s">
        <v>4496</v>
      </c>
      <c r="E1529" s="12"/>
      <c r="F1529" s="12"/>
      <c r="G1529" s="12"/>
      <c r="H1529" s="3" t="s">
        <v>3699</v>
      </c>
      <c r="I1529" s="146" t="s">
        <v>4476</v>
      </c>
      <c r="J1529" s="166">
        <v>3546</v>
      </c>
      <c r="K1529" s="11" t="s">
        <v>735</v>
      </c>
      <c r="L1529" s="3" t="s">
        <v>105</v>
      </c>
      <c r="M1529" s="119">
        <v>46077</v>
      </c>
      <c r="N1529" s="86">
        <v>1690</v>
      </c>
      <c r="O1529" s="28" t="s">
        <v>20</v>
      </c>
      <c r="P1529" s="1"/>
      <c r="Q1529" s="141" t="s">
        <v>4720</v>
      </c>
      <c r="R1529" s="191">
        <v>1690</v>
      </c>
    </row>
    <row r="1530" spans="1:18" ht="15.75" hidden="1" customHeight="1" x14ac:dyDescent="0.3">
      <c r="A1530" s="3" t="s">
        <v>4473</v>
      </c>
      <c r="B1530" s="3" t="s">
        <v>4473</v>
      </c>
      <c r="C1530" s="3" t="s">
        <v>4489</v>
      </c>
      <c r="D1530" t="s">
        <v>4494</v>
      </c>
      <c r="E1530" s="12"/>
      <c r="F1530" s="12"/>
      <c r="G1530" s="12"/>
      <c r="H1530" s="3" t="s">
        <v>4477</v>
      </c>
      <c r="I1530"/>
      <c r="J1530" s="166"/>
      <c r="K1530" s="11"/>
      <c r="L1530" s="11"/>
      <c r="M1530" s="13"/>
      <c r="N1530" s="86"/>
      <c r="O1530" s="28"/>
      <c r="P1530" s="1"/>
      <c r="Q1530" s="141"/>
    </row>
    <row r="1531" spans="1:18" ht="15.75" hidden="1" customHeight="1" x14ac:dyDescent="0.3">
      <c r="A1531" s="3" t="s">
        <v>4474</v>
      </c>
      <c r="B1531" s="3" t="s">
        <v>4474</v>
      </c>
      <c r="C1531" s="3" t="s">
        <v>4519</v>
      </c>
      <c r="D1531" t="s">
        <v>4496</v>
      </c>
      <c r="E1531" s="12"/>
      <c r="F1531" s="12"/>
      <c r="G1531" s="12"/>
      <c r="H1531" s="3" t="s">
        <v>4478</v>
      </c>
      <c r="I1531"/>
      <c r="J1531" s="166">
        <v>53169</v>
      </c>
      <c r="K1531" s="11" t="s">
        <v>187</v>
      </c>
      <c r="L1531" s="11"/>
      <c r="M1531" s="13"/>
      <c r="N1531" s="86"/>
      <c r="O1531" s="28" t="s">
        <v>20</v>
      </c>
      <c r="P1531" s="1"/>
      <c r="Q1531" s="141"/>
    </row>
    <row r="1532" spans="1:18" ht="15.75" hidden="1" customHeight="1" x14ac:dyDescent="0.3">
      <c r="A1532" s="3" t="s">
        <v>4475</v>
      </c>
      <c r="B1532" s="3" t="s">
        <v>4475</v>
      </c>
      <c r="C1532" s="3" t="s">
        <v>4520</v>
      </c>
      <c r="D1532" t="s">
        <v>4492</v>
      </c>
      <c r="E1532" s="12"/>
      <c r="F1532" s="12"/>
      <c r="G1532" s="12"/>
      <c r="H1532" t="s">
        <v>4530</v>
      </c>
      <c r="I1532"/>
      <c r="J1532" s="166"/>
      <c r="K1532" s="11"/>
      <c r="L1532" s="11"/>
      <c r="M1532" s="13"/>
      <c r="N1532" s="86"/>
      <c r="O1532" s="28"/>
      <c r="P1532" s="1"/>
      <c r="Q1532" s="141"/>
    </row>
    <row r="1533" spans="1:18" ht="15.75" hidden="1" customHeight="1" x14ac:dyDescent="0.3">
      <c r="A1533" s="3" t="s">
        <v>4503</v>
      </c>
      <c r="B1533" s="3" t="s">
        <v>4503</v>
      </c>
      <c r="C1533" s="3" t="s">
        <v>4520</v>
      </c>
      <c r="D1533" t="s">
        <v>4492</v>
      </c>
      <c r="E1533" s="12"/>
      <c r="F1533" s="12"/>
      <c r="G1533" s="12"/>
      <c r="H1533" t="s">
        <v>4529</v>
      </c>
      <c r="I1533"/>
      <c r="J1533" s="166"/>
      <c r="K1533" s="11"/>
      <c r="L1533" s="11"/>
      <c r="M1533" s="13"/>
      <c r="N1533" s="86"/>
      <c r="O1533" s="28"/>
      <c r="P1533" s="1"/>
      <c r="Q1533" s="141"/>
    </row>
    <row r="1534" spans="1:18" ht="15.75" hidden="1" customHeight="1" x14ac:dyDescent="0.3">
      <c r="A1534" s="3" t="s">
        <v>4504</v>
      </c>
      <c r="B1534" s="3" t="s">
        <v>4504</v>
      </c>
      <c r="C1534" s="3" t="s">
        <v>4519</v>
      </c>
      <c r="D1534" t="s">
        <v>4496</v>
      </c>
      <c r="E1534" s="3"/>
      <c r="F1534" s="62"/>
      <c r="G1534" s="62"/>
      <c r="H1534" t="s">
        <v>4528</v>
      </c>
      <c r="I1534" t="s">
        <v>4609</v>
      </c>
      <c r="J1534" s="166"/>
      <c r="K1534" s="11"/>
      <c r="L1534" s="11"/>
      <c r="M1534" s="13"/>
      <c r="N1534" s="86"/>
      <c r="O1534" s="28"/>
      <c r="P1534" s="1"/>
      <c r="Q1534" s="141"/>
    </row>
    <row r="1535" spans="1:18" ht="15.75" hidden="1" customHeight="1" x14ac:dyDescent="0.3">
      <c r="A1535" s="3" t="s">
        <v>4505</v>
      </c>
      <c r="B1535" s="3" t="s">
        <v>4505</v>
      </c>
      <c r="C1535" s="3" t="s">
        <v>4520</v>
      </c>
      <c r="D1535" t="s">
        <v>4496</v>
      </c>
      <c r="E1535" s="1"/>
      <c r="F1535" s="23"/>
      <c r="G1535" s="23"/>
      <c r="H1535" t="s">
        <v>4523</v>
      </c>
      <c r="I1535"/>
      <c r="J1535" s="171"/>
      <c r="K1535" s="11"/>
      <c r="L1535" s="23"/>
      <c r="M1535" s="126"/>
      <c r="N1535" s="87"/>
      <c r="O1535" s="125"/>
      <c r="P1535" s="1"/>
      <c r="Q1535" s="141"/>
    </row>
    <row r="1536" spans="1:18" ht="15.75" hidden="1" customHeight="1" x14ac:dyDescent="0.3">
      <c r="A1536" s="3" t="s">
        <v>4506</v>
      </c>
      <c r="B1536" s="3" t="s">
        <v>4506</v>
      </c>
      <c r="C1536" s="3" t="s">
        <v>4520</v>
      </c>
      <c r="D1536" t="s">
        <v>4496</v>
      </c>
      <c r="E1536" s="3"/>
      <c r="F1536" s="11"/>
      <c r="G1536" s="11"/>
      <c r="H1536" t="s">
        <v>4523</v>
      </c>
      <c r="I1536"/>
      <c r="J1536" s="166"/>
      <c r="K1536" s="11"/>
      <c r="L1536" s="11"/>
      <c r="M1536" s="13"/>
      <c r="N1536" s="86"/>
      <c r="O1536" s="28"/>
      <c r="P1536" s="1"/>
      <c r="Q1536" s="141"/>
    </row>
    <row r="1537" spans="1:17" ht="15.75" hidden="1" customHeight="1" x14ac:dyDescent="0.3">
      <c r="A1537" s="3" t="s">
        <v>4507</v>
      </c>
      <c r="B1537" s="3" t="s">
        <v>4507</v>
      </c>
      <c r="C1537" s="3" t="s">
        <v>4520</v>
      </c>
      <c r="D1537" t="s">
        <v>4496</v>
      </c>
      <c r="E1537" s="3"/>
      <c r="F1537" s="11"/>
      <c r="G1537" s="11"/>
      <c r="H1537" t="s">
        <v>4523</v>
      </c>
      <c r="I1537"/>
      <c r="J1537" s="166"/>
      <c r="K1537" s="11"/>
      <c r="L1537" s="11"/>
      <c r="M1537" s="13"/>
      <c r="N1537" s="86"/>
      <c r="O1537" s="28"/>
      <c r="P1537" s="1"/>
      <c r="Q1537" s="141"/>
    </row>
    <row r="1538" spans="1:17" ht="15.75" hidden="1" customHeight="1" x14ac:dyDescent="0.3">
      <c r="A1538" s="3" t="s">
        <v>4508</v>
      </c>
      <c r="B1538" s="3" t="s">
        <v>4508</v>
      </c>
      <c r="C1538" s="3" t="s">
        <v>4520</v>
      </c>
      <c r="D1538" t="s">
        <v>4496</v>
      </c>
      <c r="E1538" s="3"/>
      <c r="F1538" s="11"/>
      <c r="G1538" s="11"/>
      <c r="H1538" t="s">
        <v>4523</v>
      </c>
      <c r="I1538"/>
      <c r="J1538" s="166"/>
      <c r="K1538" s="11"/>
      <c r="L1538" s="11"/>
      <c r="M1538" s="13"/>
      <c r="N1538" s="86"/>
      <c r="O1538" s="28"/>
      <c r="P1538" s="1"/>
      <c r="Q1538" s="141"/>
    </row>
    <row r="1539" spans="1:17" ht="15.75" hidden="1" customHeight="1" x14ac:dyDescent="0.3">
      <c r="A1539" s="3" t="s">
        <v>4509</v>
      </c>
      <c r="B1539" s="3" t="s">
        <v>4509</v>
      </c>
      <c r="C1539" s="3" t="s">
        <v>4520</v>
      </c>
      <c r="D1539" t="s">
        <v>4496</v>
      </c>
      <c r="E1539" s="3"/>
      <c r="F1539" s="11"/>
      <c r="G1539" s="11"/>
      <c r="H1539" t="s">
        <v>4523</v>
      </c>
      <c r="I1539"/>
      <c r="J1539" s="166"/>
      <c r="K1539" s="11"/>
      <c r="L1539" s="11"/>
      <c r="M1539" s="13"/>
      <c r="N1539" s="86"/>
      <c r="O1539" s="28"/>
      <c r="P1539" s="1"/>
      <c r="Q1539" s="141"/>
    </row>
    <row r="1540" spans="1:17" ht="15.75" hidden="1" customHeight="1" x14ac:dyDescent="0.3">
      <c r="A1540" s="132" t="s">
        <v>4510</v>
      </c>
      <c r="B1540" s="3" t="s">
        <v>4510</v>
      </c>
      <c r="C1540" s="55" t="s">
        <v>4490</v>
      </c>
      <c r="D1540" t="s">
        <v>4493</v>
      </c>
      <c r="E1540"/>
      <c r="F1540"/>
      <c r="G1540"/>
      <c r="H1540" t="s">
        <v>4527</v>
      </c>
      <c r="I1540"/>
      <c r="J1540" s="166"/>
      <c r="K1540" s="11"/>
      <c r="L1540" s="11"/>
      <c r="M1540" s="13"/>
      <c r="N1540" s="86"/>
      <c r="O1540" s="28"/>
      <c r="P1540" s="1"/>
      <c r="Q1540" s="141"/>
    </row>
    <row r="1541" spans="1:17" ht="15.75" hidden="1" customHeight="1" x14ac:dyDescent="0.3">
      <c r="A1541" s="132" t="s">
        <v>4511</v>
      </c>
      <c r="B1541" s="3" t="s">
        <v>4511</v>
      </c>
      <c r="C1541" s="55" t="s">
        <v>4490</v>
      </c>
      <c r="D1541" t="s">
        <v>4495</v>
      </c>
      <c r="E1541"/>
      <c r="F1541" t="s">
        <v>4610</v>
      </c>
      <c r="G1541"/>
      <c r="H1541" t="s">
        <v>4526</v>
      </c>
      <c r="I1541" t="s">
        <v>4610</v>
      </c>
      <c r="J1541" s="166"/>
      <c r="K1541" s="11"/>
      <c r="L1541" s="11"/>
      <c r="M1541" s="13"/>
      <c r="N1541" s="86"/>
      <c r="O1541" s="28"/>
      <c r="P1541" s="1"/>
      <c r="Q1541" s="141"/>
    </row>
    <row r="1542" spans="1:17" ht="15.75" hidden="1" customHeight="1" x14ac:dyDescent="0.3">
      <c r="A1542" s="3" t="s">
        <v>4512</v>
      </c>
      <c r="B1542" s="3" t="s">
        <v>4512</v>
      </c>
      <c r="C1542" s="3" t="s">
        <v>4520</v>
      </c>
      <c r="D1542" t="s">
        <v>4496</v>
      </c>
      <c r="E1542" s="3"/>
      <c r="F1542" s="11"/>
      <c r="G1542" s="11"/>
      <c r="H1542" t="s">
        <v>4525</v>
      </c>
      <c r="I1542" t="s">
        <v>4611</v>
      </c>
      <c r="J1542" s="166"/>
      <c r="K1542" s="11"/>
      <c r="L1542" s="11"/>
      <c r="M1542" s="13"/>
      <c r="N1542" s="86"/>
      <c r="O1542" s="28"/>
      <c r="P1542" s="1"/>
      <c r="Q1542" s="141"/>
    </row>
    <row r="1543" spans="1:17" ht="15.75" hidden="1" customHeight="1" x14ac:dyDescent="0.3">
      <c r="A1543" s="3" t="s">
        <v>4513</v>
      </c>
      <c r="B1543" s="3" t="s">
        <v>4513</v>
      </c>
      <c r="C1543" s="3" t="s">
        <v>4489</v>
      </c>
      <c r="D1543" t="s">
        <v>4493</v>
      </c>
      <c r="E1543" s="3"/>
      <c r="F1543" s="11"/>
      <c r="G1543" s="11"/>
      <c r="H1543" t="s">
        <v>4524</v>
      </c>
      <c r="I1543"/>
      <c r="J1543" s="166"/>
      <c r="K1543" s="11"/>
      <c r="L1543" s="11"/>
      <c r="M1543" s="13"/>
      <c r="N1543" s="86"/>
      <c r="O1543" s="28"/>
      <c r="P1543" s="1"/>
      <c r="Q1543" s="141"/>
    </row>
    <row r="1544" spans="1:17" ht="15.75" hidden="1" customHeight="1" x14ac:dyDescent="0.3">
      <c r="A1544" s="3" t="s">
        <v>4514</v>
      </c>
      <c r="B1544" s="3" t="s">
        <v>4514</v>
      </c>
      <c r="C1544" s="3" t="s">
        <v>4519</v>
      </c>
      <c r="D1544" t="s">
        <v>4495</v>
      </c>
      <c r="E1544" s="3"/>
      <c r="F1544" s="11"/>
      <c r="G1544" s="11"/>
      <c r="H1544" t="s">
        <v>3426</v>
      </c>
      <c r="I1544"/>
      <c r="J1544" s="166"/>
      <c r="K1544" s="11"/>
      <c r="L1544" s="11"/>
      <c r="M1544" s="13"/>
      <c r="N1544" s="86"/>
      <c r="O1544" s="28"/>
      <c r="P1544" s="1"/>
      <c r="Q1544" s="141"/>
    </row>
    <row r="1545" spans="1:17" ht="15.75" hidden="1" customHeight="1" x14ac:dyDescent="0.3">
      <c r="A1545" s="3" t="s">
        <v>4515</v>
      </c>
      <c r="B1545" s="3" t="s">
        <v>4515</v>
      </c>
      <c r="C1545" s="3" t="s">
        <v>4519</v>
      </c>
      <c r="D1545" t="s">
        <v>4495</v>
      </c>
      <c r="E1545" s="3"/>
      <c r="F1545" s="11"/>
      <c r="G1545" s="11"/>
      <c r="H1545" t="s">
        <v>3426</v>
      </c>
      <c r="I1545"/>
      <c r="J1545" s="166"/>
      <c r="K1545" s="11"/>
      <c r="L1545" s="11"/>
      <c r="M1545" s="13"/>
      <c r="N1545" s="86"/>
      <c r="O1545" s="28"/>
      <c r="P1545" s="1"/>
      <c r="Q1545" s="141"/>
    </row>
    <row r="1546" spans="1:17" ht="15.75" hidden="1" customHeight="1" x14ac:dyDescent="0.3">
      <c r="A1546" s="3" t="s">
        <v>4516</v>
      </c>
      <c r="B1546" s="3" t="s">
        <v>4516</v>
      </c>
      <c r="C1546" s="3" t="s">
        <v>4520</v>
      </c>
      <c r="D1546" t="s">
        <v>4496</v>
      </c>
      <c r="E1546" s="3"/>
      <c r="F1546" s="11"/>
      <c r="G1546" s="11"/>
      <c r="H1546" t="s">
        <v>4466</v>
      </c>
      <c r="I1546" t="s">
        <v>4612</v>
      </c>
      <c r="J1546" s="166"/>
      <c r="K1546" s="11"/>
      <c r="L1546" s="11"/>
      <c r="M1546" s="13"/>
      <c r="N1546" s="86"/>
      <c r="O1546" s="28"/>
      <c r="P1546" s="1"/>
      <c r="Q1546" s="141"/>
    </row>
    <row r="1547" spans="1:17" ht="15.75" customHeight="1" x14ac:dyDescent="0.3">
      <c r="A1547" s="3"/>
      <c r="B1547" s="3"/>
      <c r="C1547" s="3"/>
      <c r="D1547" s="3"/>
      <c r="E1547" s="3"/>
      <c r="F1547" s="3"/>
      <c r="G1547" s="3"/>
      <c r="H1547" s="3"/>
      <c r="I1547" s="121"/>
      <c r="J1547" s="166"/>
      <c r="K1547" s="3"/>
      <c r="L1547" s="11"/>
      <c r="M1547" s="29"/>
      <c r="N1547" s="86">
        <f>SUBTOTAL(109,Inventory_List_Table3[VALOR])</f>
        <v>286483140.92999953</v>
      </c>
      <c r="O1547" s="28"/>
      <c r="P1547" s="44"/>
      <c r="Q1547" s="3"/>
    </row>
    <row r="1548" spans="1:17" ht="15.75" customHeight="1" x14ac:dyDescent="0.3">
      <c r="B1548" s="79"/>
      <c r="Q1548" s="79"/>
    </row>
  </sheetData>
  <sheetProtection formatCells="0" formatColumns="0" formatRows="0" insertColumns="0" insertRows="0" insertHyperlinks="0" deleteColumns="0" deleteRows="0" sort="0" autoFilter="0" pivotTables="0"/>
  <autoFilter ref="Q1:R1" xr:uid="{DC8140D1-1DDF-4C34-9FC9-A548878193AD}"/>
  <phoneticPr fontId="5" type="noConversion"/>
  <dataValidations xWindow="1403" yWindow="490" count="4">
    <dataValidation allowBlank="1" showInputMessage="1" showErrorMessage="1" prompt="Insira a ID de estoque do item nesta coluna" sqref="C378:D378 A290 C311:D311 A237 A409 A233 C140:D140 A429 A574 A561 A426 J188:J189 A61 H128:I189 J140 J143 A349 F779:G779 A216 J159 J176:J178 J181:J182 J184 C285:D287 C417:D417 B2:B667 C415:D415 C142:D145 C309:D309 C577:D577 C563:D564 C56:D56 C58:D58 C544:D545 C737:D737 A615 A59 A347 A255 A524 A19 A16 A190 A177 C480:D483 C725:D729 C328:D328 C350:D350 C422:D422 C340:D340 C580:D587 C718:D720 C147:D150 C61:D62 C14:D44 C557:D560 C201:D203 C217:D217 C211:D212 C227:D227 C240:D241 C181:D190 C259:D259 C268:D268 C272:D273 C275:D275 C277:D277 C279:D280 C282:D283 C152:D163 C296:D296 C305:D306 C357:D357 C331:D333 C369:D369 C723:D723 C390:D390 C394:D396 C250:D254 C424:D425 C427:D431 C447:D447 C401:D403 C463:D464 C466:D467 C475:D475 C486:D486 C492:D493 C495:D495 C497:D497 C528:D528 C536:D536 C454:D460 C542:D542 C548:D548 C786:D797 C533:D533 C2:D12 C775:D775 C608:D615 J186 C753:D753 C673:D673 C382:D382 A415 C65:D138 C385:D385 C46:D54 A516 A29 A352 A463 A632 C343:D344 F816:G816 C165:D179 C313:D315 C320:D321 C364:D364 C388:D388 C472:D472 C501:D502 C508:D508 C517:D517 C566:D566 C602:D602 C650:D650 C538:D540 Q2:Q667 C221:D223 D767:D768 D1189" xr:uid="{4FF595C7-5148-4482-A1EB-18BE38B287C9}"/>
    <dataValidation allowBlank="1" showInputMessage="1" showErrorMessage="1" prompt="Insira a quantidade em estoque de cada item nesta coluna" sqref="N393:N412 N179:N223 O720:O721 M6:N11 O709 O696:O705 M13:M27 N34:N42 N14:N16 N44:N49 M34:M56 M58:N94 O2:O667 N18:N27 M415:N428 N313:N391 M96:M188 M616:M648 M313:M412 M238:N311 N96:N177 M190:M232 N226:N232 M234:N236 N51:N56 M30:N32 M575:N595 M430:N573 M605:M614 N597:N614 M651:M667 N616:N667 O724:O865 R393:R412 R179:R223 R6:R11 R34:R42 R14:R16 R44:R49 R58:R94 R18:R27 R415:R428 R313:R391 R238:R311 R96:R177 R226:R232 R234:R236 R51:R56 R30:R32 R575:R595 R430:R573 R597:R614 R616:R667" xr:uid="{E840C706-7D41-4134-81BC-94AAAA89AFB9}"/>
    <dataValidation allowBlank="1" showInputMessage="1" showErrorMessage="1" prompt="Insira o nome do item nesta coluna" sqref="A415 A615 A347 A59 A61 A255 A524 A19 A16 A190 A177 A516 A29 K464 A352 A463 A632 A429 K425:L426 K15:L16 L220:L221 K433:L433 K249:K251 K211:L211 A237 A290 K452:L452 K327:K329 K438:L438 K412:L412 K259:L261 K268:L269 K238:L238 K323:K324 K376:L380 K286:K287 K313:K316 K266:L266 K444:L445 L356 K244:L244 L251 K309:L309 K289:L290 K224 K219:K221 K319:K321 K440:L440 K442:L442 K302:K305 K311:L311 K21:L21 K95 K186:L186 K230 K235 K228:L228 L286 K351:L351 K436:L436 K159 K3:K7 K24:L25 A216 K19:L19 L314 K213:L213 L242 K240:K242 L280 L302:L303 K300:L300 K335:L335 K345:L345 A409 A233 L408 K400:L404 K189 K216:L216 K54:L55 A349 K28:K29 A574 A561 A426 L5:L7 K263:L263 L3 K45 K49:L50 K57 K59:L59 K61:L61 K89:L89 K140:L140 K143:L143 K176:K178 K181:L182 K184:L184 K275:K276 K278:K280 K282:K284 L283:L284 K293:K296 L331 K337:L338 L340:L341 K349:L349 K354:L354 K356:K360 L360 K363:L365 K370:L370 K372:L372 K384:L384 K387:L390 K394:L394 K397:L397 K408:K410 L410 K421:L422 Q2:Q667 B2:B667" xr:uid="{B506D070-7844-4B0A-9636-130FA8487502}"/>
    <dataValidation allowBlank="1" showInputMessage="1" showErrorMessage="1" prompt="Insira uma descrição do item nesta coluna" sqref="K409 H575:J667 J408 H247:H408 H128:H245 I128:I408 J140 J143 J159 J176:J178 J181:J182 J184 J186 J188:J189 J211:J213 J215:J216 J219:J221 J223:J225 J228:J230 J233:J235 J237:J238 J240:J242 J244 J248:J255 J259:J263 J265:J270 J275:J276 J278:J280 J282:J284 J286:J287 J289:J291 J293:J296 J300 J302:J305 J308:J331 J335:J338 J340:J341 J345:J346 J349 J351:J354 J356:J360 J363:J365 J370 J372 J376:J382 J384 J387:J390 J394 J397 J400:J405 H410:I573 J410 J412:J414 J421:J422 J425:J426 J429:J433 J436 J438:J440 J442:J446 J451:J452 J454 J461 J464 J466:J573" xr:uid="{C224FEB4-54E4-450F-A6E0-7294C030E18C}"/>
  </dataValidations>
  <printOptions horizontalCentered="1" verticalCentered="1"/>
  <pageMargins left="0" right="0" top="0" bottom="0" header="0" footer="0"/>
  <pageSetup paperSize="9" scale="10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DF3E2-5B66-4E11-831A-4F864A2E2491}">
  <dimension ref="A1522:A1534"/>
  <sheetViews>
    <sheetView topLeftCell="A1510" workbookViewId="0">
      <selection activeCell="A1523" sqref="A1523"/>
    </sheetView>
  </sheetViews>
  <sheetFormatPr defaultRowHeight="15.75" x14ac:dyDescent="0.3"/>
  <cols>
    <col min="1" max="1" width="23.5546875" bestFit="1" customWidth="1"/>
  </cols>
  <sheetData>
    <row r="1522" spans="1:1" x14ac:dyDescent="0.3">
      <c r="A1522" t="str" cm="1">
        <f t="array" ref="A1522:A1534">_xlfn.UNIQUE('Patrimonio 2025'!C:C)</f>
        <v>CLASSE DO ATIVO</v>
      </c>
    </row>
    <row r="1523" spans="1:1" x14ac:dyDescent="0.3">
      <c r="A1523" t="str">
        <v>VEÍCULOS</v>
      </c>
    </row>
    <row r="1524" spans="1:1" x14ac:dyDescent="0.3">
      <c r="A1524" t="str">
        <v>IMÓVEIS</v>
      </c>
    </row>
    <row r="1525" spans="1:1" x14ac:dyDescent="0.3">
      <c r="A1525" t="str">
        <v>EQUIPAMENTOS DIVERSOS</v>
      </c>
    </row>
    <row r="1526" spans="1:1" x14ac:dyDescent="0.3">
      <c r="A1526" t="str">
        <v>MÁQUINAS E IMPLEMENTOS</v>
      </c>
    </row>
    <row r="1527" spans="1:1" x14ac:dyDescent="0.3">
      <c r="A1527" t="str">
        <v>EQUIPAMENTOS OFICINA</v>
      </c>
    </row>
    <row r="1528" spans="1:1" x14ac:dyDescent="0.3">
      <c r="A1528" t="str">
        <v>INFORMÁTICA E COMUNICAÇÃO</v>
      </c>
    </row>
    <row r="1529" spans="1:1" x14ac:dyDescent="0.3">
      <c r="A1529" t="str">
        <v>MÓVEIS E UTENSÍLIOS</v>
      </c>
    </row>
    <row r="1530" spans="1:1" x14ac:dyDescent="0.3">
      <c r="A1530" t="str">
        <v>EQUIPAMENTOS UBG</v>
      </c>
    </row>
    <row r="1531" spans="1:1" x14ac:dyDescent="0.3">
      <c r="A1531" t="str">
        <v>EQUIPAMENTOS UBA</v>
      </c>
    </row>
    <row r="1532" spans="1:1" x14ac:dyDescent="0.3">
      <c r="A1532" t="str">
        <v>AERONAVE</v>
      </c>
    </row>
    <row r="1533" spans="1:1" x14ac:dyDescent="0.3">
      <c r="A1533" t="e">
        <v>#N/A</v>
      </c>
    </row>
    <row r="1534" spans="1:1" x14ac:dyDescent="0.3">
      <c r="A1534">
        <v>0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35E718-69C1-40F4-94D2-6A15898ECE13}">
  <dimension ref="A1:E1003"/>
  <sheetViews>
    <sheetView zoomScaleNormal="100" workbookViewId="0">
      <selection activeCell="A7" sqref="A7"/>
    </sheetView>
  </sheetViews>
  <sheetFormatPr defaultColWidth="17.88671875" defaultRowHeight="15.75" x14ac:dyDescent="0.3"/>
  <cols>
    <col min="1" max="1" width="68.44140625" bestFit="1" customWidth="1"/>
    <col min="2" max="2" width="16.77734375" bestFit="1" customWidth="1"/>
  </cols>
  <sheetData>
    <row r="1" spans="1:5" x14ac:dyDescent="0.3">
      <c r="D1" s="2"/>
    </row>
    <row r="2" spans="1:5" x14ac:dyDescent="0.3">
      <c r="D2" s="2"/>
    </row>
    <row r="3" spans="1:5" x14ac:dyDescent="0.3">
      <c r="A3" s="50" t="s">
        <v>4456</v>
      </c>
      <c r="B3" t="s">
        <v>4457</v>
      </c>
      <c r="D3" s="2"/>
    </row>
    <row r="4" spans="1:5" x14ac:dyDescent="0.3">
      <c r="A4" s="44" t="s">
        <v>2770</v>
      </c>
      <c r="B4">
        <v>1</v>
      </c>
    </row>
    <row r="5" spans="1:5" x14ac:dyDescent="0.3">
      <c r="A5" s="44" t="s">
        <v>659</v>
      </c>
      <c r="B5">
        <v>1</v>
      </c>
    </row>
    <row r="6" spans="1:5" x14ac:dyDescent="0.3">
      <c r="A6" s="44" t="s">
        <v>2485</v>
      </c>
      <c r="B6">
        <v>1</v>
      </c>
      <c r="E6" t="s">
        <v>719</v>
      </c>
    </row>
    <row r="7" spans="1:5" x14ac:dyDescent="0.3">
      <c r="A7" s="44" t="s">
        <v>3643</v>
      </c>
      <c r="B7">
        <v>1</v>
      </c>
    </row>
    <row r="8" spans="1:5" x14ac:dyDescent="0.3">
      <c r="A8" s="44" t="s">
        <v>3649</v>
      </c>
      <c r="B8">
        <v>8</v>
      </c>
    </row>
    <row r="9" spans="1:5" x14ac:dyDescent="0.3">
      <c r="A9" s="44" t="s">
        <v>478</v>
      </c>
      <c r="B9">
        <v>8</v>
      </c>
    </row>
    <row r="10" spans="1:5" x14ac:dyDescent="0.3">
      <c r="A10" s="44" t="s">
        <v>363</v>
      </c>
      <c r="B10">
        <v>1</v>
      </c>
    </row>
    <row r="11" spans="1:5" x14ac:dyDescent="0.3">
      <c r="A11" s="44" t="s">
        <v>369</v>
      </c>
      <c r="B11">
        <v>1</v>
      </c>
    </row>
    <row r="12" spans="1:5" x14ac:dyDescent="0.3">
      <c r="A12" s="44" t="s">
        <v>372</v>
      </c>
      <c r="B12">
        <v>1</v>
      </c>
    </row>
    <row r="13" spans="1:5" x14ac:dyDescent="0.3">
      <c r="A13" s="44" t="s">
        <v>3559</v>
      </c>
      <c r="B13">
        <v>1</v>
      </c>
    </row>
    <row r="14" spans="1:5" x14ac:dyDescent="0.3">
      <c r="A14" s="44" t="s">
        <v>3592</v>
      </c>
      <c r="B14">
        <v>1</v>
      </c>
    </row>
    <row r="15" spans="1:5" x14ac:dyDescent="0.3">
      <c r="A15" s="44" t="s">
        <v>3598</v>
      </c>
      <c r="B15">
        <v>1</v>
      </c>
    </row>
    <row r="16" spans="1:5" x14ac:dyDescent="0.3">
      <c r="A16" s="44" t="s">
        <v>3596</v>
      </c>
      <c r="B16">
        <v>1</v>
      </c>
    </row>
    <row r="17" spans="1:2" x14ac:dyDescent="0.3">
      <c r="A17" s="44" t="s">
        <v>3600</v>
      </c>
      <c r="B17">
        <v>1</v>
      </c>
    </row>
    <row r="18" spans="1:2" x14ac:dyDescent="0.3">
      <c r="A18" s="44" t="s">
        <v>3578</v>
      </c>
      <c r="B18">
        <v>1</v>
      </c>
    </row>
    <row r="19" spans="1:2" x14ac:dyDescent="0.3">
      <c r="A19" s="44" t="s">
        <v>3602</v>
      </c>
      <c r="B19">
        <v>1</v>
      </c>
    </row>
    <row r="20" spans="1:2" x14ac:dyDescent="0.3">
      <c r="A20" s="44" t="s">
        <v>3548</v>
      </c>
      <c r="B20">
        <v>1</v>
      </c>
    </row>
    <row r="21" spans="1:2" x14ac:dyDescent="0.3">
      <c r="A21" s="44" t="s">
        <v>3606</v>
      </c>
      <c r="B21">
        <v>1</v>
      </c>
    </row>
    <row r="22" spans="1:2" x14ac:dyDescent="0.3">
      <c r="A22" s="44" t="s">
        <v>1794</v>
      </c>
      <c r="B22">
        <v>2</v>
      </c>
    </row>
    <row r="23" spans="1:2" x14ac:dyDescent="0.3">
      <c r="A23" s="44" t="s">
        <v>3507</v>
      </c>
      <c r="B23">
        <v>1</v>
      </c>
    </row>
    <row r="24" spans="1:2" x14ac:dyDescent="0.3">
      <c r="A24" s="44" t="s">
        <v>2927</v>
      </c>
      <c r="B24">
        <v>1</v>
      </c>
    </row>
    <row r="25" spans="1:2" x14ac:dyDescent="0.3">
      <c r="A25" s="44" t="s">
        <v>2890</v>
      </c>
      <c r="B25">
        <v>1</v>
      </c>
    </row>
    <row r="26" spans="1:2" x14ac:dyDescent="0.3">
      <c r="A26" s="44" t="s">
        <v>3127</v>
      </c>
      <c r="B26">
        <v>1</v>
      </c>
    </row>
    <row r="27" spans="1:2" x14ac:dyDescent="0.3">
      <c r="A27" s="44" t="s">
        <v>3017</v>
      </c>
      <c r="B27">
        <v>2</v>
      </c>
    </row>
    <row r="28" spans="1:2" x14ac:dyDescent="0.3">
      <c r="A28" s="44" t="s">
        <v>1434</v>
      </c>
      <c r="B28">
        <v>3</v>
      </c>
    </row>
    <row r="29" spans="1:2" x14ac:dyDescent="0.3">
      <c r="A29" s="44" t="s">
        <v>912</v>
      </c>
      <c r="B29">
        <v>1</v>
      </c>
    </row>
    <row r="30" spans="1:2" x14ac:dyDescent="0.3">
      <c r="A30" s="44" t="s">
        <v>1014</v>
      </c>
      <c r="B30">
        <v>2</v>
      </c>
    </row>
    <row r="31" spans="1:2" x14ac:dyDescent="0.3">
      <c r="A31" s="44" t="s">
        <v>270</v>
      </c>
      <c r="B31">
        <v>2</v>
      </c>
    </row>
    <row r="32" spans="1:2" x14ac:dyDescent="0.3">
      <c r="A32" s="44" t="s">
        <v>887</v>
      </c>
      <c r="B32">
        <v>1</v>
      </c>
    </row>
    <row r="33" spans="1:2" x14ac:dyDescent="0.3">
      <c r="A33" s="44" t="s">
        <v>186</v>
      </c>
      <c r="B33">
        <v>4</v>
      </c>
    </row>
    <row r="34" spans="1:2" x14ac:dyDescent="0.3">
      <c r="A34" s="44" t="s">
        <v>3426</v>
      </c>
      <c r="B34">
        <v>5</v>
      </c>
    </row>
    <row r="35" spans="1:2" x14ac:dyDescent="0.3">
      <c r="A35" s="44" t="s">
        <v>3861</v>
      </c>
      <c r="B35">
        <v>2</v>
      </c>
    </row>
    <row r="36" spans="1:2" x14ac:dyDescent="0.3">
      <c r="A36" s="44" t="s">
        <v>3537</v>
      </c>
      <c r="B36">
        <v>1</v>
      </c>
    </row>
    <row r="37" spans="1:2" x14ac:dyDescent="0.3">
      <c r="A37" s="44" t="s">
        <v>3863</v>
      </c>
      <c r="B37">
        <v>2</v>
      </c>
    </row>
    <row r="38" spans="1:2" x14ac:dyDescent="0.3">
      <c r="A38" s="44" t="s">
        <v>3856</v>
      </c>
      <c r="B38">
        <v>1</v>
      </c>
    </row>
    <row r="39" spans="1:2" x14ac:dyDescent="0.3">
      <c r="A39" s="44" t="s">
        <v>4076</v>
      </c>
      <c r="B39">
        <v>1</v>
      </c>
    </row>
    <row r="40" spans="1:2" x14ac:dyDescent="0.3">
      <c r="A40" s="44" t="s">
        <v>4017</v>
      </c>
      <c r="B40">
        <v>3</v>
      </c>
    </row>
    <row r="41" spans="1:2" x14ac:dyDescent="0.3">
      <c r="A41" s="44" t="s">
        <v>3756</v>
      </c>
      <c r="B41">
        <v>3</v>
      </c>
    </row>
    <row r="42" spans="1:2" x14ac:dyDescent="0.3">
      <c r="A42" s="44" t="s">
        <v>4369</v>
      </c>
      <c r="B42">
        <v>1</v>
      </c>
    </row>
    <row r="43" spans="1:2" x14ac:dyDescent="0.3">
      <c r="A43" s="44" t="s">
        <v>3195</v>
      </c>
      <c r="B43">
        <v>1</v>
      </c>
    </row>
    <row r="44" spans="1:2" x14ac:dyDescent="0.3">
      <c r="A44" s="44" t="s">
        <v>3188</v>
      </c>
      <c r="B44">
        <v>3</v>
      </c>
    </row>
    <row r="45" spans="1:2" x14ac:dyDescent="0.3">
      <c r="A45" s="44" t="s">
        <v>2340</v>
      </c>
      <c r="B45">
        <v>10</v>
      </c>
    </row>
    <row r="46" spans="1:2" x14ac:dyDescent="0.3">
      <c r="A46" s="44" t="s">
        <v>474</v>
      </c>
      <c r="B46">
        <v>7</v>
      </c>
    </row>
    <row r="47" spans="1:2" x14ac:dyDescent="0.3">
      <c r="A47" s="44" t="s">
        <v>3042</v>
      </c>
      <c r="B47">
        <v>1</v>
      </c>
    </row>
    <row r="48" spans="1:2" x14ac:dyDescent="0.3">
      <c r="A48" s="44" t="s">
        <v>3896</v>
      </c>
      <c r="B48">
        <v>1</v>
      </c>
    </row>
    <row r="49" spans="1:2" x14ac:dyDescent="0.3">
      <c r="A49" s="44" t="s">
        <v>1585</v>
      </c>
      <c r="B49">
        <v>1</v>
      </c>
    </row>
    <row r="50" spans="1:2" x14ac:dyDescent="0.3">
      <c r="A50" s="44" t="s">
        <v>3048</v>
      </c>
      <c r="B50">
        <v>1</v>
      </c>
    </row>
    <row r="51" spans="1:2" x14ac:dyDescent="0.3">
      <c r="A51" s="44" t="s">
        <v>2135</v>
      </c>
      <c r="B51">
        <v>1</v>
      </c>
    </row>
    <row r="52" spans="1:2" x14ac:dyDescent="0.3">
      <c r="A52" s="44" t="s">
        <v>2156</v>
      </c>
      <c r="B52">
        <v>6</v>
      </c>
    </row>
    <row r="53" spans="1:2" x14ac:dyDescent="0.3">
      <c r="A53" s="44" t="s">
        <v>2469</v>
      </c>
      <c r="B53">
        <v>4</v>
      </c>
    </row>
    <row r="54" spans="1:2" x14ac:dyDescent="0.3">
      <c r="A54" s="44" t="s">
        <v>2739</v>
      </c>
      <c r="B54">
        <v>1</v>
      </c>
    </row>
    <row r="55" spans="1:2" x14ac:dyDescent="0.3">
      <c r="A55" s="44" t="s">
        <v>2475</v>
      </c>
      <c r="B55">
        <v>1</v>
      </c>
    </row>
    <row r="56" spans="1:2" x14ac:dyDescent="0.3">
      <c r="A56" s="44" t="s">
        <v>2466</v>
      </c>
      <c r="B56">
        <v>32</v>
      </c>
    </row>
    <row r="57" spans="1:2" x14ac:dyDescent="0.3">
      <c r="A57" s="44" t="s">
        <v>2500</v>
      </c>
      <c r="B57">
        <v>1</v>
      </c>
    </row>
    <row r="58" spans="1:2" x14ac:dyDescent="0.3">
      <c r="A58" s="44" t="s">
        <v>2503</v>
      </c>
      <c r="B58">
        <v>1</v>
      </c>
    </row>
    <row r="59" spans="1:2" x14ac:dyDescent="0.3">
      <c r="A59" s="44" t="s">
        <v>3045</v>
      </c>
      <c r="B59">
        <v>1</v>
      </c>
    </row>
    <row r="60" spans="1:2" x14ac:dyDescent="0.3">
      <c r="A60" s="44" t="s">
        <v>2150</v>
      </c>
      <c r="B60">
        <v>1</v>
      </c>
    </row>
    <row r="61" spans="1:2" x14ac:dyDescent="0.3">
      <c r="A61" s="44" t="s">
        <v>2441</v>
      </c>
      <c r="B61">
        <v>1</v>
      </c>
    </row>
    <row r="62" spans="1:2" x14ac:dyDescent="0.3">
      <c r="A62" s="44" t="s">
        <v>2472</v>
      </c>
      <c r="B62">
        <v>1</v>
      </c>
    </row>
    <row r="63" spans="1:2" x14ac:dyDescent="0.3">
      <c r="A63" s="44" t="s">
        <v>3434</v>
      </c>
      <c r="B63">
        <v>19</v>
      </c>
    </row>
    <row r="64" spans="1:2" x14ac:dyDescent="0.3">
      <c r="A64" s="44" t="s">
        <v>1968</v>
      </c>
      <c r="B64">
        <v>2</v>
      </c>
    </row>
    <row r="65" spans="1:2" x14ac:dyDescent="0.3">
      <c r="A65" s="44" t="s">
        <v>1975</v>
      </c>
      <c r="B65">
        <v>3</v>
      </c>
    </row>
    <row r="66" spans="1:2" x14ac:dyDescent="0.3">
      <c r="A66" s="44" t="s">
        <v>2800</v>
      </c>
      <c r="B66">
        <v>1</v>
      </c>
    </row>
    <row r="67" spans="1:2" x14ac:dyDescent="0.3">
      <c r="A67" s="44" t="s">
        <v>2797</v>
      </c>
      <c r="B67">
        <v>1</v>
      </c>
    </row>
    <row r="68" spans="1:2" x14ac:dyDescent="0.3">
      <c r="A68" s="44" t="s">
        <v>2803</v>
      </c>
      <c r="B68">
        <v>1</v>
      </c>
    </row>
    <row r="69" spans="1:2" x14ac:dyDescent="0.3">
      <c r="A69" s="44" t="s">
        <v>2902</v>
      </c>
      <c r="B69">
        <v>1</v>
      </c>
    </row>
    <row r="70" spans="1:2" x14ac:dyDescent="0.3">
      <c r="A70" s="44" t="s">
        <v>2295</v>
      </c>
      <c r="B70">
        <v>1</v>
      </c>
    </row>
    <row r="71" spans="1:2" x14ac:dyDescent="0.3">
      <c r="A71" s="44" t="s">
        <v>2552</v>
      </c>
      <c r="B71">
        <v>1</v>
      </c>
    </row>
    <row r="72" spans="1:2" x14ac:dyDescent="0.3">
      <c r="A72" s="44" t="s">
        <v>1620</v>
      </c>
      <c r="B72">
        <v>1</v>
      </c>
    </row>
    <row r="73" spans="1:2" x14ac:dyDescent="0.3">
      <c r="A73" s="44" t="s">
        <v>1115</v>
      </c>
      <c r="B73">
        <v>1</v>
      </c>
    </row>
    <row r="74" spans="1:2" x14ac:dyDescent="0.3">
      <c r="A74" s="44" t="s">
        <v>1490</v>
      </c>
      <c r="B74">
        <v>1</v>
      </c>
    </row>
    <row r="75" spans="1:2" x14ac:dyDescent="0.3">
      <c r="A75" s="44" t="s">
        <v>2879</v>
      </c>
      <c r="B75">
        <v>1</v>
      </c>
    </row>
    <row r="76" spans="1:2" x14ac:dyDescent="0.3">
      <c r="A76" s="44" t="s">
        <v>1520</v>
      </c>
      <c r="B76">
        <v>1</v>
      </c>
    </row>
    <row r="77" spans="1:2" x14ac:dyDescent="0.3">
      <c r="A77" s="44" t="s">
        <v>3028</v>
      </c>
      <c r="B77">
        <v>1</v>
      </c>
    </row>
    <row r="78" spans="1:2" x14ac:dyDescent="0.3">
      <c r="A78" s="44" t="s">
        <v>3339</v>
      </c>
      <c r="B78">
        <v>2</v>
      </c>
    </row>
    <row r="79" spans="1:2" x14ac:dyDescent="0.3">
      <c r="A79" s="44" t="s">
        <v>3934</v>
      </c>
      <c r="B79">
        <v>1</v>
      </c>
    </row>
    <row r="80" spans="1:2" x14ac:dyDescent="0.3">
      <c r="A80" s="44" t="s">
        <v>2132</v>
      </c>
      <c r="B80">
        <v>1</v>
      </c>
    </row>
    <row r="81" spans="1:2" x14ac:dyDescent="0.3">
      <c r="A81" s="44" t="s">
        <v>1836</v>
      </c>
      <c r="B81">
        <v>2</v>
      </c>
    </row>
    <row r="82" spans="1:2" x14ac:dyDescent="0.3">
      <c r="A82" s="44" t="s">
        <v>240</v>
      </c>
      <c r="B82">
        <v>1</v>
      </c>
    </row>
    <row r="83" spans="1:2" x14ac:dyDescent="0.3">
      <c r="A83" s="44" t="s">
        <v>116</v>
      </c>
      <c r="B83">
        <v>2</v>
      </c>
    </row>
    <row r="84" spans="1:2" x14ac:dyDescent="0.3">
      <c r="A84" s="44" t="s">
        <v>3680</v>
      </c>
      <c r="B84">
        <v>1</v>
      </c>
    </row>
    <row r="85" spans="1:2" x14ac:dyDescent="0.3">
      <c r="A85" s="44" t="s">
        <v>3747</v>
      </c>
      <c r="B85">
        <v>1</v>
      </c>
    </row>
    <row r="86" spans="1:2" x14ac:dyDescent="0.3">
      <c r="A86" s="44" t="s">
        <v>2882</v>
      </c>
      <c r="B86">
        <v>1</v>
      </c>
    </row>
    <row r="87" spans="1:2" x14ac:dyDescent="0.3">
      <c r="A87" s="44" t="s">
        <v>504</v>
      </c>
      <c r="B87">
        <v>2</v>
      </c>
    </row>
    <row r="88" spans="1:2" x14ac:dyDescent="0.3">
      <c r="A88" s="44" t="s">
        <v>3745</v>
      </c>
      <c r="B88">
        <v>1</v>
      </c>
    </row>
    <row r="89" spans="1:2" x14ac:dyDescent="0.3">
      <c r="A89" s="44" t="s">
        <v>3667</v>
      </c>
      <c r="B89">
        <v>1</v>
      </c>
    </row>
    <row r="90" spans="1:2" x14ac:dyDescent="0.3">
      <c r="A90" s="44" t="s">
        <v>3200</v>
      </c>
      <c r="B90">
        <v>1</v>
      </c>
    </row>
    <row r="91" spans="1:2" x14ac:dyDescent="0.3">
      <c r="A91" s="44" t="s">
        <v>2382</v>
      </c>
      <c r="B91">
        <v>1</v>
      </c>
    </row>
    <row r="92" spans="1:2" x14ac:dyDescent="0.3">
      <c r="A92" s="44" t="s">
        <v>3561</v>
      </c>
      <c r="B92">
        <v>1</v>
      </c>
    </row>
    <row r="93" spans="1:2" x14ac:dyDescent="0.3">
      <c r="A93" s="44" t="s">
        <v>2261</v>
      </c>
      <c r="B93">
        <v>1</v>
      </c>
    </row>
    <row r="94" spans="1:2" x14ac:dyDescent="0.3">
      <c r="A94" s="44" t="s">
        <v>2811</v>
      </c>
      <c r="B94">
        <v>1</v>
      </c>
    </row>
    <row r="95" spans="1:2" x14ac:dyDescent="0.3">
      <c r="A95" s="44" t="s">
        <v>3503</v>
      </c>
      <c r="B95">
        <v>1</v>
      </c>
    </row>
    <row r="96" spans="1:2" x14ac:dyDescent="0.3">
      <c r="A96" s="44" t="s">
        <v>420</v>
      </c>
      <c r="B96">
        <v>1</v>
      </c>
    </row>
    <row r="97" spans="1:2" x14ac:dyDescent="0.3">
      <c r="A97" s="44" t="s">
        <v>200</v>
      </c>
      <c r="B97">
        <v>2</v>
      </c>
    </row>
    <row r="98" spans="1:2" x14ac:dyDescent="0.3">
      <c r="A98" s="44" t="s">
        <v>98</v>
      </c>
      <c r="B98">
        <v>2</v>
      </c>
    </row>
    <row r="99" spans="1:2" x14ac:dyDescent="0.3">
      <c r="A99" s="44" t="s">
        <v>113</v>
      </c>
      <c r="B99">
        <v>1</v>
      </c>
    </row>
    <row r="100" spans="1:2" x14ac:dyDescent="0.3">
      <c r="A100" s="44" t="s">
        <v>2967</v>
      </c>
      <c r="B100">
        <v>1</v>
      </c>
    </row>
    <row r="101" spans="1:2" x14ac:dyDescent="0.3">
      <c r="A101" s="44" t="s">
        <v>3694</v>
      </c>
      <c r="B101">
        <v>1</v>
      </c>
    </row>
    <row r="102" spans="1:2" x14ac:dyDescent="0.3">
      <c r="A102" s="44" t="s">
        <v>3692</v>
      </c>
      <c r="B102">
        <v>1</v>
      </c>
    </row>
    <row r="103" spans="1:2" x14ac:dyDescent="0.3">
      <c r="A103" s="44" t="s">
        <v>2099</v>
      </c>
      <c r="B103">
        <v>1</v>
      </c>
    </row>
    <row r="104" spans="1:2" x14ac:dyDescent="0.3">
      <c r="A104" s="44" t="s">
        <v>524</v>
      </c>
      <c r="B104">
        <v>1</v>
      </c>
    </row>
    <row r="105" spans="1:2" x14ac:dyDescent="0.3">
      <c r="A105" s="44" t="s">
        <v>2794</v>
      </c>
      <c r="B105">
        <v>1</v>
      </c>
    </row>
    <row r="106" spans="1:2" x14ac:dyDescent="0.3">
      <c r="A106" s="44" t="s">
        <v>1167</v>
      </c>
      <c r="B106">
        <v>1</v>
      </c>
    </row>
    <row r="107" spans="1:2" x14ac:dyDescent="0.3">
      <c r="A107" s="44" t="s">
        <v>674</v>
      </c>
      <c r="B107">
        <v>1</v>
      </c>
    </row>
    <row r="108" spans="1:2" x14ac:dyDescent="0.3">
      <c r="A108" s="44" t="s">
        <v>1715</v>
      </c>
      <c r="B108">
        <v>1</v>
      </c>
    </row>
    <row r="109" spans="1:2" x14ac:dyDescent="0.3">
      <c r="A109" s="44" t="s">
        <v>213</v>
      </c>
      <c r="B109">
        <v>1</v>
      </c>
    </row>
    <row r="110" spans="1:2" x14ac:dyDescent="0.3">
      <c r="A110" s="44" t="s">
        <v>3130</v>
      </c>
      <c r="B110">
        <v>1</v>
      </c>
    </row>
    <row r="111" spans="1:2" x14ac:dyDescent="0.3">
      <c r="A111" s="44" t="s">
        <v>283</v>
      </c>
      <c r="B111">
        <v>1</v>
      </c>
    </row>
    <row r="112" spans="1:2" x14ac:dyDescent="0.3">
      <c r="A112" s="44" t="s">
        <v>3208</v>
      </c>
      <c r="B112">
        <v>1</v>
      </c>
    </row>
    <row r="113" spans="1:2" x14ac:dyDescent="0.3">
      <c r="A113" s="44" t="s">
        <v>3570</v>
      </c>
      <c r="B113">
        <v>1</v>
      </c>
    </row>
    <row r="114" spans="1:2" x14ac:dyDescent="0.3">
      <c r="A114" s="44" t="s">
        <v>3554</v>
      </c>
      <c r="B114">
        <v>1</v>
      </c>
    </row>
    <row r="115" spans="1:2" x14ac:dyDescent="0.3">
      <c r="A115" s="44" t="s">
        <v>3557</v>
      </c>
      <c r="B115">
        <v>1</v>
      </c>
    </row>
    <row r="116" spans="1:2" x14ac:dyDescent="0.3">
      <c r="A116" s="44" t="s">
        <v>1721</v>
      </c>
      <c r="B116">
        <v>1</v>
      </c>
    </row>
    <row r="117" spans="1:2" x14ac:dyDescent="0.3">
      <c r="A117" s="44" t="s">
        <v>3576</v>
      </c>
      <c r="B117">
        <v>1</v>
      </c>
    </row>
    <row r="118" spans="1:2" x14ac:dyDescent="0.3">
      <c r="A118" s="44" t="s">
        <v>4206</v>
      </c>
      <c r="B118">
        <v>1</v>
      </c>
    </row>
    <row r="119" spans="1:2" x14ac:dyDescent="0.3">
      <c r="A119" s="44" t="s">
        <v>4208</v>
      </c>
      <c r="B119">
        <v>1</v>
      </c>
    </row>
    <row r="120" spans="1:2" x14ac:dyDescent="0.3">
      <c r="A120" s="44" t="s">
        <v>3594</v>
      </c>
      <c r="B120">
        <v>1</v>
      </c>
    </row>
    <row r="121" spans="1:2" x14ac:dyDescent="0.3">
      <c r="A121" s="44" t="s">
        <v>747</v>
      </c>
      <c r="B121">
        <v>2</v>
      </c>
    </row>
    <row r="122" spans="1:2" x14ac:dyDescent="0.3">
      <c r="A122" s="44" t="s">
        <v>3968</v>
      </c>
      <c r="B122">
        <v>1</v>
      </c>
    </row>
    <row r="123" spans="1:2" x14ac:dyDescent="0.3">
      <c r="A123" s="44" t="s">
        <v>871</v>
      </c>
      <c r="B123">
        <v>2</v>
      </c>
    </row>
    <row r="124" spans="1:2" x14ac:dyDescent="0.3">
      <c r="A124" s="44" t="s">
        <v>4287</v>
      </c>
      <c r="B124">
        <v>1</v>
      </c>
    </row>
    <row r="125" spans="1:2" x14ac:dyDescent="0.3">
      <c r="A125" s="44" t="s">
        <v>2349</v>
      </c>
      <c r="B125">
        <v>1</v>
      </c>
    </row>
    <row r="126" spans="1:2" x14ac:dyDescent="0.3">
      <c r="A126" s="44" t="s">
        <v>4132</v>
      </c>
      <c r="B126">
        <v>1</v>
      </c>
    </row>
    <row r="127" spans="1:2" x14ac:dyDescent="0.3">
      <c r="A127" s="44" t="s">
        <v>4222</v>
      </c>
      <c r="B127">
        <v>1</v>
      </c>
    </row>
    <row r="128" spans="1:2" x14ac:dyDescent="0.3">
      <c r="A128" s="44" t="s">
        <v>4227</v>
      </c>
      <c r="B128">
        <v>1</v>
      </c>
    </row>
    <row r="129" spans="1:2" x14ac:dyDescent="0.3">
      <c r="A129" s="44" t="s">
        <v>1313</v>
      </c>
      <c r="B129">
        <v>1</v>
      </c>
    </row>
    <row r="130" spans="1:2" x14ac:dyDescent="0.3">
      <c r="A130" s="44" t="s">
        <v>2040</v>
      </c>
      <c r="B130">
        <v>1</v>
      </c>
    </row>
    <row r="131" spans="1:2" x14ac:dyDescent="0.3">
      <c r="A131" s="44" t="s">
        <v>3137</v>
      </c>
      <c r="B131">
        <v>1</v>
      </c>
    </row>
    <row r="132" spans="1:2" x14ac:dyDescent="0.3">
      <c r="A132" s="44" t="s">
        <v>865</v>
      </c>
      <c r="B132">
        <v>1</v>
      </c>
    </row>
    <row r="133" spans="1:2" x14ac:dyDescent="0.3">
      <c r="A133" s="44" t="s">
        <v>950</v>
      </c>
      <c r="B133">
        <v>1</v>
      </c>
    </row>
    <row r="134" spans="1:2" x14ac:dyDescent="0.3">
      <c r="A134" s="44" t="s">
        <v>2596</v>
      </c>
      <c r="B134">
        <v>1</v>
      </c>
    </row>
    <row r="135" spans="1:2" x14ac:dyDescent="0.3">
      <c r="A135" s="44" t="s">
        <v>153</v>
      </c>
      <c r="B135">
        <v>13</v>
      </c>
    </row>
    <row r="136" spans="1:2" x14ac:dyDescent="0.3">
      <c r="A136" s="44" t="s">
        <v>2376</v>
      </c>
      <c r="B136">
        <v>1</v>
      </c>
    </row>
    <row r="137" spans="1:2" x14ac:dyDescent="0.3">
      <c r="A137" s="44" t="s">
        <v>4399</v>
      </c>
      <c r="B137">
        <v>26</v>
      </c>
    </row>
    <row r="138" spans="1:2" x14ac:dyDescent="0.3">
      <c r="A138" s="44" t="s">
        <v>2789</v>
      </c>
      <c r="B138">
        <v>1</v>
      </c>
    </row>
    <row r="139" spans="1:2" x14ac:dyDescent="0.3">
      <c r="A139" s="44" t="s">
        <v>2764</v>
      </c>
      <c r="B139">
        <v>1</v>
      </c>
    </row>
    <row r="140" spans="1:2" x14ac:dyDescent="0.3">
      <c r="A140" s="44" t="s">
        <v>3565</v>
      </c>
      <c r="B140">
        <v>1</v>
      </c>
    </row>
    <row r="141" spans="1:2" x14ac:dyDescent="0.3">
      <c r="A141" s="44" t="s">
        <v>1775</v>
      </c>
      <c r="B141">
        <v>2</v>
      </c>
    </row>
    <row r="142" spans="1:2" x14ac:dyDescent="0.3">
      <c r="A142" s="44" t="s">
        <v>1079</v>
      </c>
      <c r="B142">
        <v>1</v>
      </c>
    </row>
    <row r="143" spans="1:2" x14ac:dyDescent="0.3">
      <c r="A143" s="44" t="s">
        <v>278</v>
      </c>
      <c r="B143">
        <v>2</v>
      </c>
    </row>
    <row r="144" spans="1:2" x14ac:dyDescent="0.3">
      <c r="A144" s="44" t="s">
        <v>2949</v>
      </c>
      <c r="B144">
        <v>1</v>
      </c>
    </row>
    <row r="145" spans="1:2" x14ac:dyDescent="0.3">
      <c r="A145" s="44" t="s">
        <v>378</v>
      </c>
      <c r="B145">
        <v>1</v>
      </c>
    </row>
    <row r="146" spans="1:2" x14ac:dyDescent="0.3">
      <c r="A146" s="44" t="s">
        <v>426</v>
      </c>
      <c r="B146">
        <v>1</v>
      </c>
    </row>
    <row r="147" spans="1:2" x14ac:dyDescent="0.3">
      <c r="A147" s="44" t="s">
        <v>3037</v>
      </c>
      <c r="B147">
        <v>1</v>
      </c>
    </row>
    <row r="148" spans="1:2" x14ac:dyDescent="0.3">
      <c r="A148" s="44" t="s">
        <v>1817</v>
      </c>
      <c r="B148">
        <v>1</v>
      </c>
    </row>
    <row r="149" spans="1:2" x14ac:dyDescent="0.3">
      <c r="A149" s="44" t="s">
        <v>1497</v>
      </c>
      <c r="B149">
        <v>2</v>
      </c>
    </row>
    <row r="150" spans="1:2" x14ac:dyDescent="0.3">
      <c r="A150" s="44" t="s">
        <v>2975</v>
      </c>
      <c r="B150">
        <v>1</v>
      </c>
    </row>
    <row r="151" spans="1:2" x14ac:dyDescent="0.3">
      <c r="A151" s="44" t="s">
        <v>4224</v>
      </c>
      <c r="B151">
        <v>1</v>
      </c>
    </row>
    <row r="152" spans="1:2" x14ac:dyDescent="0.3">
      <c r="A152" s="44" t="s">
        <v>2679</v>
      </c>
      <c r="B152">
        <v>2</v>
      </c>
    </row>
    <row r="153" spans="1:2" x14ac:dyDescent="0.3">
      <c r="A153" s="44" t="s">
        <v>857</v>
      </c>
      <c r="B153">
        <v>1</v>
      </c>
    </row>
    <row r="154" spans="1:2" x14ac:dyDescent="0.3">
      <c r="A154" s="44" t="s">
        <v>1411</v>
      </c>
      <c r="B154">
        <v>1</v>
      </c>
    </row>
    <row r="155" spans="1:2" x14ac:dyDescent="0.3">
      <c r="A155" s="44" t="s">
        <v>3148</v>
      </c>
      <c r="B155">
        <v>1</v>
      </c>
    </row>
    <row r="156" spans="1:2" x14ac:dyDescent="0.3">
      <c r="A156" s="44" t="s">
        <v>1991</v>
      </c>
      <c r="B156">
        <v>1</v>
      </c>
    </row>
    <row r="157" spans="1:2" x14ac:dyDescent="0.3">
      <c r="A157" s="44" t="s">
        <v>2065</v>
      </c>
      <c r="B157">
        <v>1</v>
      </c>
    </row>
    <row r="158" spans="1:2" x14ac:dyDescent="0.3">
      <c r="A158" s="44" t="s">
        <v>1261</v>
      </c>
      <c r="B158">
        <v>1</v>
      </c>
    </row>
    <row r="159" spans="1:2" x14ac:dyDescent="0.3">
      <c r="A159" s="44" t="s">
        <v>4041</v>
      </c>
      <c r="B159">
        <v>1</v>
      </c>
    </row>
    <row r="160" spans="1:2" x14ac:dyDescent="0.3">
      <c r="A160" s="44" t="s">
        <v>1997</v>
      </c>
      <c r="B160">
        <v>1</v>
      </c>
    </row>
    <row r="161" spans="1:2" x14ac:dyDescent="0.3">
      <c r="A161" s="44" t="s">
        <v>3071</v>
      </c>
      <c r="B161">
        <v>1</v>
      </c>
    </row>
    <row r="162" spans="1:2" x14ac:dyDescent="0.3">
      <c r="A162" s="44" t="s">
        <v>17</v>
      </c>
      <c r="B162">
        <v>1</v>
      </c>
    </row>
    <row r="163" spans="1:2" x14ac:dyDescent="0.3">
      <c r="A163" s="44" t="s">
        <v>739</v>
      </c>
      <c r="B163">
        <v>1</v>
      </c>
    </row>
    <row r="164" spans="1:2" x14ac:dyDescent="0.3">
      <c r="A164" s="44" t="s">
        <v>1430</v>
      </c>
      <c r="B164">
        <v>1</v>
      </c>
    </row>
    <row r="165" spans="1:2" x14ac:dyDescent="0.3">
      <c r="A165" s="44" t="s">
        <v>616</v>
      </c>
      <c r="B165">
        <v>1</v>
      </c>
    </row>
    <row r="166" spans="1:2" x14ac:dyDescent="0.3">
      <c r="A166" s="44" t="s">
        <v>1828</v>
      </c>
      <c r="B166">
        <v>1</v>
      </c>
    </row>
    <row r="167" spans="1:2" x14ac:dyDescent="0.3">
      <c r="A167" s="44" t="s">
        <v>4079</v>
      </c>
      <c r="B167">
        <v>2</v>
      </c>
    </row>
    <row r="168" spans="1:2" x14ac:dyDescent="0.3">
      <c r="A168" s="44" t="s">
        <v>3222</v>
      </c>
      <c r="B168">
        <v>1</v>
      </c>
    </row>
    <row r="169" spans="1:2" x14ac:dyDescent="0.3">
      <c r="A169" s="44" t="s">
        <v>3817</v>
      </c>
      <c r="B169">
        <v>1</v>
      </c>
    </row>
    <row r="170" spans="1:2" x14ac:dyDescent="0.3">
      <c r="A170" s="44" t="s">
        <v>2541</v>
      </c>
      <c r="B170">
        <v>1</v>
      </c>
    </row>
    <row r="171" spans="1:2" x14ac:dyDescent="0.3">
      <c r="A171" s="44" t="s">
        <v>3951</v>
      </c>
      <c r="B171">
        <v>1</v>
      </c>
    </row>
    <row r="172" spans="1:2" x14ac:dyDescent="0.3">
      <c r="A172" s="44" t="s">
        <v>3272</v>
      </c>
      <c r="B172">
        <v>1</v>
      </c>
    </row>
    <row r="173" spans="1:2" x14ac:dyDescent="0.3">
      <c r="A173" s="44" t="s">
        <v>3743</v>
      </c>
      <c r="B173">
        <v>1</v>
      </c>
    </row>
    <row r="174" spans="1:2" x14ac:dyDescent="0.3">
      <c r="A174" s="44" t="s">
        <v>3333</v>
      </c>
      <c r="B174">
        <v>3</v>
      </c>
    </row>
    <row r="175" spans="1:2" x14ac:dyDescent="0.3">
      <c r="A175" s="44" t="s">
        <v>3528</v>
      </c>
      <c r="B175">
        <v>1</v>
      </c>
    </row>
    <row r="176" spans="1:2" x14ac:dyDescent="0.3">
      <c r="A176" s="44" t="s">
        <v>1336</v>
      </c>
      <c r="B176">
        <v>1</v>
      </c>
    </row>
    <row r="177" spans="1:2" x14ac:dyDescent="0.3">
      <c r="A177" s="44" t="s">
        <v>2269</v>
      </c>
      <c r="B177">
        <v>1</v>
      </c>
    </row>
    <row r="178" spans="1:2" x14ac:dyDescent="0.3">
      <c r="A178" s="44" t="s">
        <v>1572</v>
      </c>
      <c r="B178">
        <v>1</v>
      </c>
    </row>
    <row r="179" spans="1:2" x14ac:dyDescent="0.3">
      <c r="A179" s="44" t="s">
        <v>1747</v>
      </c>
      <c r="B179">
        <v>1</v>
      </c>
    </row>
    <row r="180" spans="1:2" x14ac:dyDescent="0.3">
      <c r="A180" s="44" t="s">
        <v>4203</v>
      </c>
      <c r="B180">
        <v>1</v>
      </c>
    </row>
    <row r="181" spans="1:2" x14ac:dyDescent="0.3">
      <c r="A181" s="44" t="s">
        <v>3574</v>
      </c>
      <c r="B181">
        <v>1</v>
      </c>
    </row>
    <row r="182" spans="1:2" x14ac:dyDescent="0.3">
      <c r="A182" s="44" t="s">
        <v>4282</v>
      </c>
      <c r="B182">
        <v>1</v>
      </c>
    </row>
    <row r="183" spans="1:2" x14ac:dyDescent="0.3">
      <c r="A183" s="44" t="s">
        <v>4272</v>
      </c>
      <c r="B183">
        <v>3</v>
      </c>
    </row>
    <row r="184" spans="1:2" x14ac:dyDescent="0.3">
      <c r="A184" s="44" t="s">
        <v>2183</v>
      </c>
      <c r="B184">
        <v>1</v>
      </c>
    </row>
    <row r="185" spans="1:2" x14ac:dyDescent="0.3">
      <c r="A185" s="44" t="s">
        <v>357</v>
      </c>
      <c r="B185">
        <v>1</v>
      </c>
    </row>
    <row r="186" spans="1:2" x14ac:dyDescent="0.3">
      <c r="A186" s="44" t="s">
        <v>2147</v>
      </c>
      <c r="B186">
        <v>1</v>
      </c>
    </row>
    <row r="187" spans="1:2" x14ac:dyDescent="0.3">
      <c r="A187" s="44" t="s">
        <v>3981</v>
      </c>
      <c r="B187">
        <v>2</v>
      </c>
    </row>
    <row r="188" spans="1:2" x14ac:dyDescent="0.3">
      <c r="A188" s="44" t="s">
        <v>1084</v>
      </c>
      <c r="B188">
        <v>1</v>
      </c>
    </row>
    <row r="189" spans="1:2" x14ac:dyDescent="0.3">
      <c r="A189" s="44" t="s">
        <v>890</v>
      </c>
      <c r="B189">
        <v>1</v>
      </c>
    </row>
    <row r="190" spans="1:2" x14ac:dyDescent="0.3">
      <c r="A190" s="44" t="s">
        <v>578</v>
      </c>
      <c r="B190">
        <v>2</v>
      </c>
    </row>
    <row r="191" spans="1:2" x14ac:dyDescent="0.3">
      <c r="A191" s="44" t="s">
        <v>138</v>
      </c>
      <c r="B191">
        <v>1</v>
      </c>
    </row>
    <row r="192" spans="1:2" x14ac:dyDescent="0.3">
      <c r="A192" s="44" t="s">
        <v>231</v>
      </c>
      <c r="B192">
        <v>1</v>
      </c>
    </row>
    <row r="193" spans="1:2" x14ac:dyDescent="0.3">
      <c r="A193" s="44" t="s">
        <v>572</v>
      </c>
      <c r="B193">
        <v>1</v>
      </c>
    </row>
    <row r="194" spans="1:2" x14ac:dyDescent="0.3">
      <c r="A194" s="44" t="s">
        <v>1140</v>
      </c>
      <c r="B194">
        <v>1</v>
      </c>
    </row>
    <row r="195" spans="1:2" x14ac:dyDescent="0.3">
      <c r="A195" s="44" t="s">
        <v>1552</v>
      </c>
      <c r="B195">
        <v>1</v>
      </c>
    </row>
    <row r="196" spans="1:2" x14ac:dyDescent="0.3">
      <c r="A196" s="44" t="s">
        <v>1785</v>
      </c>
      <c r="B196">
        <v>1</v>
      </c>
    </row>
    <row r="197" spans="1:2" x14ac:dyDescent="0.3">
      <c r="A197" s="44" t="s">
        <v>1416</v>
      </c>
      <c r="B197">
        <v>1</v>
      </c>
    </row>
    <row r="198" spans="1:2" x14ac:dyDescent="0.3">
      <c r="A198" s="44" t="s">
        <v>1406</v>
      </c>
      <c r="B198">
        <v>2</v>
      </c>
    </row>
    <row r="199" spans="1:2" x14ac:dyDescent="0.3">
      <c r="A199" s="44" t="s">
        <v>3844</v>
      </c>
      <c r="B199">
        <v>1</v>
      </c>
    </row>
    <row r="200" spans="1:2" x14ac:dyDescent="0.3">
      <c r="A200" s="44" t="s">
        <v>3438</v>
      </c>
      <c r="B200">
        <v>1</v>
      </c>
    </row>
    <row r="201" spans="1:2" x14ac:dyDescent="0.3">
      <c r="A201" s="44" t="s">
        <v>158</v>
      </c>
      <c r="B201">
        <v>1</v>
      </c>
    </row>
    <row r="202" spans="1:2" x14ac:dyDescent="0.3">
      <c r="A202" s="44" t="s">
        <v>3119</v>
      </c>
      <c r="B202">
        <v>1</v>
      </c>
    </row>
    <row r="203" spans="1:2" x14ac:dyDescent="0.3">
      <c r="A203" s="44" t="s">
        <v>3471</v>
      </c>
      <c r="B203">
        <v>2</v>
      </c>
    </row>
    <row r="204" spans="1:2" x14ac:dyDescent="0.3">
      <c r="A204" s="44" t="s">
        <v>2953</v>
      </c>
      <c r="B204">
        <v>1</v>
      </c>
    </row>
    <row r="205" spans="1:2" x14ac:dyDescent="0.3">
      <c r="A205" s="44" t="s">
        <v>1958</v>
      </c>
      <c r="B205">
        <v>2</v>
      </c>
    </row>
    <row r="206" spans="1:2" x14ac:dyDescent="0.3">
      <c r="A206" s="44" t="s">
        <v>1631</v>
      </c>
      <c r="B206">
        <v>1</v>
      </c>
    </row>
    <row r="207" spans="1:2" x14ac:dyDescent="0.3">
      <c r="A207" s="44" t="s">
        <v>1461</v>
      </c>
      <c r="B207">
        <v>1</v>
      </c>
    </row>
    <row r="208" spans="1:2" x14ac:dyDescent="0.3">
      <c r="A208" s="44" t="s">
        <v>1699</v>
      </c>
      <c r="B208">
        <v>3</v>
      </c>
    </row>
    <row r="209" spans="1:2" x14ac:dyDescent="0.3">
      <c r="A209" s="44" t="s">
        <v>1143</v>
      </c>
      <c r="B209">
        <v>2</v>
      </c>
    </row>
    <row r="210" spans="1:2" x14ac:dyDescent="0.3">
      <c r="A210" s="44" t="s">
        <v>1008</v>
      </c>
      <c r="B210">
        <v>2</v>
      </c>
    </row>
    <row r="211" spans="1:2" x14ac:dyDescent="0.3">
      <c r="A211" s="44" t="s">
        <v>862</v>
      </c>
      <c r="B211">
        <v>1</v>
      </c>
    </row>
    <row r="212" spans="1:2" x14ac:dyDescent="0.3">
      <c r="A212" s="44" t="s">
        <v>2746</v>
      </c>
      <c r="B212">
        <v>1</v>
      </c>
    </row>
    <row r="213" spans="1:2" x14ac:dyDescent="0.3">
      <c r="A213" s="44" t="s">
        <v>841</v>
      </c>
      <c r="B213">
        <v>1</v>
      </c>
    </row>
    <row r="214" spans="1:2" x14ac:dyDescent="0.3">
      <c r="A214" s="44" t="s">
        <v>2102</v>
      </c>
      <c r="B214">
        <v>1</v>
      </c>
    </row>
    <row r="215" spans="1:2" x14ac:dyDescent="0.3">
      <c r="A215" s="44" t="s">
        <v>2084</v>
      </c>
      <c r="B215">
        <v>1</v>
      </c>
    </row>
    <row r="216" spans="1:2" x14ac:dyDescent="0.3">
      <c r="A216" s="44" t="s">
        <v>1308</v>
      </c>
      <c r="B216">
        <v>1</v>
      </c>
    </row>
    <row r="217" spans="1:2" x14ac:dyDescent="0.3">
      <c r="A217" s="44" t="s">
        <v>3142</v>
      </c>
      <c r="B217">
        <v>1</v>
      </c>
    </row>
    <row r="218" spans="1:2" x14ac:dyDescent="0.3">
      <c r="A218" s="44" t="s">
        <v>264</v>
      </c>
      <c r="B218">
        <v>1</v>
      </c>
    </row>
    <row r="219" spans="1:2" x14ac:dyDescent="0.3">
      <c r="A219" s="44" t="s">
        <v>3612</v>
      </c>
      <c r="B219">
        <v>1</v>
      </c>
    </row>
    <row r="220" spans="1:2" x14ac:dyDescent="0.3">
      <c r="A220" s="44" t="s">
        <v>3614</v>
      </c>
      <c r="B220">
        <v>1</v>
      </c>
    </row>
    <row r="221" spans="1:2" x14ac:dyDescent="0.3">
      <c r="A221" s="44" t="s">
        <v>4179</v>
      </c>
      <c r="B221">
        <v>1</v>
      </c>
    </row>
    <row r="222" spans="1:2" x14ac:dyDescent="0.3">
      <c r="A222" s="44" t="s">
        <v>4197</v>
      </c>
      <c r="B222">
        <v>1</v>
      </c>
    </row>
    <row r="223" spans="1:2" x14ac:dyDescent="0.3">
      <c r="A223" s="44" t="s">
        <v>4181</v>
      </c>
      <c r="B223">
        <v>1</v>
      </c>
    </row>
    <row r="224" spans="1:2" x14ac:dyDescent="0.3">
      <c r="A224" s="44" t="s">
        <v>4183</v>
      </c>
      <c r="B224">
        <v>1</v>
      </c>
    </row>
    <row r="225" spans="1:2" x14ac:dyDescent="0.3">
      <c r="A225" s="44" t="s">
        <v>4185</v>
      </c>
      <c r="B225">
        <v>1</v>
      </c>
    </row>
    <row r="226" spans="1:2" x14ac:dyDescent="0.3">
      <c r="A226" s="44" t="s">
        <v>4187</v>
      </c>
      <c r="B226">
        <v>1</v>
      </c>
    </row>
    <row r="227" spans="1:2" x14ac:dyDescent="0.3">
      <c r="A227" s="44" t="s">
        <v>4189</v>
      </c>
      <c r="B227">
        <v>1</v>
      </c>
    </row>
    <row r="228" spans="1:2" x14ac:dyDescent="0.3">
      <c r="A228" s="44" t="s">
        <v>4191</v>
      </c>
      <c r="B228">
        <v>1</v>
      </c>
    </row>
    <row r="229" spans="1:2" x14ac:dyDescent="0.3">
      <c r="A229" s="44" t="s">
        <v>4193</v>
      </c>
      <c r="B229">
        <v>1</v>
      </c>
    </row>
    <row r="230" spans="1:2" x14ac:dyDescent="0.3">
      <c r="A230" s="44" t="s">
        <v>4195</v>
      </c>
      <c r="B230">
        <v>1</v>
      </c>
    </row>
    <row r="231" spans="1:2" x14ac:dyDescent="0.3">
      <c r="A231" s="44" t="s">
        <v>65</v>
      </c>
      <c r="B231">
        <v>1</v>
      </c>
    </row>
    <row r="232" spans="1:2" x14ac:dyDescent="0.3">
      <c r="A232" s="44" t="s">
        <v>4231</v>
      </c>
      <c r="B232">
        <v>1</v>
      </c>
    </row>
    <row r="233" spans="1:2" x14ac:dyDescent="0.3">
      <c r="A233" s="44" t="s">
        <v>289</v>
      </c>
      <c r="B233">
        <v>1</v>
      </c>
    </row>
    <row r="234" spans="1:2" x14ac:dyDescent="0.3">
      <c r="A234" s="44" t="s">
        <v>3572</v>
      </c>
      <c r="B234">
        <v>1</v>
      </c>
    </row>
    <row r="235" spans="1:2" x14ac:dyDescent="0.3">
      <c r="A235" s="44" t="s">
        <v>207</v>
      </c>
      <c r="B235">
        <v>1</v>
      </c>
    </row>
    <row r="236" spans="1:2" x14ac:dyDescent="0.3">
      <c r="A236" s="44" t="s">
        <v>3610</v>
      </c>
      <c r="B236">
        <v>1</v>
      </c>
    </row>
    <row r="237" spans="1:2" x14ac:dyDescent="0.3">
      <c r="A237" s="44" t="s">
        <v>2280</v>
      </c>
      <c r="B237">
        <v>1</v>
      </c>
    </row>
    <row r="238" spans="1:2" x14ac:dyDescent="0.3">
      <c r="A238" s="44" t="s">
        <v>3315</v>
      </c>
      <c r="B238">
        <v>1</v>
      </c>
    </row>
    <row r="239" spans="1:2" x14ac:dyDescent="0.3">
      <c r="A239" s="44" t="s">
        <v>4250</v>
      </c>
      <c r="B239">
        <v>1</v>
      </c>
    </row>
    <row r="240" spans="1:2" x14ac:dyDescent="0.3">
      <c r="A240" s="44" t="s">
        <v>601</v>
      </c>
      <c r="B240">
        <v>10</v>
      </c>
    </row>
    <row r="241" spans="1:2" x14ac:dyDescent="0.3">
      <c r="A241" s="44" t="s">
        <v>1193</v>
      </c>
      <c r="B241">
        <v>2</v>
      </c>
    </row>
    <row r="242" spans="1:2" x14ac:dyDescent="0.3">
      <c r="A242" s="44" t="s">
        <v>4245</v>
      </c>
      <c r="B242">
        <v>1</v>
      </c>
    </row>
    <row r="243" spans="1:2" x14ac:dyDescent="0.3">
      <c r="A243" s="44" t="s">
        <v>2957</v>
      </c>
      <c r="B243">
        <v>3</v>
      </c>
    </row>
    <row r="244" spans="1:2" x14ac:dyDescent="0.3">
      <c r="A244" s="44" t="s">
        <v>3646</v>
      </c>
      <c r="B244">
        <v>1</v>
      </c>
    </row>
    <row r="245" spans="1:2" x14ac:dyDescent="0.3">
      <c r="A245" s="44" t="s">
        <v>3726</v>
      </c>
      <c r="B245">
        <v>1</v>
      </c>
    </row>
    <row r="246" spans="1:2" x14ac:dyDescent="0.3">
      <c r="A246" s="44" t="s">
        <v>2807</v>
      </c>
      <c r="B246">
        <v>1</v>
      </c>
    </row>
    <row r="247" spans="1:2" x14ac:dyDescent="0.3">
      <c r="A247" s="44" t="s">
        <v>4099</v>
      </c>
      <c r="B247">
        <v>1</v>
      </c>
    </row>
    <row r="248" spans="1:2" x14ac:dyDescent="0.3">
      <c r="A248" s="44" t="s">
        <v>3927</v>
      </c>
      <c r="B248">
        <v>4</v>
      </c>
    </row>
    <row r="249" spans="1:2" x14ac:dyDescent="0.3">
      <c r="A249" s="44" t="s">
        <v>3893</v>
      </c>
      <c r="B249">
        <v>2</v>
      </c>
    </row>
    <row r="250" spans="1:2" x14ac:dyDescent="0.3">
      <c r="A250" s="44" t="s">
        <v>306</v>
      </c>
      <c r="B250">
        <v>1</v>
      </c>
    </row>
    <row r="251" spans="1:2" x14ac:dyDescent="0.3">
      <c r="A251" s="44" t="s">
        <v>3974</v>
      </c>
      <c r="B251">
        <v>2</v>
      </c>
    </row>
    <row r="252" spans="1:2" x14ac:dyDescent="0.3">
      <c r="A252" s="44" t="s">
        <v>734</v>
      </c>
      <c r="B252">
        <v>2</v>
      </c>
    </row>
    <row r="253" spans="1:2" x14ac:dyDescent="0.3">
      <c r="A253" s="44" t="s">
        <v>4146</v>
      </c>
      <c r="B253">
        <v>6</v>
      </c>
    </row>
    <row r="254" spans="1:2" x14ac:dyDescent="0.3">
      <c r="A254" s="44" t="s">
        <v>3865</v>
      </c>
      <c r="B254">
        <v>1</v>
      </c>
    </row>
    <row r="255" spans="1:2" x14ac:dyDescent="0.3">
      <c r="A255" s="44" t="s">
        <v>4009</v>
      </c>
      <c r="B255">
        <v>9</v>
      </c>
    </row>
    <row r="256" spans="1:2" x14ac:dyDescent="0.3">
      <c r="A256" s="44" t="s">
        <v>4007</v>
      </c>
      <c r="B256">
        <v>2</v>
      </c>
    </row>
    <row r="257" spans="1:2" x14ac:dyDescent="0.3">
      <c r="A257" s="44" t="s">
        <v>3944</v>
      </c>
      <c r="B257">
        <v>4</v>
      </c>
    </row>
    <row r="258" spans="1:2" x14ac:dyDescent="0.3">
      <c r="A258" s="44" t="s">
        <v>4089</v>
      </c>
      <c r="B258">
        <v>2</v>
      </c>
    </row>
    <row r="259" spans="1:2" x14ac:dyDescent="0.3">
      <c r="A259" s="44" t="s">
        <v>3764</v>
      </c>
      <c r="B259">
        <v>1</v>
      </c>
    </row>
    <row r="260" spans="1:2" x14ac:dyDescent="0.3">
      <c r="A260" s="44" t="s">
        <v>447</v>
      </c>
      <c r="B260">
        <v>1</v>
      </c>
    </row>
    <row r="261" spans="1:2" x14ac:dyDescent="0.3">
      <c r="A261" s="44" t="s">
        <v>2096</v>
      </c>
      <c r="B261">
        <v>3</v>
      </c>
    </row>
    <row r="262" spans="1:2" x14ac:dyDescent="0.3">
      <c r="A262" s="44" t="s">
        <v>590</v>
      </c>
      <c r="B262">
        <v>3</v>
      </c>
    </row>
    <row r="263" spans="1:2" x14ac:dyDescent="0.3">
      <c r="A263" s="44" t="s">
        <v>3293</v>
      </c>
      <c r="B263">
        <v>1</v>
      </c>
    </row>
    <row r="264" spans="1:2" x14ac:dyDescent="0.3">
      <c r="A264" s="44" t="s">
        <v>179</v>
      </c>
      <c r="B264">
        <v>1</v>
      </c>
    </row>
    <row r="265" spans="1:2" x14ac:dyDescent="0.3">
      <c r="A265" s="44" t="s">
        <v>1823</v>
      </c>
      <c r="B265">
        <v>1</v>
      </c>
    </row>
    <row r="266" spans="1:2" x14ac:dyDescent="0.3">
      <c r="A266" s="44" t="s">
        <v>1544</v>
      </c>
      <c r="B266">
        <v>1</v>
      </c>
    </row>
    <row r="267" spans="1:2" x14ac:dyDescent="0.3">
      <c r="A267" s="44" t="s">
        <v>60</v>
      </c>
      <c r="B267">
        <v>1</v>
      </c>
    </row>
    <row r="268" spans="1:2" x14ac:dyDescent="0.3">
      <c r="A268" s="44" t="s">
        <v>2054</v>
      </c>
      <c r="B268">
        <v>5</v>
      </c>
    </row>
    <row r="269" spans="1:2" x14ac:dyDescent="0.3">
      <c r="A269" s="44" t="s">
        <v>3829</v>
      </c>
      <c r="B269">
        <v>1</v>
      </c>
    </row>
    <row r="270" spans="1:2" x14ac:dyDescent="0.3">
      <c r="A270" s="44" t="s">
        <v>3835</v>
      </c>
      <c r="B270">
        <v>1</v>
      </c>
    </row>
    <row r="271" spans="1:2" x14ac:dyDescent="0.3">
      <c r="A271" s="44" t="s">
        <v>2435</v>
      </c>
      <c r="B271">
        <v>1</v>
      </c>
    </row>
    <row r="272" spans="1:2" x14ac:dyDescent="0.3">
      <c r="A272" s="44" t="s">
        <v>1486</v>
      </c>
      <c r="B272">
        <v>1</v>
      </c>
    </row>
    <row r="273" spans="1:2" x14ac:dyDescent="0.3">
      <c r="A273" s="44" t="s">
        <v>1376</v>
      </c>
      <c r="B273">
        <v>2</v>
      </c>
    </row>
    <row r="274" spans="1:2" x14ac:dyDescent="0.3">
      <c r="A274" s="44" t="s">
        <v>1003</v>
      </c>
      <c r="B274">
        <v>2</v>
      </c>
    </row>
    <row r="275" spans="1:2" x14ac:dyDescent="0.3">
      <c r="A275" s="44" t="s">
        <v>3807</v>
      </c>
      <c r="B275">
        <v>1</v>
      </c>
    </row>
    <row r="276" spans="1:2" x14ac:dyDescent="0.3">
      <c r="A276" s="44" t="s">
        <v>4141</v>
      </c>
      <c r="B276">
        <v>2</v>
      </c>
    </row>
    <row r="277" spans="1:2" x14ac:dyDescent="0.3">
      <c r="A277" s="44" t="s">
        <v>1324</v>
      </c>
      <c r="B277">
        <v>1</v>
      </c>
    </row>
    <row r="278" spans="1:2" x14ac:dyDescent="0.3">
      <c r="A278" s="44" t="s">
        <v>1342</v>
      </c>
      <c r="B278">
        <v>1</v>
      </c>
    </row>
    <row r="279" spans="1:2" x14ac:dyDescent="0.3">
      <c r="A279" s="44" t="s">
        <v>1348</v>
      </c>
      <c r="B279">
        <v>1</v>
      </c>
    </row>
    <row r="280" spans="1:2" x14ac:dyDescent="0.3">
      <c r="A280" s="44" t="s">
        <v>2995</v>
      </c>
      <c r="B280">
        <v>2</v>
      </c>
    </row>
    <row r="281" spans="1:2" x14ac:dyDescent="0.3">
      <c r="A281" s="44" t="s">
        <v>3278</v>
      </c>
      <c r="B281">
        <v>4</v>
      </c>
    </row>
    <row r="282" spans="1:2" x14ac:dyDescent="0.3">
      <c r="A282" s="44" t="s">
        <v>1561</v>
      </c>
      <c r="B282">
        <v>2</v>
      </c>
    </row>
    <row r="283" spans="1:2" x14ac:dyDescent="0.3">
      <c r="A283" s="44" t="s">
        <v>3464</v>
      </c>
      <c r="B283">
        <v>10</v>
      </c>
    </row>
    <row r="284" spans="1:2" x14ac:dyDescent="0.3">
      <c r="A284" s="44" t="s">
        <v>331</v>
      </c>
      <c r="B284">
        <v>10</v>
      </c>
    </row>
    <row r="285" spans="1:2" x14ac:dyDescent="0.3">
      <c r="A285" s="44" t="s">
        <v>141</v>
      </c>
      <c r="B285">
        <v>1</v>
      </c>
    </row>
    <row r="286" spans="1:2" x14ac:dyDescent="0.3">
      <c r="A286" s="44" t="s">
        <v>51</v>
      </c>
      <c r="B286">
        <v>2</v>
      </c>
    </row>
    <row r="287" spans="1:2" x14ac:dyDescent="0.3">
      <c r="A287" s="44" t="s">
        <v>161</v>
      </c>
      <c r="B287">
        <v>1</v>
      </c>
    </row>
    <row r="288" spans="1:2" x14ac:dyDescent="0.3">
      <c r="A288" s="44" t="s">
        <v>2607</v>
      </c>
      <c r="B288">
        <v>1</v>
      </c>
    </row>
    <row r="289" spans="1:2" x14ac:dyDescent="0.3">
      <c r="A289" s="44" t="s">
        <v>1719</v>
      </c>
      <c r="B289">
        <v>1</v>
      </c>
    </row>
    <row r="290" spans="1:2" x14ac:dyDescent="0.3">
      <c r="A290" s="44" t="s">
        <v>1728</v>
      </c>
      <c r="B290">
        <v>1</v>
      </c>
    </row>
    <row r="291" spans="1:2" x14ac:dyDescent="0.3">
      <c r="A291" s="44" t="s">
        <v>3231</v>
      </c>
      <c r="B291">
        <v>1</v>
      </c>
    </row>
    <row r="292" spans="1:2" x14ac:dyDescent="0.3">
      <c r="A292" s="44" t="s">
        <v>438</v>
      </c>
      <c r="B292">
        <v>1</v>
      </c>
    </row>
    <row r="293" spans="1:2" x14ac:dyDescent="0.3">
      <c r="A293" s="44" t="s">
        <v>539</v>
      </c>
      <c r="B293">
        <v>1</v>
      </c>
    </row>
    <row r="294" spans="1:2" x14ac:dyDescent="0.3">
      <c r="A294" s="44" t="s">
        <v>895</v>
      </c>
      <c r="B294">
        <v>1</v>
      </c>
    </row>
    <row r="295" spans="1:2" x14ac:dyDescent="0.3">
      <c r="A295" s="44" t="s">
        <v>1853</v>
      </c>
      <c r="B295">
        <v>1</v>
      </c>
    </row>
    <row r="296" spans="1:2" x14ac:dyDescent="0.3">
      <c r="A296" s="44" t="s">
        <v>776</v>
      </c>
      <c r="B296">
        <v>1</v>
      </c>
    </row>
    <row r="297" spans="1:2" x14ac:dyDescent="0.3">
      <c r="A297" s="44" t="s">
        <v>3690</v>
      </c>
      <c r="B297">
        <v>1</v>
      </c>
    </row>
    <row r="298" spans="1:2" x14ac:dyDescent="0.3">
      <c r="A298" s="44" t="s">
        <v>2686</v>
      </c>
      <c r="B298">
        <v>1</v>
      </c>
    </row>
    <row r="299" spans="1:2" x14ac:dyDescent="0.3">
      <c r="A299" s="44" t="s">
        <v>3869</v>
      </c>
      <c r="B299">
        <v>1</v>
      </c>
    </row>
    <row r="300" spans="1:2" x14ac:dyDescent="0.3">
      <c r="A300" s="44" t="s">
        <v>2292</v>
      </c>
      <c r="B300">
        <v>1</v>
      </c>
    </row>
    <row r="301" spans="1:2" x14ac:dyDescent="0.3">
      <c r="A301" s="44" t="s">
        <v>3749</v>
      </c>
      <c r="B301">
        <v>1</v>
      </c>
    </row>
    <row r="302" spans="1:2" x14ac:dyDescent="0.3">
      <c r="A302" s="44" t="s">
        <v>2776</v>
      </c>
      <c r="B302">
        <v>1</v>
      </c>
    </row>
    <row r="303" spans="1:2" x14ac:dyDescent="0.3">
      <c r="A303" s="44" t="s">
        <v>3873</v>
      </c>
      <c r="B303">
        <v>1</v>
      </c>
    </row>
    <row r="304" spans="1:2" x14ac:dyDescent="0.3">
      <c r="A304" s="44" t="s">
        <v>2272</v>
      </c>
      <c r="B304">
        <v>1</v>
      </c>
    </row>
    <row r="305" spans="1:2" x14ac:dyDescent="0.3">
      <c r="A305" s="44" t="s">
        <v>429</v>
      </c>
      <c r="B305">
        <v>1</v>
      </c>
    </row>
    <row r="306" spans="1:2" x14ac:dyDescent="0.3">
      <c r="A306" s="44" t="s">
        <v>884</v>
      </c>
      <c r="B306">
        <v>1</v>
      </c>
    </row>
    <row r="307" spans="1:2" x14ac:dyDescent="0.3">
      <c r="A307" s="44" t="s">
        <v>536</v>
      </c>
      <c r="B307">
        <v>7</v>
      </c>
    </row>
    <row r="308" spans="1:2" x14ac:dyDescent="0.3">
      <c r="A308" s="44" t="s">
        <v>969</v>
      </c>
      <c r="B308">
        <v>1</v>
      </c>
    </row>
    <row r="309" spans="1:2" x14ac:dyDescent="0.3">
      <c r="A309" s="44" t="s">
        <v>868</v>
      </c>
      <c r="B309">
        <v>1</v>
      </c>
    </row>
    <row r="310" spans="1:2" x14ac:dyDescent="0.3">
      <c r="A310" s="44" t="s">
        <v>2317</v>
      </c>
      <c r="B310">
        <v>1</v>
      </c>
    </row>
    <row r="311" spans="1:2" x14ac:dyDescent="0.3">
      <c r="A311" s="44" t="s">
        <v>1093</v>
      </c>
      <c r="B311">
        <v>1</v>
      </c>
    </row>
    <row r="312" spans="1:2" x14ac:dyDescent="0.3">
      <c r="A312" s="44" t="s">
        <v>432</v>
      </c>
      <c r="B312">
        <v>1</v>
      </c>
    </row>
    <row r="313" spans="1:2" x14ac:dyDescent="0.3">
      <c r="A313" s="44" t="s">
        <v>1290</v>
      </c>
      <c r="B313">
        <v>1</v>
      </c>
    </row>
    <row r="314" spans="1:2" x14ac:dyDescent="0.3">
      <c r="A314" s="44" t="s">
        <v>987</v>
      </c>
      <c r="B314">
        <v>1</v>
      </c>
    </row>
    <row r="315" spans="1:2" x14ac:dyDescent="0.3">
      <c r="A315" s="44" t="s">
        <v>1153</v>
      </c>
      <c r="B315">
        <v>2</v>
      </c>
    </row>
    <row r="316" spans="1:2" x14ac:dyDescent="0.3">
      <c r="A316" s="44" t="s">
        <v>2638</v>
      </c>
      <c r="B316">
        <v>1</v>
      </c>
    </row>
    <row r="317" spans="1:2" x14ac:dyDescent="0.3">
      <c r="A317" s="44" t="s">
        <v>1296</v>
      </c>
      <c r="B317">
        <v>1</v>
      </c>
    </row>
    <row r="318" spans="1:2" x14ac:dyDescent="0.3">
      <c r="A318" s="44" t="s">
        <v>1253</v>
      </c>
      <c r="B318">
        <v>1</v>
      </c>
    </row>
    <row r="319" spans="1:2" x14ac:dyDescent="0.3">
      <c r="A319" s="44" t="s">
        <v>1256</v>
      </c>
      <c r="B319">
        <v>1</v>
      </c>
    </row>
    <row r="320" spans="1:2" x14ac:dyDescent="0.3">
      <c r="A320" s="44" t="s">
        <v>3455</v>
      </c>
      <c r="B320">
        <v>2</v>
      </c>
    </row>
    <row r="321" spans="1:2" x14ac:dyDescent="0.3">
      <c r="A321" s="44" t="s">
        <v>770</v>
      </c>
      <c r="B321">
        <v>1</v>
      </c>
    </row>
    <row r="322" spans="1:2" x14ac:dyDescent="0.3">
      <c r="A322" s="44" t="s">
        <v>767</v>
      </c>
      <c r="B322">
        <v>1</v>
      </c>
    </row>
    <row r="323" spans="1:2" x14ac:dyDescent="0.3">
      <c r="A323" s="44" t="s">
        <v>1788</v>
      </c>
      <c r="B323">
        <v>2</v>
      </c>
    </row>
    <row r="324" spans="1:2" x14ac:dyDescent="0.3">
      <c r="A324" s="44" t="s">
        <v>1366</v>
      </c>
      <c r="B324">
        <v>3</v>
      </c>
    </row>
    <row r="325" spans="1:2" x14ac:dyDescent="0.3">
      <c r="A325" s="44" t="s">
        <v>3499</v>
      </c>
      <c r="B325">
        <v>1</v>
      </c>
    </row>
    <row r="326" spans="1:2" x14ac:dyDescent="0.3">
      <c r="A326" s="44" t="s">
        <v>1594</v>
      </c>
      <c r="B326">
        <v>1</v>
      </c>
    </row>
    <row r="327" spans="1:2" x14ac:dyDescent="0.3">
      <c r="A327" s="44" t="s">
        <v>3291</v>
      </c>
      <c r="B327">
        <v>1</v>
      </c>
    </row>
    <row r="328" spans="1:2" x14ac:dyDescent="0.3">
      <c r="A328" s="44" t="s">
        <v>4024</v>
      </c>
      <c r="B328">
        <v>1</v>
      </c>
    </row>
    <row r="329" spans="1:2" x14ac:dyDescent="0.3">
      <c r="A329" s="44" t="s">
        <v>336</v>
      </c>
      <c r="B329">
        <v>1</v>
      </c>
    </row>
    <row r="330" spans="1:2" x14ac:dyDescent="0.3">
      <c r="A330" s="44" t="s">
        <v>2164</v>
      </c>
      <c r="B330">
        <v>1</v>
      </c>
    </row>
    <row r="331" spans="1:2" x14ac:dyDescent="0.3">
      <c r="A331" s="44" t="s">
        <v>150</v>
      </c>
      <c r="B331">
        <v>1</v>
      </c>
    </row>
    <row r="332" spans="1:2" x14ac:dyDescent="0.3">
      <c r="A332" s="44" t="s">
        <v>3640</v>
      </c>
      <c r="B332">
        <v>1</v>
      </c>
    </row>
    <row r="333" spans="1:2" x14ac:dyDescent="0.3">
      <c r="A333" s="44" t="s">
        <v>521</v>
      </c>
      <c r="B333">
        <v>1</v>
      </c>
    </row>
    <row r="334" spans="1:2" x14ac:dyDescent="0.3">
      <c r="A334" s="44" t="s">
        <v>1250</v>
      </c>
      <c r="B334">
        <v>1</v>
      </c>
    </row>
    <row r="335" spans="1:2" x14ac:dyDescent="0.3">
      <c r="A335" s="44" t="s">
        <v>3058</v>
      </c>
      <c r="B335">
        <v>1</v>
      </c>
    </row>
    <row r="336" spans="1:2" x14ac:dyDescent="0.3">
      <c r="A336" s="44" t="s">
        <v>1914</v>
      </c>
      <c r="B336">
        <v>1</v>
      </c>
    </row>
    <row r="337" spans="1:2" x14ac:dyDescent="0.3">
      <c r="A337" s="44" t="s">
        <v>1209</v>
      </c>
      <c r="B337">
        <v>1</v>
      </c>
    </row>
    <row r="338" spans="1:2" x14ac:dyDescent="0.3">
      <c r="A338" s="44" t="s">
        <v>3918</v>
      </c>
      <c r="B338">
        <v>1</v>
      </c>
    </row>
    <row r="339" spans="1:2" x14ac:dyDescent="0.3">
      <c r="A339" s="44" t="s">
        <v>1710</v>
      </c>
      <c r="B339">
        <v>1</v>
      </c>
    </row>
    <row r="340" spans="1:2" x14ac:dyDescent="0.3">
      <c r="A340" s="44" t="s">
        <v>2624</v>
      </c>
      <c r="B340">
        <v>1</v>
      </c>
    </row>
    <row r="341" spans="1:2" x14ac:dyDescent="0.3">
      <c r="A341" s="44" t="s">
        <v>4240</v>
      </c>
      <c r="B341">
        <v>1</v>
      </c>
    </row>
    <row r="342" spans="1:2" x14ac:dyDescent="0.3">
      <c r="A342" s="44" t="s">
        <v>360</v>
      </c>
      <c r="B342">
        <v>1</v>
      </c>
    </row>
    <row r="343" spans="1:2" x14ac:dyDescent="0.3">
      <c r="A343" s="44" t="s">
        <v>366</v>
      </c>
      <c r="B343">
        <v>1</v>
      </c>
    </row>
    <row r="344" spans="1:2" x14ac:dyDescent="0.3">
      <c r="A344" s="44" t="s">
        <v>375</v>
      </c>
      <c r="B344">
        <v>1</v>
      </c>
    </row>
    <row r="345" spans="1:2" x14ac:dyDescent="0.3">
      <c r="A345" s="44" t="s">
        <v>399</v>
      </c>
      <c r="B345">
        <v>1</v>
      </c>
    </row>
    <row r="346" spans="1:2" x14ac:dyDescent="0.3">
      <c r="A346" s="44" t="s">
        <v>402</v>
      </c>
      <c r="B346">
        <v>1</v>
      </c>
    </row>
    <row r="347" spans="1:2" x14ac:dyDescent="0.3">
      <c r="A347" s="44" t="s">
        <v>3784</v>
      </c>
      <c r="B347">
        <v>1</v>
      </c>
    </row>
    <row r="348" spans="1:2" x14ac:dyDescent="0.3">
      <c r="A348" s="44" t="s">
        <v>4295</v>
      </c>
      <c r="B348">
        <v>1</v>
      </c>
    </row>
    <row r="349" spans="1:2" x14ac:dyDescent="0.3">
      <c r="A349" s="44" t="s">
        <v>787</v>
      </c>
      <c r="B349">
        <v>2</v>
      </c>
    </row>
    <row r="350" spans="1:2" x14ac:dyDescent="0.3">
      <c r="A350" s="44" t="s">
        <v>2558</v>
      </c>
      <c r="B350">
        <v>5</v>
      </c>
    </row>
    <row r="351" spans="1:2" x14ac:dyDescent="0.3">
      <c r="A351" s="44" t="s">
        <v>1122</v>
      </c>
      <c r="B351">
        <v>1</v>
      </c>
    </row>
    <row r="352" spans="1:2" x14ac:dyDescent="0.3">
      <c r="A352" s="44" t="s">
        <v>4003</v>
      </c>
      <c r="B352">
        <v>1</v>
      </c>
    </row>
    <row r="353" spans="1:2" x14ac:dyDescent="0.3">
      <c r="A353" s="44" t="s">
        <v>2033</v>
      </c>
      <c r="B353">
        <v>1</v>
      </c>
    </row>
    <row r="354" spans="1:2" x14ac:dyDescent="0.3">
      <c r="A354" s="44" t="s">
        <v>2303</v>
      </c>
      <c r="B354">
        <v>1</v>
      </c>
    </row>
    <row r="355" spans="1:2" x14ac:dyDescent="0.3">
      <c r="A355" s="44" t="s">
        <v>3395</v>
      </c>
      <c r="B355">
        <v>1</v>
      </c>
    </row>
    <row r="356" spans="1:2" x14ac:dyDescent="0.3">
      <c r="A356" s="44" t="s">
        <v>295</v>
      </c>
      <c r="B356">
        <v>1</v>
      </c>
    </row>
    <row r="357" spans="1:2" x14ac:dyDescent="0.3">
      <c r="A357" s="44" t="s">
        <v>4160</v>
      </c>
      <c r="B357">
        <v>1</v>
      </c>
    </row>
    <row r="358" spans="1:2" x14ac:dyDescent="0.3">
      <c r="A358" s="44" t="s">
        <v>4299</v>
      </c>
      <c r="B358">
        <v>1</v>
      </c>
    </row>
    <row r="359" spans="1:2" x14ac:dyDescent="0.3">
      <c r="A359" s="44" t="s">
        <v>3634</v>
      </c>
      <c r="B359">
        <v>1</v>
      </c>
    </row>
    <row r="360" spans="1:2" x14ac:dyDescent="0.3">
      <c r="A360" s="44" t="s">
        <v>248</v>
      </c>
      <c r="B360">
        <v>4</v>
      </c>
    </row>
    <row r="361" spans="1:2" x14ac:dyDescent="0.3">
      <c r="A361" s="44" t="s">
        <v>2991</v>
      </c>
      <c r="B361">
        <v>1</v>
      </c>
    </row>
    <row r="362" spans="1:2" x14ac:dyDescent="0.3">
      <c r="A362" s="44" t="s">
        <v>2612</v>
      </c>
      <c r="B362">
        <v>3</v>
      </c>
    </row>
    <row r="363" spans="1:2" x14ac:dyDescent="0.3">
      <c r="A363" s="44" t="s">
        <v>4377</v>
      </c>
      <c r="B363">
        <v>1</v>
      </c>
    </row>
    <row r="364" spans="1:2" x14ac:dyDescent="0.3">
      <c r="A364" s="44" t="s">
        <v>4367</v>
      </c>
      <c r="B364">
        <v>1</v>
      </c>
    </row>
    <row r="365" spans="1:2" x14ac:dyDescent="0.3">
      <c r="A365" s="44" t="s">
        <v>1467</v>
      </c>
      <c r="B365">
        <v>1</v>
      </c>
    </row>
    <row r="366" spans="1:2" x14ac:dyDescent="0.3">
      <c r="A366" s="44" t="s">
        <v>3910</v>
      </c>
      <c r="B366">
        <v>1</v>
      </c>
    </row>
    <row r="367" spans="1:2" x14ac:dyDescent="0.3">
      <c r="A367" s="44" t="s">
        <v>4429</v>
      </c>
      <c r="B367">
        <v>2</v>
      </c>
    </row>
    <row r="368" spans="1:2" x14ac:dyDescent="0.3">
      <c r="A368" s="44" t="s">
        <v>2647</v>
      </c>
      <c r="B368">
        <v>1</v>
      </c>
    </row>
    <row r="369" spans="1:2" x14ac:dyDescent="0.3">
      <c r="A369" s="44" t="s">
        <v>3286</v>
      </c>
      <c r="B369">
        <v>1</v>
      </c>
    </row>
    <row r="370" spans="1:2" x14ac:dyDescent="0.3">
      <c r="A370" s="44" t="s">
        <v>286</v>
      </c>
      <c r="B370">
        <v>1</v>
      </c>
    </row>
    <row r="371" spans="1:2" x14ac:dyDescent="0.3">
      <c r="A371" s="44" t="s">
        <v>1386</v>
      </c>
      <c r="B371">
        <v>2</v>
      </c>
    </row>
    <row r="372" spans="1:2" x14ac:dyDescent="0.3">
      <c r="A372" s="44" t="s">
        <v>1517</v>
      </c>
      <c r="B372">
        <v>1</v>
      </c>
    </row>
    <row r="373" spans="1:2" x14ac:dyDescent="0.3">
      <c r="A373" s="44" t="s">
        <v>2461</v>
      </c>
      <c r="B373">
        <v>1</v>
      </c>
    </row>
    <row r="374" spans="1:2" x14ac:dyDescent="0.3">
      <c r="A374" s="44" t="s">
        <v>4324</v>
      </c>
      <c r="B374">
        <v>1</v>
      </c>
    </row>
    <row r="375" spans="1:2" x14ac:dyDescent="0.3">
      <c r="A375" s="44" t="s">
        <v>3123</v>
      </c>
      <c r="B375">
        <v>1</v>
      </c>
    </row>
    <row r="376" spans="1:2" x14ac:dyDescent="0.3">
      <c r="A376" s="44" t="s">
        <v>1266</v>
      </c>
      <c r="B376">
        <v>1</v>
      </c>
    </row>
    <row r="377" spans="1:2" x14ac:dyDescent="0.3">
      <c r="A377" s="44" t="s">
        <v>4391</v>
      </c>
      <c r="B377">
        <v>1</v>
      </c>
    </row>
    <row r="378" spans="1:2" x14ac:dyDescent="0.3">
      <c r="A378" s="44" t="s">
        <v>543</v>
      </c>
      <c r="B378">
        <v>1</v>
      </c>
    </row>
    <row r="379" spans="1:2" x14ac:dyDescent="0.3">
      <c r="A379" s="44" t="s">
        <v>2531</v>
      </c>
      <c r="B379">
        <v>1</v>
      </c>
    </row>
    <row r="380" spans="1:2" x14ac:dyDescent="0.3">
      <c r="A380" s="44" t="s">
        <v>2536</v>
      </c>
      <c r="B380">
        <v>1</v>
      </c>
    </row>
    <row r="381" spans="1:2" x14ac:dyDescent="0.3">
      <c r="A381" s="44" t="s">
        <v>1529</v>
      </c>
      <c r="B381">
        <v>1</v>
      </c>
    </row>
    <row r="382" spans="1:2" x14ac:dyDescent="0.3">
      <c r="A382" s="44" t="s">
        <v>1682</v>
      </c>
      <c r="B382">
        <v>1</v>
      </c>
    </row>
    <row r="383" spans="1:2" x14ac:dyDescent="0.3">
      <c r="A383" s="44" t="s">
        <v>167</v>
      </c>
      <c r="B383">
        <v>1</v>
      </c>
    </row>
    <row r="384" spans="1:2" x14ac:dyDescent="0.3">
      <c r="A384" s="44" t="s">
        <v>3236</v>
      </c>
      <c r="B384">
        <v>1</v>
      </c>
    </row>
    <row r="385" spans="1:2" x14ac:dyDescent="0.3">
      <c r="A385" s="44" t="s">
        <v>2874</v>
      </c>
      <c r="B385">
        <v>1</v>
      </c>
    </row>
    <row r="386" spans="1:2" x14ac:dyDescent="0.3">
      <c r="A386" s="44" t="s">
        <v>3474</v>
      </c>
      <c r="B386">
        <v>1</v>
      </c>
    </row>
    <row r="387" spans="1:2" x14ac:dyDescent="0.3">
      <c r="A387" s="44" t="s">
        <v>1577</v>
      </c>
      <c r="B387">
        <v>1</v>
      </c>
    </row>
    <row r="388" spans="1:2" x14ac:dyDescent="0.3">
      <c r="A388" s="44" t="s">
        <v>2343</v>
      </c>
      <c r="B388">
        <v>1</v>
      </c>
    </row>
    <row r="389" spans="1:2" x14ac:dyDescent="0.3">
      <c r="A389" s="44" t="s">
        <v>4438</v>
      </c>
      <c r="B389">
        <v>1</v>
      </c>
    </row>
    <row r="390" spans="1:2" x14ac:dyDescent="0.3">
      <c r="A390" s="44" t="s">
        <v>292</v>
      </c>
      <c r="B390">
        <v>1</v>
      </c>
    </row>
    <row r="391" spans="1:2" x14ac:dyDescent="0.3">
      <c r="A391" s="44" t="s">
        <v>1752</v>
      </c>
      <c r="B391">
        <v>1</v>
      </c>
    </row>
    <row r="392" spans="1:2" x14ac:dyDescent="0.3">
      <c r="A392" s="44" t="s">
        <v>2330</v>
      </c>
      <c r="B392">
        <v>1</v>
      </c>
    </row>
    <row r="393" spans="1:2" x14ac:dyDescent="0.3">
      <c r="A393" s="44" t="s">
        <v>2422</v>
      </c>
      <c r="B393">
        <v>1</v>
      </c>
    </row>
    <row r="394" spans="1:2" x14ac:dyDescent="0.3">
      <c r="A394" s="44" t="s">
        <v>1470</v>
      </c>
      <c r="B394">
        <v>1</v>
      </c>
    </row>
    <row r="395" spans="1:2" x14ac:dyDescent="0.3">
      <c r="A395" s="44" t="s">
        <v>4070</v>
      </c>
      <c r="B395">
        <v>1</v>
      </c>
    </row>
    <row r="396" spans="1:2" x14ac:dyDescent="0.3">
      <c r="A396" s="44" t="s">
        <v>3875</v>
      </c>
      <c r="B396">
        <v>1</v>
      </c>
    </row>
    <row r="397" spans="1:2" x14ac:dyDescent="0.3">
      <c r="A397" s="44" t="s">
        <v>545</v>
      </c>
      <c r="B397">
        <v>1</v>
      </c>
    </row>
    <row r="398" spans="1:2" x14ac:dyDescent="0.3">
      <c r="A398" s="44" t="s">
        <v>1199</v>
      </c>
      <c r="B398">
        <v>1</v>
      </c>
    </row>
    <row r="399" spans="1:2" x14ac:dyDescent="0.3">
      <c r="A399" s="44" t="s">
        <v>3584</v>
      </c>
      <c r="B399">
        <v>1</v>
      </c>
    </row>
    <row r="400" spans="1:2" x14ac:dyDescent="0.3">
      <c r="A400" s="44" t="s">
        <v>202</v>
      </c>
      <c r="B400">
        <v>1</v>
      </c>
    </row>
    <row r="401" spans="1:2" x14ac:dyDescent="0.3">
      <c r="A401" s="44" t="s">
        <v>3586</v>
      </c>
      <c r="B401">
        <v>1</v>
      </c>
    </row>
    <row r="402" spans="1:2" x14ac:dyDescent="0.3">
      <c r="A402" s="44" t="s">
        <v>3302</v>
      </c>
      <c r="B402">
        <v>1</v>
      </c>
    </row>
    <row r="403" spans="1:2" x14ac:dyDescent="0.3">
      <c r="A403" s="44" t="s">
        <v>414</v>
      </c>
      <c r="B403">
        <v>1</v>
      </c>
    </row>
    <row r="404" spans="1:2" x14ac:dyDescent="0.3">
      <c r="A404" s="44" t="s">
        <v>408</v>
      </c>
      <c r="B404">
        <v>1</v>
      </c>
    </row>
    <row r="405" spans="1:2" x14ac:dyDescent="0.3">
      <c r="A405" s="44" t="s">
        <v>405</v>
      </c>
      <c r="B405">
        <v>1</v>
      </c>
    </row>
    <row r="406" spans="1:2" x14ac:dyDescent="0.3">
      <c r="A406" s="44" t="s">
        <v>417</v>
      </c>
      <c r="B406">
        <v>1</v>
      </c>
    </row>
    <row r="407" spans="1:2" x14ac:dyDescent="0.3">
      <c r="A407" s="44" t="s">
        <v>411</v>
      </c>
      <c r="B407">
        <v>1</v>
      </c>
    </row>
    <row r="408" spans="1:2" x14ac:dyDescent="0.3">
      <c r="A408" s="44" t="s">
        <v>2887</v>
      </c>
      <c r="B408">
        <v>2</v>
      </c>
    </row>
    <row r="409" spans="1:2" x14ac:dyDescent="0.3">
      <c r="A409" s="44" t="s">
        <v>1507</v>
      </c>
      <c r="B409">
        <v>1</v>
      </c>
    </row>
    <row r="410" spans="1:2" x14ac:dyDescent="0.3">
      <c r="A410" s="44" t="s">
        <v>1644</v>
      </c>
      <c r="B410">
        <v>1</v>
      </c>
    </row>
    <row r="411" spans="1:2" x14ac:dyDescent="0.3">
      <c r="A411" s="44" t="s">
        <v>560</v>
      </c>
      <c r="B411">
        <v>1</v>
      </c>
    </row>
    <row r="412" spans="1:2" x14ac:dyDescent="0.3">
      <c r="A412" s="44" t="s">
        <v>2588</v>
      </c>
      <c r="B412">
        <v>1</v>
      </c>
    </row>
    <row r="413" spans="1:2" x14ac:dyDescent="0.3">
      <c r="A413" s="44" t="s">
        <v>2567</v>
      </c>
      <c r="B413">
        <v>1</v>
      </c>
    </row>
    <row r="414" spans="1:2" x14ac:dyDescent="0.3">
      <c r="A414" s="44" t="s">
        <v>2570</v>
      </c>
      <c r="B414">
        <v>1</v>
      </c>
    </row>
    <row r="415" spans="1:2" x14ac:dyDescent="0.3">
      <c r="A415" s="44" t="s">
        <v>3819</v>
      </c>
      <c r="B415">
        <v>1</v>
      </c>
    </row>
    <row r="416" spans="1:2" x14ac:dyDescent="0.3">
      <c r="A416" s="44" t="s">
        <v>693</v>
      </c>
      <c r="B416">
        <v>1</v>
      </c>
    </row>
    <row r="417" spans="1:2" x14ac:dyDescent="0.3">
      <c r="A417" s="44" t="s">
        <v>3825</v>
      </c>
      <c r="B417">
        <v>1</v>
      </c>
    </row>
    <row r="418" spans="1:2" x14ac:dyDescent="0.3">
      <c r="A418" s="44" t="s">
        <v>2432</v>
      </c>
      <c r="B418">
        <v>1</v>
      </c>
    </row>
    <row r="419" spans="1:2" x14ac:dyDescent="0.3">
      <c r="A419" s="44" t="s">
        <v>1808</v>
      </c>
      <c r="B419">
        <v>1</v>
      </c>
    </row>
    <row r="420" spans="1:2" x14ac:dyDescent="0.3">
      <c r="A420" s="44" t="s">
        <v>2187</v>
      </c>
      <c r="B420">
        <v>1</v>
      </c>
    </row>
    <row r="421" spans="1:2" x14ac:dyDescent="0.3">
      <c r="A421" s="44" t="s">
        <v>781</v>
      </c>
      <c r="B421">
        <v>1</v>
      </c>
    </row>
    <row r="422" spans="1:2" x14ac:dyDescent="0.3">
      <c r="A422" s="44" t="s">
        <v>3211</v>
      </c>
      <c r="B422">
        <v>1</v>
      </c>
    </row>
    <row r="423" spans="1:2" x14ac:dyDescent="0.3">
      <c r="A423" s="44" t="s">
        <v>1704</v>
      </c>
      <c r="B423">
        <v>1</v>
      </c>
    </row>
    <row r="424" spans="1:2" x14ac:dyDescent="0.3">
      <c r="A424" s="44" t="s">
        <v>1707</v>
      </c>
      <c r="B424">
        <v>1</v>
      </c>
    </row>
    <row r="425" spans="1:2" x14ac:dyDescent="0.3">
      <c r="A425" s="44" t="s">
        <v>3831</v>
      </c>
      <c r="B425">
        <v>1</v>
      </c>
    </row>
    <row r="426" spans="1:2" x14ac:dyDescent="0.3">
      <c r="A426" s="44" t="s">
        <v>3185</v>
      </c>
      <c r="B426">
        <v>1</v>
      </c>
    </row>
    <row r="427" spans="1:2" x14ac:dyDescent="0.3">
      <c r="A427" s="44" t="s">
        <v>3484</v>
      </c>
      <c r="B427">
        <v>1</v>
      </c>
    </row>
    <row r="428" spans="1:2" x14ac:dyDescent="0.3">
      <c r="A428" s="44" t="s">
        <v>348</v>
      </c>
      <c r="B428">
        <v>1</v>
      </c>
    </row>
    <row r="429" spans="1:2" x14ac:dyDescent="0.3">
      <c r="A429" s="44" t="s">
        <v>729</v>
      </c>
      <c r="B429">
        <v>1</v>
      </c>
    </row>
    <row r="430" spans="1:2" x14ac:dyDescent="0.3">
      <c r="A430" s="44" t="s">
        <v>486</v>
      </c>
      <c r="B430">
        <v>1</v>
      </c>
    </row>
    <row r="431" spans="1:2" x14ac:dyDescent="0.3">
      <c r="A431" s="44" t="s">
        <v>1803</v>
      </c>
      <c r="B431">
        <v>1</v>
      </c>
    </row>
    <row r="432" spans="1:2" x14ac:dyDescent="0.3">
      <c r="A432" s="44" t="s">
        <v>1811</v>
      </c>
      <c r="B432">
        <v>1</v>
      </c>
    </row>
    <row r="433" spans="1:2" x14ac:dyDescent="0.3">
      <c r="A433" s="44" t="s">
        <v>2190</v>
      </c>
      <c r="B433">
        <v>1</v>
      </c>
    </row>
    <row r="434" spans="1:2" x14ac:dyDescent="0.3">
      <c r="A434" s="44" t="s">
        <v>2250</v>
      </c>
      <c r="B434">
        <v>1</v>
      </c>
    </row>
    <row r="435" spans="1:2" x14ac:dyDescent="0.3">
      <c r="A435" s="44" t="s">
        <v>122</v>
      </c>
      <c r="B435">
        <v>1</v>
      </c>
    </row>
    <row r="436" spans="1:2" x14ac:dyDescent="0.3">
      <c r="A436" s="44" t="s">
        <v>2972</v>
      </c>
      <c r="B436">
        <v>1</v>
      </c>
    </row>
    <row r="437" spans="1:2" x14ac:dyDescent="0.3">
      <c r="A437" s="44" t="s">
        <v>554</v>
      </c>
      <c r="B437">
        <v>1</v>
      </c>
    </row>
    <row r="438" spans="1:2" x14ac:dyDescent="0.3">
      <c r="A438" s="44" t="s">
        <v>708</v>
      </c>
      <c r="B438">
        <v>1</v>
      </c>
    </row>
    <row r="439" spans="1:2" x14ac:dyDescent="0.3">
      <c r="A439" s="44" t="s">
        <v>1351</v>
      </c>
      <c r="B439">
        <v>1</v>
      </c>
    </row>
    <row r="440" spans="1:2" x14ac:dyDescent="0.3">
      <c r="A440" s="44" t="s">
        <v>2264</v>
      </c>
      <c r="B440">
        <v>1</v>
      </c>
    </row>
    <row r="441" spans="1:2" x14ac:dyDescent="0.3">
      <c r="A441" s="44" t="s">
        <v>3734</v>
      </c>
      <c r="B441">
        <v>1</v>
      </c>
    </row>
    <row r="442" spans="1:2" x14ac:dyDescent="0.3">
      <c r="A442" s="44" t="s">
        <v>3704</v>
      </c>
      <c r="B442">
        <v>1</v>
      </c>
    </row>
    <row r="443" spans="1:2" x14ac:dyDescent="0.3">
      <c r="A443" s="44" t="s">
        <v>3416</v>
      </c>
      <c r="B443">
        <v>1</v>
      </c>
    </row>
    <row r="444" spans="1:2" x14ac:dyDescent="0.3">
      <c r="A444" s="44" t="s">
        <v>1724</v>
      </c>
      <c r="B444">
        <v>1</v>
      </c>
    </row>
    <row r="445" spans="1:2" x14ac:dyDescent="0.3">
      <c r="A445" s="44" t="s">
        <v>3423</v>
      </c>
      <c r="B445">
        <v>1</v>
      </c>
    </row>
    <row r="446" spans="1:2" x14ac:dyDescent="0.3">
      <c r="A446" s="44" t="s">
        <v>3205</v>
      </c>
      <c r="B446">
        <v>1</v>
      </c>
    </row>
    <row r="447" spans="1:2" x14ac:dyDescent="0.3">
      <c r="A447" s="44" t="s">
        <v>2193</v>
      </c>
      <c r="B447">
        <v>1</v>
      </c>
    </row>
    <row r="448" spans="1:2" x14ac:dyDescent="0.3">
      <c r="A448" s="44" t="s">
        <v>718</v>
      </c>
      <c r="B448">
        <v>1</v>
      </c>
    </row>
    <row r="449" spans="1:2" x14ac:dyDescent="0.3">
      <c r="A449" s="44" t="s">
        <v>1158</v>
      </c>
      <c r="B449">
        <v>1</v>
      </c>
    </row>
    <row r="450" spans="1:2" x14ac:dyDescent="0.3">
      <c r="A450" s="44" t="s">
        <v>1419</v>
      </c>
      <c r="B450">
        <v>1</v>
      </c>
    </row>
    <row r="451" spans="1:2" x14ac:dyDescent="0.3">
      <c r="A451" s="44" t="s">
        <v>3491</v>
      </c>
      <c r="B451">
        <v>1</v>
      </c>
    </row>
    <row r="452" spans="1:2" x14ac:dyDescent="0.3">
      <c r="A452" s="44" t="s">
        <v>3487</v>
      </c>
      <c r="B452">
        <v>3</v>
      </c>
    </row>
    <row r="453" spans="1:2" x14ac:dyDescent="0.3">
      <c r="A453" s="44" t="s">
        <v>1820</v>
      </c>
      <c r="B453">
        <v>1</v>
      </c>
    </row>
    <row r="454" spans="1:2" x14ac:dyDescent="0.3">
      <c r="A454" s="44" t="s">
        <v>2288</v>
      </c>
      <c r="B454">
        <v>1</v>
      </c>
    </row>
    <row r="455" spans="1:2" x14ac:dyDescent="0.3">
      <c r="A455" s="44" t="s">
        <v>3881</v>
      </c>
      <c r="B455">
        <v>1</v>
      </c>
    </row>
    <row r="456" spans="1:2" x14ac:dyDescent="0.3">
      <c r="A456" s="44" t="s">
        <v>4432</v>
      </c>
      <c r="B456">
        <v>1</v>
      </c>
    </row>
    <row r="457" spans="1:2" x14ac:dyDescent="0.3">
      <c r="A457" s="44" t="s">
        <v>4434</v>
      </c>
      <c r="B457">
        <v>1</v>
      </c>
    </row>
    <row r="458" spans="1:2" x14ac:dyDescent="0.3">
      <c r="A458" s="44" t="s">
        <v>2773</v>
      </c>
      <c r="B458">
        <v>1</v>
      </c>
    </row>
    <row r="459" spans="1:2" x14ac:dyDescent="0.3">
      <c r="A459" s="44" t="s">
        <v>3942</v>
      </c>
      <c r="B459">
        <v>1</v>
      </c>
    </row>
    <row r="460" spans="1:2" x14ac:dyDescent="0.3">
      <c r="A460" s="44" t="s">
        <v>2300</v>
      </c>
      <c r="B460">
        <v>1</v>
      </c>
    </row>
    <row r="461" spans="1:2" x14ac:dyDescent="0.3">
      <c r="A461" s="44" t="s">
        <v>3363</v>
      </c>
      <c r="B461">
        <v>2</v>
      </c>
    </row>
    <row r="462" spans="1:2" x14ac:dyDescent="0.3">
      <c r="A462" s="44" t="s">
        <v>1600</v>
      </c>
      <c r="B462">
        <v>1</v>
      </c>
    </row>
    <row r="463" spans="1:2" x14ac:dyDescent="0.3">
      <c r="A463" s="44" t="s">
        <v>666</v>
      </c>
      <c r="B463">
        <v>1</v>
      </c>
    </row>
    <row r="464" spans="1:2" x14ac:dyDescent="0.3">
      <c r="A464" s="44" t="s">
        <v>3922</v>
      </c>
      <c r="B464">
        <v>1</v>
      </c>
    </row>
    <row r="465" spans="1:2" x14ac:dyDescent="0.3">
      <c r="A465" s="44" t="s">
        <v>4442</v>
      </c>
      <c r="B465">
        <v>1</v>
      </c>
    </row>
    <row r="466" spans="1:2" x14ac:dyDescent="0.3">
      <c r="A466" s="44" t="s">
        <v>2633</v>
      </c>
      <c r="B466">
        <v>1</v>
      </c>
    </row>
    <row r="467" spans="1:2" x14ac:dyDescent="0.3">
      <c r="A467" s="44" t="s">
        <v>314</v>
      </c>
      <c r="B467">
        <v>2</v>
      </c>
    </row>
    <row r="468" spans="1:2" x14ac:dyDescent="0.3">
      <c r="A468" s="44" t="s">
        <v>4436</v>
      </c>
      <c r="B468">
        <v>1</v>
      </c>
    </row>
    <row r="469" spans="1:2" x14ac:dyDescent="0.3">
      <c r="A469" s="44" t="s">
        <v>462</v>
      </c>
      <c r="B469">
        <v>1</v>
      </c>
    </row>
    <row r="470" spans="1:2" x14ac:dyDescent="0.3">
      <c r="A470" s="44" t="s">
        <v>3014</v>
      </c>
      <c r="B470">
        <v>3</v>
      </c>
    </row>
    <row r="471" spans="1:2" x14ac:dyDescent="0.3">
      <c r="A471" s="44" t="s">
        <v>2599</v>
      </c>
      <c r="B471">
        <v>1</v>
      </c>
    </row>
    <row r="472" spans="1:2" x14ac:dyDescent="0.3">
      <c r="A472" s="44" t="s">
        <v>351</v>
      </c>
      <c r="B472">
        <v>1</v>
      </c>
    </row>
    <row r="473" spans="1:2" x14ac:dyDescent="0.3">
      <c r="A473" s="44" t="s">
        <v>3336</v>
      </c>
      <c r="B473">
        <v>1</v>
      </c>
    </row>
    <row r="474" spans="1:2" x14ac:dyDescent="0.3">
      <c r="A474" s="44" t="s">
        <v>509</v>
      </c>
      <c r="B474">
        <v>1</v>
      </c>
    </row>
    <row r="475" spans="1:2" x14ac:dyDescent="0.3">
      <c r="A475" s="44" t="s">
        <v>2326</v>
      </c>
      <c r="B475">
        <v>1</v>
      </c>
    </row>
    <row r="476" spans="1:2" x14ac:dyDescent="0.3">
      <c r="A476" s="44" t="s">
        <v>2523</v>
      </c>
      <c r="B476">
        <v>1</v>
      </c>
    </row>
    <row r="477" spans="1:2" x14ac:dyDescent="0.3">
      <c r="A477" s="44" t="s">
        <v>2712</v>
      </c>
      <c r="B477">
        <v>1</v>
      </c>
    </row>
    <row r="478" spans="1:2" x14ac:dyDescent="0.3">
      <c r="A478" s="44" t="s">
        <v>325</v>
      </c>
      <c r="B478">
        <v>1</v>
      </c>
    </row>
    <row r="479" spans="1:2" x14ac:dyDescent="0.3">
      <c r="A479" s="44" t="s">
        <v>441</v>
      </c>
      <c r="B479">
        <v>1</v>
      </c>
    </row>
    <row r="480" spans="1:2" x14ac:dyDescent="0.3">
      <c r="A480" s="44" t="s">
        <v>1800</v>
      </c>
      <c r="B480">
        <v>1</v>
      </c>
    </row>
    <row r="481" spans="1:2" x14ac:dyDescent="0.3">
      <c r="A481" s="44" t="s">
        <v>2049</v>
      </c>
      <c r="B481">
        <v>1</v>
      </c>
    </row>
    <row r="482" spans="1:2" x14ac:dyDescent="0.3">
      <c r="A482" s="44" t="s">
        <v>3171</v>
      </c>
      <c r="B482">
        <v>1</v>
      </c>
    </row>
    <row r="483" spans="1:2" x14ac:dyDescent="0.3">
      <c r="A483" s="44" t="s">
        <v>72</v>
      </c>
      <c r="B483">
        <v>1</v>
      </c>
    </row>
    <row r="484" spans="1:2" x14ac:dyDescent="0.3">
      <c r="A484" s="44" t="s">
        <v>3914</v>
      </c>
      <c r="B484">
        <v>1</v>
      </c>
    </row>
    <row r="485" spans="1:2" x14ac:dyDescent="0.3">
      <c r="A485" s="44" t="s">
        <v>1524</v>
      </c>
      <c r="B485">
        <v>1</v>
      </c>
    </row>
    <row r="486" spans="1:2" x14ac:dyDescent="0.3">
      <c r="A486" s="44" t="s">
        <v>483</v>
      </c>
      <c r="B486">
        <v>1</v>
      </c>
    </row>
    <row r="487" spans="1:2" x14ac:dyDescent="0.3">
      <c r="A487" s="44" t="s">
        <v>1665</v>
      </c>
      <c r="B487">
        <v>1</v>
      </c>
    </row>
    <row r="488" spans="1:2" x14ac:dyDescent="0.3">
      <c r="A488" s="44" t="s">
        <v>622</v>
      </c>
      <c r="B488">
        <v>1</v>
      </c>
    </row>
    <row r="489" spans="1:2" x14ac:dyDescent="0.3">
      <c r="A489" s="44" t="s">
        <v>2911</v>
      </c>
      <c r="B489">
        <v>1</v>
      </c>
    </row>
    <row r="490" spans="1:2" x14ac:dyDescent="0.3">
      <c r="A490" s="44" t="s">
        <v>594</v>
      </c>
      <c r="B490">
        <v>1</v>
      </c>
    </row>
    <row r="491" spans="1:2" x14ac:dyDescent="0.3">
      <c r="A491" s="44" t="s">
        <v>1474</v>
      </c>
      <c r="B491">
        <v>1</v>
      </c>
    </row>
    <row r="492" spans="1:2" x14ac:dyDescent="0.3">
      <c r="A492" s="44" t="s">
        <v>3385</v>
      </c>
      <c r="B492">
        <v>1</v>
      </c>
    </row>
    <row r="493" spans="1:2" x14ac:dyDescent="0.3">
      <c r="A493" s="44" t="s">
        <v>1946</v>
      </c>
      <c r="B493">
        <v>1</v>
      </c>
    </row>
    <row r="494" spans="1:2" x14ac:dyDescent="0.3">
      <c r="A494" s="44" t="s">
        <v>1696</v>
      </c>
      <c r="B494">
        <v>1</v>
      </c>
    </row>
    <row r="495" spans="1:2" x14ac:dyDescent="0.3">
      <c r="A495" s="44" t="s">
        <v>2314</v>
      </c>
      <c r="B495">
        <v>1</v>
      </c>
    </row>
    <row r="496" spans="1:2" x14ac:dyDescent="0.3">
      <c r="A496" s="44" t="s">
        <v>656</v>
      </c>
      <c r="B496">
        <v>1</v>
      </c>
    </row>
    <row r="497" spans="1:2" x14ac:dyDescent="0.3">
      <c r="A497" s="44" t="s">
        <v>3550</v>
      </c>
      <c r="B497">
        <v>1</v>
      </c>
    </row>
    <row r="498" spans="1:2" x14ac:dyDescent="0.3">
      <c r="A498" s="44" t="s">
        <v>722</v>
      </c>
      <c r="B498">
        <v>1</v>
      </c>
    </row>
    <row r="499" spans="1:2" x14ac:dyDescent="0.3">
      <c r="A499" s="44" t="s">
        <v>1231</v>
      </c>
      <c r="B499">
        <v>2</v>
      </c>
    </row>
    <row r="500" spans="1:2" x14ac:dyDescent="0.3">
      <c r="A500" s="44" t="s">
        <v>4128</v>
      </c>
      <c r="B500">
        <v>1</v>
      </c>
    </row>
    <row r="501" spans="1:2" x14ac:dyDescent="0.3">
      <c r="A501" s="44" t="s">
        <v>3568</v>
      </c>
      <c r="B501">
        <v>1</v>
      </c>
    </row>
    <row r="502" spans="1:2" x14ac:dyDescent="0.3">
      <c r="A502" s="44" t="s">
        <v>3152</v>
      </c>
      <c r="B502">
        <v>1</v>
      </c>
    </row>
    <row r="503" spans="1:2" x14ac:dyDescent="0.3">
      <c r="A503" s="44" t="s">
        <v>908</v>
      </c>
      <c r="B503">
        <v>1</v>
      </c>
    </row>
    <row r="504" spans="1:2" x14ac:dyDescent="0.3">
      <c r="A504" s="44" t="s">
        <v>493</v>
      </c>
      <c r="B504">
        <v>1</v>
      </c>
    </row>
    <row r="505" spans="1:2" x14ac:dyDescent="0.3">
      <c r="A505" s="44" t="s">
        <v>3994</v>
      </c>
      <c r="B505">
        <v>1</v>
      </c>
    </row>
    <row r="506" spans="1:2" x14ac:dyDescent="0.3">
      <c r="A506" s="44" t="s">
        <v>2591</v>
      </c>
      <c r="B506">
        <v>1</v>
      </c>
    </row>
    <row r="507" spans="1:2" x14ac:dyDescent="0.3">
      <c r="A507" s="44" t="s">
        <v>253</v>
      </c>
      <c r="B507">
        <v>2</v>
      </c>
    </row>
    <row r="508" spans="1:2" x14ac:dyDescent="0.3">
      <c r="A508" s="44" t="s">
        <v>3751</v>
      </c>
      <c r="B508">
        <v>1</v>
      </c>
    </row>
    <row r="509" spans="1:2" x14ac:dyDescent="0.3">
      <c r="A509" s="44" t="s">
        <v>2725</v>
      </c>
      <c r="B509">
        <v>1</v>
      </c>
    </row>
    <row r="510" spans="1:2" x14ac:dyDescent="0.3">
      <c r="A510" s="44" t="s">
        <v>744</v>
      </c>
      <c r="B510">
        <v>1</v>
      </c>
    </row>
    <row r="511" spans="1:2" x14ac:dyDescent="0.3">
      <c r="A511" s="44" t="s">
        <v>3009</v>
      </c>
      <c r="B511">
        <v>1</v>
      </c>
    </row>
    <row r="512" spans="1:2" x14ac:dyDescent="0.3">
      <c r="A512" s="44" t="s">
        <v>4169</v>
      </c>
      <c r="B512">
        <v>1</v>
      </c>
    </row>
    <row r="513" spans="1:2" x14ac:dyDescent="0.3">
      <c r="A513" s="44" t="s">
        <v>992</v>
      </c>
      <c r="B513">
        <v>1</v>
      </c>
    </row>
    <row r="514" spans="1:2" x14ac:dyDescent="0.3">
      <c r="A514" s="44" t="s">
        <v>3957</v>
      </c>
      <c r="B514">
        <v>1</v>
      </c>
    </row>
    <row r="515" spans="1:2" x14ac:dyDescent="0.3">
      <c r="A515" s="44" t="s">
        <v>501</v>
      </c>
      <c r="B515">
        <v>1</v>
      </c>
    </row>
    <row r="516" spans="1:2" x14ac:dyDescent="0.3">
      <c r="A516" s="44" t="s">
        <v>1299</v>
      </c>
      <c r="B516">
        <v>1</v>
      </c>
    </row>
    <row r="517" spans="1:2" x14ac:dyDescent="0.3">
      <c r="A517" s="44" t="s">
        <v>1363</v>
      </c>
      <c r="B517">
        <v>1</v>
      </c>
    </row>
    <row r="518" spans="1:2" x14ac:dyDescent="0.3">
      <c r="A518" s="44" t="s">
        <v>932</v>
      </c>
      <c r="B518">
        <v>1</v>
      </c>
    </row>
    <row r="519" spans="1:2" x14ac:dyDescent="0.3">
      <c r="A519" s="44" t="s">
        <v>2073</v>
      </c>
      <c r="B519">
        <v>1</v>
      </c>
    </row>
    <row r="520" spans="1:2" x14ac:dyDescent="0.3">
      <c r="A520" s="44" t="s">
        <v>1247</v>
      </c>
      <c r="B520">
        <v>1</v>
      </c>
    </row>
    <row r="521" spans="1:2" x14ac:dyDescent="0.3">
      <c r="A521" s="44" t="s">
        <v>4049</v>
      </c>
      <c r="B521">
        <v>1</v>
      </c>
    </row>
    <row r="522" spans="1:2" x14ac:dyDescent="0.3">
      <c r="A522" s="44" t="s">
        <v>1147</v>
      </c>
      <c r="B522">
        <v>1</v>
      </c>
    </row>
    <row r="523" spans="1:2" x14ac:dyDescent="0.3">
      <c r="A523" s="44" t="s">
        <v>3004</v>
      </c>
      <c r="B523">
        <v>1</v>
      </c>
    </row>
    <row r="524" spans="1:2" x14ac:dyDescent="0.3">
      <c r="A524" s="44" t="s">
        <v>2664</v>
      </c>
      <c r="B524">
        <v>2</v>
      </c>
    </row>
    <row r="525" spans="1:2" x14ac:dyDescent="0.3">
      <c r="A525" s="44" t="s">
        <v>2413</v>
      </c>
      <c r="B525">
        <v>1</v>
      </c>
    </row>
    <row r="526" spans="1:2" x14ac:dyDescent="0.3">
      <c r="A526" s="44" t="s">
        <v>1606</v>
      </c>
      <c r="B526">
        <v>1</v>
      </c>
    </row>
    <row r="527" spans="1:2" x14ac:dyDescent="0.3">
      <c r="A527" s="44" t="s">
        <v>1118</v>
      </c>
      <c r="B527">
        <v>1</v>
      </c>
    </row>
    <row r="528" spans="1:2" x14ac:dyDescent="0.3">
      <c r="A528" s="44" t="s">
        <v>3678</v>
      </c>
      <c r="B528">
        <v>1</v>
      </c>
    </row>
    <row r="529" spans="1:2" x14ac:dyDescent="0.3">
      <c r="A529" s="44" t="s">
        <v>4072</v>
      </c>
      <c r="B529">
        <v>1</v>
      </c>
    </row>
    <row r="530" spans="1:2" x14ac:dyDescent="0.3">
      <c r="A530" s="44" t="s">
        <v>2115</v>
      </c>
      <c r="B530">
        <v>1</v>
      </c>
    </row>
    <row r="531" spans="1:2" x14ac:dyDescent="0.3">
      <c r="A531" s="44" t="s">
        <v>3450</v>
      </c>
      <c r="B531">
        <v>1</v>
      </c>
    </row>
    <row r="532" spans="1:2" x14ac:dyDescent="0.3">
      <c r="A532" s="44" t="s">
        <v>3307</v>
      </c>
      <c r="B532">
        <v>1</v>
      </c>
    </row>
    <row r="533" spans="1:2" x14ac:dyDescent="0.3">
      <c r="A533" s="44" t="s">
        <v>4177</v>
      </c>
      <c r="B533">
        <v>1</v>
      </c>
    </row>
    <row r="534" spans="1:2" x14ac:dyDescent="0.3">
      <c r="A534" s="44" t="s">
        <v>4167</v>
      </c>
      <c r="B534">
        <v>1</v>
      </c>
    </row>
    <row r="535" spans="1:2" x14ac:dyDescent="0.3">
      <c r="A535" s="44" t="s">
        <v>4171</v>
      </c>
      <c r="B535">
        <v>1</v>
      </c>
    </row>
    <row r="536" spans="1:2" x14ac:dyDescent="0.3">
      <c r="A536" s="44" t="s">
        <v>4064</v>
      </c>
      <c r="B536">
        <v>1</v>
      </c>
    </row>
    <row r="537" spans="1:2" x14ac:dyDescent="0.3">
      <c r="A537" s="44" t="s">
        <v>763</v>
      </c>
      <c r="B537">
        <v>1</v>
      </c>
    </row>
    <row r="538" spans="1:2" x14ac:dyDescent="0.3">
      <c r="A538" s="44" t="s">
        <v>750</v>
      </c>
      <c r="B538">
        <v>1</v>
      </c>
    </row>
    <row r="539" spans="1:2" x14ac:dyDescent="0.3">
      <c r="A539" s="44" t="s">
        <v>119</v>
      </c>
      <c r="B539">
        <v>1</v>
      </c>
    </row>
    <row r="540" spans="1:2" x14ac:dyDescent="0.3">
      <c r="A540" s="44" t="s">
        <v>3032</v>
      </c>
      <c r="B540">
        <v>2</v>
      </c>
    </row>
    <row r="541" spans="1:2" x14ac:dyDescent="0.3">
      <c r="A541" s="44" t="s">
        <v>267</v>
      </c>
      <c r="B541">
        <v>1</v>
      </c>
    </row>
    <row r="542" spans="1:2" x14ac:dyDescent="0.3">
      <c r="A542" s="44" t="s">
        <v>921</v>
      </c>
      <c r="B542">
        <v>1</v>
      </c>
    </row>
    <row r="543" spans="1:2" x14ac:dyDescent="0.3">
      <c r="A543" s="44" t="s">
        <v>24</v>
      </c>
      <c r="B543">
        <v>1</v>
      </c>
    </row>
    <row r="544" spans="1:2" x14ac:dyDescent="0.3">
      <c r="A544" s="44" t="s">
        <v>27</v>
      </c>
      <c r="B544">
        <v>1</v>
      </c>
    </row>
    <row r="545" spans="1:2" x14ac:dyDescent="0.3">
      <c r="A545" s="44" t="s">
        <v>30</v>
      </c>
      <c r="B545">
        <v>1</v>
      </c>
    </row>
    <row r="546" spans="1:2" x14ac:dyDescent="0.3">
      <c r="A546" s="44" t="s">
        <v>2438</v>
      </c>
      <c r="B546">
        <v>1</v>
      </c>
    </row>
    <row r="547" spans="1:2" x14ac:dyDescent="0.3">
      <c r="A547" s="44" t="s">
        <v>1388</v>
      </c>
      <c r="B547">
        <v>1</v>
      </c>
    </row>
    <row r="548" spans="1:2" x14ac:dyDescent="0.3">
      <c r="A548" s="44" t="s">
        <v>2734</v>
      </c>
      <c r="B548">
        <v>1</v>
      </c>
    </row>
    <row r="549" spans="1:2" x14ac:dyDescent="0.3">
      <c r="A549" s="44" t="s">
        <v>1768</v>
      </c>
      <c r="B549">
        <v>1</v>
      </c>
    </row>
    <row r="550" spans="1:2" x14ac:dyDescent="0.3">
      <c r="A550" s="44" t="s">
        <v>2180</v>
      </c>
      <c r="B550">
        <v>4</v>
      </c>
    </row>
    <row r="551" spans="1:2" x14ac:dyDescent="0.3">
      <c r="A551" s="44" t="s">
        <v>3182</v>
      </c>
      <c r="B551">
        <v>2</v>
      </c>
    </row>
    <row r="552" spans="1:2" x14ac:dyDescent="0.3">
      <c r="A552" s="44" t="s">
        <v>2869</v>
      </c>
      <c r="B552">
        <v>1</v>
      </c>
    </row>
    <row r="553" spans="1:2" x14ac:dyDescent="0.3">
      <c r="A553" s="44" t="s">
        <v>3093</v>
      </c>
      <c r="B553">
        <v>1</v>
      </c>
    </row>
    <row r="554" spans="1:2" x14ac:dyDescent="0.3">
      <c r="A554" s="44" t="s">
        <v>2427</v>
      </c>
      <c r="B554">
        <v>1</v>
      </c>
    </row>
    <row r="555" spans="1:2" x14ac:dyDescent="0.3">
      <c r="A555" s="44" t="s">
        <v>1098</v>
      </c>
      <c r="B555">
        <v>3</v>
      </c>
    </row>
    <row r="556" spans="1:2" x14ac:dyDescent="0.3">
      <c r="A556" s="44" t="s">
        <v>4095</v>
      </c>
      <c r="B556">
        <v>2</v>
      </c>
    </row>
    <row r="557" spans="1:2" x14ac:dyDescent="0.3">
      <c r="A557" s="44" t="s">
        <v>381</v>
      </c>
      <c r="B557">
        <v>1</v>
      </c>
    </row>
    <row r="558" spans="1:2" x14ac:dyDescent="0.3">
      <c r="A558" s="44" t="s">
        <v>384</v>
      </c>
      <c r="B558">
        <v>1</v>
      </c>
    </row>
    <row r="559" spans="1:2" x14ac:dyDescent="0.3">
      <c r="A559" s="44" t="s">
        <v>387</v>
      </c>
      <c r="B559">
        <v>1</v>
      </c>
    </row>
    <row r="560" spans="1:2" x14ac:dyDescent="0.3">
      <c r="A560" s="44" t="s">
        <v>2258</v>
      </c>
      <c r="B560">
        <v>1</v>
      </c>
    </row>
    <row r="561" spans="1:2" x14ac:dyDescent="0.3">
      <c r="A561" s="44" t="s">
        <v>3495</v>
      </c>
      <c r="B561">
        <v>1</v>
      </c>
    </row>
    <row r="562" spans="1:2" x14ac:dyDescent="0.3">
      <c r="A562" s="44" t="s">
        <v>581</v>
      </c>
      <c r="B562">
        <v>1</v>
      </c>
    </row>
    <row r="563" spans="1:2" x14ac:dyDescent="0.3">
      <c r="A563" s="44" t="s">
        <v>566</v>
      </c>
      <c r="B563">
        <v>1</v>
      </c>
    </row>
    <row r="564" spans="1:2" x14ac:dyDescent="0.3">
      <c r="A564" s="44" t="s">
        <v>575</v>
      </c>
      <c r="B564">
        <v>1</v>
      </c>
    </row>
    <row r="565" spans="1:2" x14ac:dyDescent="0.3">
      <c r="A565" s="44" t="s">
        <v>569</v>
      </c>
      <c r="B565">
        <v>1</v>
      </c>
    </row>
    <row r="566" spans="1:2" x14ac:dyDescent="0.3">
      <c r="A566" s="44" t="s">
        <v>796</v>
      </c>
      <c r="B566">
        <v>1</v>
      </c>
    </row>
    <row r="567" spans="1:2" x14ac:dyDescent="0.3">
      <c r="A567" s="44" t="s">
        <v>3114</v>
      </c>
      <c r="B567">
        <v>1</v>
      </c>
    </row>
    <row r="568" spans="1:2" x14ac:dyDescent="0.3">
      <c r="A568" s="44" t="s">
        <v>2574</v>
      </c>
      <c r="B568">
        <v>3</v>
      </c>
    </row>
    <row r="569" spans="1:2" x14ac:dyDescent="0.3">
      <c r="A569" s="44" t="s">
        <v>3840</v>
      </c>
      <c r="B569">
        <v>1</v>
      </c>
    </row>
    <row r="570" spans="1:2" x14ac:dyDescent="0.3">
      <c r="A570" s="44" t="s">
        <v>2604</v>
      </c>
      <c r="B570">
        <v>1</v>
      </c>
    </row>
    <row r="571" spans="1:2" x14ac:dyDescent="0.3">
      <c r="A571" s="44" t="s">
        <v>3684</v>
      </c>
      <c r="B571">
        <v>1</v>
      </c>
    </row>
    <row r="572" spans="1:2" x14ac:dyDescent="0.3">
      <c r="A572" s="44" t="s">
        <v>1847</v>
      </c>
      <c r="B572">
        <v>1</v>
      </c>
    </row>
    <row r="573" spans="1:2" x14ac:dyDescent="0.3">
      <c r="A573" s="44" t="s">
        <v>320</v>
      </c>
      <c r="B573">
        <v>1</v>
      </c>
    </row>
    <row r="574" spans="1:2" x14ac:dyDescent="0.3">
      <c r="A574" s="44" t="s">
        <v>784</v>
      </c>
      <c r="B574">
        <v>1</v>
      </c>
    </row>
    <row r="575" spans="1:2" x14ac:dyDescent="0.3">
      <c r="A575" s="44" t="s">
        <v>1353</v>
      </c>
      <c r="B575">
        <v>1</v>
      </c>
    </row>
    <row r="576" spans="1:2" x14ac:dyDescent="0.3">
      <c r="A576" s="44" t="s">
        <v>3519</v>
      </c>
      <c r="B576">
        <v>1</v>
      </c>
    </row>
    <row r="577" spans="1:2" x14ac:dyDescent="0.3">
      <c r="A577" s="44" t="s">
        <v>3938</v>
      </c>
      <c r="B577">
        <v>1</v>
      </c>
    </row>
    <row r="578" spans="1:2" x14ac:dyDescent="0.3">
      <c r="A578" s="44" t="s">
        <v>1534</v>
      </c>
      <c r="B578">
        <v>1</v>
      </c>
    </row>
    <row r="579" spans="1:2" x14ac:dyDescent="0.3">
      <c r="A579" s="44" t="s">
        <v>3400</v>
      </c>
      <c r="B579">
        <v>1</v>
      </c>
    </row>
    <row r="580" spans="1:2" x14ac:dyDescent="0.3">
      <c r="A580" s="44" t="s">
        <v>3403</v>
      </c>
      <c r="B580">
        <v>1</v>
      </c>
    </row>
    <row r="581" spans="1:2" x14ac:dyDescent="0.3">
      <c r="A581" s="44" t="s">
        <v>2110</v>
      </c>
      <c r="B581">
        <v>1</v>
      </c>
    </row>
    <row r="582" spans="1:2" x14ac:dyDescent="0.3">
      <c r="A582" s="44" t="s">
        <v>1101</v>
      </c>
      <c r="B582">
        <v>1</v>
      </c>
    </row>
    <row r="583" spans="1:2" x14ac:dyDescent="0.3">
      <c r="A583" s="44" t="s">
        <v>459</v>
      </c>
      <c r="B583">
        <v>1</v>
      </c>
    </row>
    <row r="584" spans="1:2" x14ac:dyDescent="0.3">
      <c r="A584" s="44" t="s">
        <v>2863</v>
      </c>
      <c r="B584">
        <v>1</v>
      </c>
    </row>
    <row r="585" spans="1:2" x14ac:dyDescent="0.3">
      <c r="A585" s="44" t="s">
        <v>1394</v>
      </c>
      <c r="B585">
        <v>1</v>
      </c>
    </row>
    <row r="586" spans="1:2" x14ac:dyDescent="0.3">
      <c r="A586" s="44" t="s">
        <v>1391</v>
      </c>
      <c r="B586">
        <v>1</v>
      </c>
    </row>
    <row r="587" spans="1:2" x14ac:dyDescent="0.3">
      <c r="A587" s="44" t="s">
        <v>2783</v>
      </c>
      <c r="B587">
        <v>1</v>
      </c>
    </row>
    <row r="588" spans="1:2" x14ac:dyDescent="0.3">
      <c r="A588" s="44" t="s">
        <v>2078</v>
      </c>
      <c r="B588">
        <v>1</v>
      </c>
    </row>
    <row r="589" spans="1:2" x14ac:dyDescent="0.3">
      <c r="A589" s="44" t="s">
        <v>345</v>
      </c>
      <c r="B589">
        <v>1</v>
      </c>
    </row>
    <row r="590" spans="1:2" x14ac:dyDescent="0.3">
      <c r="A590" s="44" t="s">
        <v>3360</v>
      </c>
      <c r="B590">
        <v>1</v>
      </c>
    </row>
    <row r="591" spans="1:2" x14ac:dyDescent="0.3">
      <c r="A591" s="44" t="s">
        <v>3984</v>
      </c>
      <c r="B591">
        <v>1</v>
      </c>
    </row>
    <row r="592" spans="1:2" x14ac:dyDescent="0.3">
      <c r="A592" s="44" t="s">
        <v>435</v>
      </c>
      <c r="B592">
        <v>1</v>
      </c>
    </row>
    <row r="593" spans="1:2" x14ac:dyDescent="0.3">
      <c r="A593" s="44" t="s">
        <v>40</v>
      </c>
      <c r="B593">
        <v>1</v>
      </c>
    </row>
    <row r="594" spans="1:2" x14ac:dyDescent="0.3">
      <c r="A594" s="44" t="s">
        <v>1130</v>
      </c>
      <c r="B594">
        <v>1</v>
      </c>
    </row>
    <row r="595" spans="1:2" x14ac:dyDescent="0.3">
      <c r="A595" s="44" t="s">
        <v>130</v>
      </c>
      <c r="B595">
        <v>1</v>
      </c>
    </row>
    <row r="596" spans="1:2" x14ac:dyDescent="0.3">
      <c r="A596" s="44" t="s">
        <v>1890</v>
      </c>
      <c r="B596">
        <v>1</v>
      </c>
    </row>
    <row r="597" spans="1:2" x14ac:dyDescent="0.3">
      <c r="A597" s="44" t="s">
        <v>879</v>
      </c>
      <c r="B597">
        <v>1</v>
      </c>
    </row>
    <row r="598" spans="1:2" x14ac:dyDescent="0.3">
      <c r="A598" s="44" t="s">
        <v>3443</v>
      </c>
      <c r="B598">
        <v>1</v>
      </c>
    </row>
    <row r="599" spans="1:2" x14ac:dyDescent="0.3">
      <c r="A599" s="44" t="s">
        <v>549</v>
      </c>
      <c r="B599">
        <v>1</v>
      </c>
    </row>
    <row r="600" spans="1:2" x14ac:dyDescent="0.3">
      <c r="A600" s="44" t="s">
        <v>3227</v>
      </c>
      <c r="B600">
        <v>2</v>
      </c>
    </row>
    <row r="601" spans="1:2" x14ac:dyDescent="0.3">
      <c r="A601" s="44" t="s">
        <v>4101</v>
      </c>
      <c r="B601">
        <v>1</v>
      </c>
    </row>
    <row r="602" spans="1:2" x14ac:dyDescent="0.3">
      <c r="A602" s="44" t="s">
        <v>3638</v>
      </c>
      <c r="B602">
        <v>1</v>
      </c>
    </row>
    <row r="603" spans="1:2" x14ac:dyDescent="0.3">
      <c r="A603" s="44" t="s">
        <v>4234</v>
      </c>
      <c r="B603">
        <v>1</v>
      </c>
    </row>
    <row r="604" spans="1:2" x14ac:dyDescent="0.3">
      <c r="A604" s="44" t="s">
        <v>4238</v>
      </c>
      <c r="B604">
        <v>1</v>
      </c>
    </row>
    <row r="605" spans="1:2" x14ac:dyDescent="0.3">
      <c r="A605" s="44" t="s">
        <v>87</v>
      </c>
      <c r="B605">
        <v>2</v>
      </c>
    </row>
    <row r="606" spans="1:2" x14ac:dyDescent="0.3">
      <c r="A606" s="44" t="s">
        <v>4242</v>
      </c>
      <c r="B606">
        <v>1</v>
      </c>
    </row>
    <row r="607" spans="1:2" x14ac:dyDescent="0.3">
      <c r="A607" s="44" t="s">
        <v>1900</v>
      </c>
      <c r="B607">
        <v>1</v>
      </c>
    </row>
    <row r="608" spans="1:2" x14ac:dyDescent="0.3">
      <c r="A608" s="44" t="s">
        <v>1187</v>
      </c>
      <c r="B608">
        <v>1</v>
      </c>
    </row>
    <row r="609" spans="1:2" x14ac:dyDescent="0.3">
      <c r="A609" s="44" t="s">
        <v>1908</v>
      </c>
      <c r="B609">
        <v>1</v>
      </c>
    </row>
    <row r="610" spans="1:2" x14ac:dyDescent="0.3">
      <c r="A610" s="44" t="s">
        <v>1911</v>
      </c>
      <c r="B610">
        <v>1</v>
      </c>
    </row>
    <row r="611" spans="1:2" x14ac:dyDescent="0.3">
      <c r="A611" s="44" t="s">
        <v>2105</v>
      </c>
      <c r="B611">
        <v>1</v>
      </c>
    </row>
    <row r="612" spans="1:2" x14ac:dyDescent="0.3">
      <c r="A612" s="44" t="s">
        <v>4043</v>
      </c>
      <c r="B612">
        <v>1</v>
      </c>
    </row>
    <row r="613" spans="1:2" x14ac:dyDescent="0.3">
      <c r="A613" s="44" t="s">
        <v>3109</v>
      </c>
      <c r="B613">
        <v>1</v>
      </c>
    </row>
    <row r="614" spans="1:2" x14ac:dyDescent="0.3">
      <c r="A614" s="44" t="s">
        <v>2495</v>
      </c>
      <c r="B614">
        <v>1</v>
      </c>
    </row>
    <row r="615" spans="1:2" x14ac:dyDescent="0.3">
      <c r="A615" s="44" t="s">
        <v>3530</v>
      </c>
      <c r="B615">
        <v>1</v>
      </c>
    </row>
    <row r="616" spans="1:2" x14ac:dyDescent="0.3">
      <c r="A616" s="44" t="s">
        <v>1383</v>
      </c>
      <c r="B616">
        <v>1</v>
      </c>
    </row>
    <row r="617" spans="1:2" x14ac:dyDescent="0.3">
      <c r="A617" s="44" t="s">
        <v>2123</v>
      </c>
      <c r="B617">
        <v>1</v>
      </c>
    </row>
    <row r="618" spans="1:2" x14ac:dyDescent="0.3">
      <c r="A618" s="44" t="s">
        <v>668</v>
      </c>
      <c r="B618">
        <v>1</v>
      </c>
    </row>
    <row r="619" spans="1:2" x14ac:dyDescent="0.3">
      <c r="A619" s="44" t="s">
        <v>690</v>
      </c>
      <c r="B619">
        <v>1</v>
      </c>
    </row>
    <row r="620" spans="1:2" x14ac:dyDescent="0.3">
      <c r="A620" s="44" t="s">
        <v>144</v>
      </c>
      <c r="B620">
        <v>1</v>
      </c>
    </row>
    <row r="621" spans="1:2" x14ac:dyDescent="0.3">
      <c r="A621" s="44" t="s">
        <v>2385</v>
      </c>
      <c r="B621">
        <v>1</v>
      </c>
    </row>
    <row r="622" spans="1:2" x14ac:dyDescent="0.3">
      <c r="A622" s="44" t="s">
        <v>2379</v>
      </c>
      <c r="B622">
        <v>1</v>
      </c>
    </row>
    <row r="623" spans="1:2" x14ac:dyDescent="0.3">
      <c r="A623" s="44" t="s">
        <v>1284</v>
      </c>
      <c r="B623">
        <v>1</v>
      </c>
    </row>
    <row r="624" spans="1:2" x14ac:dyDescent="0.3">
      <c r="A624" s="44" t="s">
        <v>2373</v>
      </c>
      <c r="B624">
        <v>1</v>
      </c>
    </row>
    <row r="625" spans="1:2" x14ac:dyDescent="0.3">
      <c r="A625" s="44" t="s">
        <v>3412</v>
      </c>
      <c r="B625">
        <v>1</v>
      </c>
    </row>
    <row r="626" spans="1:2" x14ac:dyDescent="0.3">
      <c r="A626" s="44" t="s">
        <v>2619</v>
      </c>
      <c r="B626">
        <v>1</v>
      </c>
    </row>
    <row r="627" spans="1:2" x14ac:dyDescent="0.3">
      <c r="A627" s="44" t="s">
        <v>3990</v>
      </c>
      <c r="B627">
        <v>1</v>
      </c>
    </row>
    <row r="628" spans="1:2" x14ac:dyDescent="0.3">
      <c r="A628" s="44" t="s">
        <v>1797</v>
      </c>
      <c r="B628">
        <v>1</v>
      </c>
    </row>
    <row r="629" spans="1:2" x14ac:dyDescent="0.3">
      <c r="A629" s="44" t="s">
        <v>1814</v>
      </c>
      <c r="B629">
        <v>1</v>
      </c>
    </row>
    <row r="630" spans="1:2" x14ac:dyDescent="0.3">
      <c r="A630" s="44" t="s">
        <v>3925</v>
      </c>
      <c r="B630">
        <v>1</v>
      </c>
    </row>
    <row r="631" spans="1:2" x14ac:dyDescent="0.3">
      <c r="A631" s="44" t="s">
        <v>2526</v>
      </c>
      <c r="B631">
        <v>2</v>
      </c>
    </row>
    <row r="632" spans="1:2" x14ac:dyDescent="0.3">
      <c r="A632" s="44" t="s">
        <v>1628</v>
      </c>
      <c r="B632">
        <v>1</v>
      </c>
    </row>
    <row r="633" spans="1:2" x14ac:dyDescent="0.3">
      <c r="A633" s="44" t="s">
        <v>3608</v>
      </c>
      <c r="B633">
        <v>1</v>
      </c>
    </row>
    <row r="634" spans="1:2" x14ac:dyDescent="0.3">
      <c r="A634" s="44" t="s">
        <v>3299</v>
      </c>
      <c r="B634">
        <v>1</v>
      </c>
    </row>
    <row r="635" spans="1:2" x14ac:dyDescent="0.3">
      <c r="A635" s="44" t="s">
        <v>4255</v>
      </c>
      <c r="B635">
        <v>2</v>
      </c>
    </row>
    <row r="636" spans="1:2" x14ac:dyDescent="0.3">
      <c r="A636" s="44" t="s">
        <v>103</v>
      </c>
      <c r="B636">
        <v>1</v>
      </c>
    </row>
    <row r="637" spans="1:2" x14ac:dyDescent="0.3">
      <c r="A637" s="44" t="s">
        <v>4365</v>
      </c>
      <c r="B637">
        <v>1</v>
      </c>
    </row>
    <row r="638" spans="1:2" x14ac:dyDescent="0.3">
      <c r="A638" s="44" t="s">
        <v>4037</v>
      </c>
      <c r="B638">
        <v>2</v>
      </c>
    </row>
    <row r="639" spans="1:2" x14ac:dyDescent="0.3">
      <c r="A639" s="44" t="s">
        <v>4381</v>
      </c>
      <c r="B639">
        <v>1</v>
      </c>
    </row>
    <row r="640" spans="1:2" x14ac:dyDescent="0.3">
      <c r="A640" s="44" t="s">
        <v>3999</v>
      </c>
      <c r="B640">
        <v>1</v>
      </c>
    </row>
    <row r="641" spans="1:2" x14ac:dyDescent="0.3">
      <c r="A641" s="44" t="s">
        <v>4067</v>
      </c>
      <c r="B641">
        <v>2</v>
      </c>
    </row>
    <row r="642" spans="1:2" x14ac:dyDescent="0.3">
      <c r="A642" s="44" t="s">
        <v>3699</v>
      </c>
      <c r="B642">
        <v>4</v>
      </c>
    </row>
    <row r="643" spans="1:2" x14ac:dyDescent="0.3">
      <c r="A643" s="44" t="s">
        <v>2658</v>
      </c>
      <c r="B643">
        <v>1</v>
      </c>
    </row>
    <row r="644" spans="1:2" x14ac:dyDescent="0.3">
      <c r="A644" s="44" t="s">
        <v>147</v>
      </c>
      <c r="B644">
        <v>1</v>
      </c>
    </row>
    <row r="645" spans="1:2" x14ac:dyDescent="0.3">
      <c r="A645" s="44" t="s">
        <v>1791</v>
      </c>
      <c r="B645">
        <v>1</v>
      </c>
    </row>
    <row r="646" spans="1:2" x14ac:dyDescent="0.3">
      <c r="A646" s="44" t="s">
        <v>1020</v>
      </c>
      <c r="B646">
        <v>1</v>
      </c>
    </row>
    <row r="647" spans="1:2" x14ac:dyDescent="0.3">
      <c r="A647" s="44" t="s">
        <v>682</v>
      </c>
      <c r="B647">
        <v>1</v>
      </c>
    </row>
    <row r="648" spans="1:2" x14ac:dyDescent="0.3">
      <c r="A648" s="44" t="s">
        <v>687</v>
      </c>
      <c r="B648">
        <v>1</v>
      </c>
    </row>
    <row r="649" spans="1:2" x14ac:dyDescent="0.3">
      <c r="A649" s="44" t="s">
        <v>1180</v>
      </c>
      <c r="B649">
        <v>1</v>
      </c>
    </row>
    <row r="650" spans="1:2" x14ac:dyDescent="0.3">
      <c r="A650" s="44" t="s">
        <v>1895</v>
      </c>
      <c r="B650">
        <v>1</v>
      </c>
    </row>
    <row r="651" spans="1:2" x14ac:dyDescent="0.3">
      <c r="A651" s="44" t="s">
        <v>2872</v>
      </c>
      <c r="B651">
        <v>1</v>
      </c>
    </row>
    <row r="652" spans="1:2" x14ac:dyDescent="0.3">
      <c r="A652" s="44" t="s">
        <v>1270</v>
      </c>
      <c r="B652">
        <v>1</v>
      </c>
    </row>
    <row r="653" spans="1:2" x14ac:dyDescent="0.3">
      <c r="A653" s="44" t="s">
        <v>1243</v>
      </c>
      <c r="B653">
        <v>3</v>
      </c>
    </row>
    <row r="654" spans="1:2" x14ac:dyDescent="0.3">
      <c r="A654" s="44" t="s">
        <v>2410</v>
      </c>
      <c r="B654">
        <v>3</v>
      </c>
    </row>
    <row r="655" spans="1:2" x14ac:dyDescent="0.3">
      <c r="A655" s="44" t="s">
        <v>3664</v>
      </c>
      <c r="B655">
        <v>2</v>
      </c>
    </row>
    <row r="656" spans="1:2" x14ac:dyDescent="0.3">
      <c r="A656" s="44" t="s">
        <v>1580</v>
      </c>
      <c r="B656">
        <v>4</v>
      </c>
    </row>
    <row r="657" spans="1:2" x14ac:dyDescent="0.3">
      <c r="A657" s="44" t="s">
        <v>108</v>
      </c>
      <c r="B657">
        <v>4</v>
      </c>
    </row>
    <row r="658" spans="1:2" x14ac:dyDescent="0.3">
      <c r="A658" s="44" t="s">
        <v>4331</v>
      </c>
      <c r="B658">
        <v>1</v>
      </c>
    </row>
    <row r="659" spans="1:2" x14ac:dyDescent="0.3">
      <c r="A659" s="44" t="s">
        <v>1177</v>
      </c>
      <c r="B659">
        <v>14</v>
      </c>
    </row>
    <row r="660" spans="1:2" x14ac:dyDescent="0.3">
      <c r="A660" s="44" t="s">
        <v>663</v>
      </c>
      <c r="B660">
        <v>2</v>
      </c>
    </row>
    <row r="661" spans="1:2" x14ac:dyDescent="0.3">
      <c r="A661" s="44" t="s">
        <v>2820</v>
      </c>
      <c r="B661">
        <v>2</v>
      </c>
    </row>
    <row r="662" spans="1:2" x14ac:dyDescent="0.3">
      <c r="A662" s="44" t="s">
        <v>1625</v>
      </c>
      <c r="B662">
        <v>1</v>
      </c>
    </row>
    <row r="663" spans="1:2" x14ac:dyDescent="0.3">
      <c r="A663" s="44" t="s">
        <v>1736</v>
      </c>
      <c r="B663">
        <v>1</v>
      </c>
    </row>
    <row r="664" spans="1:2" x14ac:dyDescent="0.3">
      <c r="A664" s="44" t="s">
        <v>3371</v>
      </c>
      <c r="B664">
        <v>1</v>
      </c>
    </row>
    <row r="665" spans="1:2" x14ac:dyDescent="0.3">
      <c r="A665" s="44" t="s">
        <v>3023</v>
      </c>
      <c r="B665">
        <v>1</v>
      </c>
    </row>
    <row r="666" spans="1:2" x14ac:dyDescent="0.3">
      <c r="A666" s="44" t="s">
        <v>3234</v>
      </c>
      <c r="B666">
        <v>1</v>
      </c>
    </row>
    <row r="667" spans="1:2" x14ac:dyDescent="0.3">
      <c r="A667" s="44" t="s">
        <v>1074</v>
      </c>
      <c r="B667">
        <v>2</v>
      </c>
    </row>
    <row r="668" spans="1:2" x14ac:dyDescent="0.3">
      <c r="A668" s="44" t="s">
        <v>2081</v>
      </c>
      <c r="B668">
        <v>1</v>
      </c>
    </row>
    <row r="669" spans="1:2" x14ac:dyDescent="0.3">
      <c r="A669" s="44" t="s">
        <v>3618</v>
      </c>
      <c r="B669">
        <v>1</v>
      </c>
    </row>
    <row r="670" spans="1:2" x14ac:dyDescent="0.3">
      <c r="A670" s="44" t="s">
        <v>2405</v>
      </c>
      <c r="B670">
        <v>1</v>
      </c>
    </row>
    <row r="671" spans="1:2" x14ac:dyDescent="0.3">
      <c r="A671" s="44" t="s">
        <v>2037</v>
      </c>
      <c r="B671">
        <v>1</v>
      </c>
    </row>
    <row r="672" spans="1:2" x14ac:dyDescent="0.3">
      <c r="A672" s="44" t="s">
        <v>711</v>
      </c>
      <c r="B672">
        <v>1</v>
      </c>
    </row>
    <row r="673" spans="1:2" x14ac:dyDescent="0.3">
      <c r="A673" s="44" t="s">
        <v>773</v>
      </c>
      <c r="B673">
        <v>1</v>
      </c>
    </row>
    <row r="674" spans="1:2" x14ac:dyDescent="0.3">
      <c r="A674" s="44" t="s">
        <v>755</v>
      </c>
      <c r="B674">
        <v>2</v>
      </c>
    </row>
    <row r="675" spans="1:2" x14ac:dyDescent="0.3">
      <c r="A675" s="44" t="s">
        <v>960</v>
      </c>
      <c r="B675">
        <v>1</v>
      </c>
    </row>
    <row r="676" spans="1:2" x14ac:dyDescent="0.3">
      <c r="A676" s="44" t="s">
        <v>940</v>
      </c>
      <c r="B676">
        <v>1</v>
      </c>
    </row>
    <row r="677" spans="1:2" x14ac:dyDescent="0.3">
      <c r="A677" s="44" t="s">
        <v>1125</v>
      </c>
      <c r="B677">
        <v>1</v>
      </c>
    </row>
    <row r="678" spans="1:2" x14ac:dyDescent="0.3">
      <c r="A678" s="44" t="s">
        <v>4123</v>
      </c>
      <c r="B678">
        <v>3</v>
      </c>
    </row>
    <row r="679" spans="1:2" x14ac:dyDescent="0.3">
      <c r="A679" s="44" t="s">
        <v>1671</v>
      </c>
      <c r="B679">
        <v>1</v>
      </c>
    </row>
    <row r="680" spans="1:2" x14ac:dyDescent="0.3">
      <c r="A680" s="44" t="s">
        <v>900</v>
      </c>
      <c r="B680">
        <v>1</v>
      </c>
    </row>
    <row r="681" spans="1:2" x14ac:dyDescent="0.3">
      <c r="A681" s="44" t="s">
        <v>4014</v>
      </c>
      <c r="B681">
        <v>1</v>
      </c>
    </row>
    <row r="682" spans="1:2" x14ac:dyDescent="0.3">
      <c r="A682" s="44" t="s">
        <v>4062</v>
      </c>
      <c r="B682">
        <v>1</v>
      </c>
    </row>
    <row r="683" spans="1:2" x14ac:dyDescent="0.3">
      <c r="A683" s="44" t="s">
        <v>760</v>
      </c>
      <c r="B683">
        <v>1</v>
      </c>
    </row>
    <row r="684" spans="1:2" x14ac:dyDescent="0.3">
      <c r="A684" s="44" t="s">
        <v>1879</v>
      </c>
      <c r="B684">
        <v>1</v>
      </c>
    </row>
    <row r="685" spans="1:2" x14ac:dyDescent="0.3">
      <c r="A685" s="44" t="s">
        <v>1510</v>
      </c>
      <c r="B685">
        <v>1</v>
      </c>
    </row>
    <row r="686" spans="1:2" x14ac:dyDescent="0.3">
      <c r="A686" s="44" t="s">
        <v>1293</v>
      </c>
      <c r="B686">
        <v>1</v>
      </c>
    </row>
    <row r="687" spans="1:2" x14ac:dyDescent="0.3">
      <c r="A687" s="44" t="s">
        <v>1112</v>
      </c>
      <c r="B687">
        <v>1</v>
      </c>
    </row>
    <row r="688" spans="1:2" x14ac:dyDescent="0.3">
      <c r="A688" s="44" t="s">
        <v>3161</v>
      </c>
      <c r="B688">
        <v>1</v>
      </c>
    </row>
    <row r="689" spans="1:2" x14ac:dyDescent="0.3">
      <c r="A689" s="44" t="s">
        <v>3168</v>
      </c>
      <c r="B689">
        <v>1</v>
      </c>
    </row>
    <row r="690" spans="1:2" x14ac:dyDescent="0.3">
      <c r="A690" s="44" t="s">
        <v>340</v>
      </c>
      <c r="B690">
        <v>1</v>
      </c>
    </row>
    <row r="691" spans="1:2" x14ac:dyDescent="0.3">
      <c r="A691" s="44" t="s">
        <v>3541</v>
      </c>
      <c r="B691">
        <v>1</v>
      </c>
    </row>
    <row r="692" spans="1:2" x14ac:dyDescent="0.3">
      <c r="A692" s="44" t="s">
        <v>1424</v>
      </c>
      <c r="B692">
        <v>1</v>
      </c>
    </row>
    <row r="693" spans="1:2" x14ac:dyDescent="0.3">
      <c r="A693" s="44" t="s">
        <v>1742</v>
      </c>
      <c r="B693">
        <v>2</v>
      </c>
    </row>
    <row r="694" spans="1:2" x14ac:dyDescent="0.3">
      <c r="A694" s="44" t="s">
        <v>445</v>
      </c>
      <c r="B694">
        <v>1</v>
      </c>
    </row>
    <row r="695" spans="1:2" x14ac:dyDescent="0.3">
      <c r="A695" s="44" t="s">
        <v>244</v>
      </c>
      <c r="B695">
        <v>1</v>
      </c>
    </row>
    <row r="696" spans="1:2" x14ac:dyDescent="0.3">
      <c r="A696" s="44" t="s">
        <v>1449</v>
      </c>
      <c r="B696">
        <v>1</v>
      </c>
    </row>
    <row r="697" spans="1:2" x14ac:dyDescent="0.3">
      <c r="A697" s="44" t="s">
        <v>983</v>
      </c>
      <c r="B697">
        <v>2</v>
      </c>
    </row>
    <row r="698" spans="1:2" x14ac:dyDescent="0.3">
      <c r="A698" s="44" t="s">
        <v>2786</v>
      </c>
      <c r="B698">
        <v>1</v>
      </c>
    </row>
    <row r="699" spans="1:2" x14ac:dyDescent="0.3">
      <c r="A699" s="44" t="s">
        <v>1679</v>
      </c>
      <c r="B699">
        <v>1</v>
      </c>
    </row>
    <row r="700" spans="1:2" x14ac:dyDescent="0.3">
      <c r="A700" s="44" t="s">
        <v>498</v>
      </c>
      <c r="B700">
        <v>1</v>
      </c>
    </row>
    <row r="701" spans="1:2" x14ac:dyDescent="0.3">
      <c r="A701" s="44" t="s">
        <v>2308</v>
      </c>
      <c r="B701">
        <v>1</v>
      </c>
    </row>
    <row r="702" spans="1:2" x14ac:dyDescent="0.3">
      <c r="A702" s="44" t="s">
        <v>317</v>
      </c>
      <c r="B702">
        <v>2</v>
      </c>
    </row>
    <row r="703" spans="1:2" x14ac:dyDescent="0.3">
      <c r="A703" s="44" t="s">
        <v>2894</v>
      </c>
      <c r="B703">
        <v>1</v>
      </c>
    </row>
    <row r="704" spans="1:2" x14ac:dyDescent="0.3">
      <c r="A704" s="44" t="s">
        <v>1481</v>
      </c>
      <c r="B704">
        <v>1</v>
      </c>
    </row>
    <row r="705" spans="1:2" x14ac:dyDescent="0.3">
      <c r="A705" s="44" t="s">
        <v>1873</v>
      </c>
      <c r="B705">
        <v>1</v>
      </c>
    </row>
    <row r="706" spans="1:2" x14ac:dyDescent="0.3">
      <c r="A706" s="44" t="s">
        <v>2003</v>
      </c>
      <c r="B706">
        <v>1</v>
      </c>
    </row>
    <row r="707" spans="1:2" x14ac:dyDescent="0.3">
      <c r="A707" s="44" t="s">
        <v>619</v>
      </c>
      <c r="B707">
        <v>1</v>
      </c>
    </row>
    <row r="708" spans="1:2" x14ac:dyDescent="0.3">
      <c r="A708" s="44" t="s">
        <v>133</v>
      </c>
      <c r="B708">
        <v>1</v>
      </c>
    </row>
    <row r="709" spans="1:2" x14ac:dyDescent="0.3">
      <c r="A709" s="44" t="s">
        <v>193</v>
      </c>
      <c r="B709">
        <v>1</v>
      </c>
    </row>
    <row r="710" spans="1:2" x14ac:dyDescent="0.3">
      <c r="A710" s="44" t="s">
        <v>275</v>
      </c>
      <c r="B710">
        <v>1</v>
      </c>
    </row>
    <row r="711" spans="1:2" x14ac:dyDescent="0.3">
      <c r="A711" s="44" t="s">
        <v>3588</v>
      </c>
      <c r="B711">
        <v>1</v>
      </c>
    </row>
    <row r="712" spans="1:2" x14ac:dyDescent="0.3">
      <c r="A712" s="44" t="s">
        <v>1929</v>
      </c>
      <c r="B712">
        <v>1</v>
      </c>
    </row>
    <row r="713" spans="1:2" x14ac:dyDescent="0.3">
      <c r="A713" s="44" t="s">
        <v>1923</v>
      </c>
      <c r="B713">
        <v>1</v>
      </c>
    </row>
    <row r="714" spans="1:2" x14ac:dyDescent="0.3">
      <c r="A714" s="44" t="s">
        <v>1937</v>
      </c>
      <c r="B714">
        <v>2</v>
      </c>
    </row>
    <row r="715" spans="1:2" x14ac:dyDescent="0.3">
      <c r="A715" s="44" t="s">
        <v>1920</v>
      </c>
      <c r="B715">
        <v>1</v>
      </c>
    </row>
    <row r="716" spans="1:2" x14ac:dyDescent="0.3">
      <c r="A716" s="44" t="s">
        <v>1932</v>
      </c>
      <c r="B716">
        <v>2</v>
      </c>
    </row>
    <row r="717" spans="1:2" x14ac:dyDescent="0.3">
      <c r="A717" s="44" t="s">
        <v>1917</v>
      </c>
      <c r="B717">
        <v>1</v>
      </c>
    </row>
    <row r="718" spans="1:2" x14ac:dyDescent="0.3">
      <c r="A718" s="44" t="s">
        <v>1926</v>
      </c>
      <c r="B718">
        <v>1</v>
      </c>
    </row>
    <row r="719" spans="1:2" x14ac:dyDescent="0.3">
      <c r="A719" s="44" t="s">
        <v>1942</v>
      </c>
      <c r="B719">
        <v>1</v>
      </c>
    </row>
    <row r="720" spans="1:2" x14ac:dyDescent="0.3">
      <c r="A720" s="44" t="s">
        <v>2008</v>
      </c>
      <c r="B720">
        <v>1</v>
      </c>
    </row>
    <row r="721" spans="1:2" x14ac:dyDescent="0.3">
      <c r="A721" s="44" t="s">
        <v>2011</v>
      </c>
      <c r="B721">
        <v>1</v>
      </c>
    </row>
    <row r="722" spans="1:2" x14ac:dyDescent="0.3">
      <c r="A722" s="44" t="s">
        <v>2014</v>
      </c>
      <c r="B722">
        <v>1</v>
      </c>
    </row>
    <row r="723" spans="1:2" x14ac:dyDescent="0.3">
      <c r="A723" s="44" t="s">
        <v>2017</v>
      </c>
      <c r="B723">
        <v>1</v>
      </c>
    </row>
    <row r="724" spans="1:2" x14ac:dyDescent="0.3">
      <c r="A724" s="44" t="s">
        <v>2020</v>
      </c>
      <c r="B724">
        <v>1</v>
      </c>
    </row>
    <row r="725" spans="1:2" x14ac:dyDescent="0.3">
      <c r="A725" s="44" t="s">
        <v>2023</v>
      </c>
      <c r="B725">
        <v>1</v>
      </c>
    </row>
    <row r="726" spans="1:2" x14ac:dyDescent="0.3">
      <c r="A726" s="44" t="s">
        <v>2026</v>
      </c>
      <c r="B726">
        <v>1</v>
      </c>
    </row>
    <row r="727" spans="1:2" x14ac:dyDescent="0.3">
      <c r="A727" s="44" t="s">
        <v>2029</v>
      </c>
      <c r="B727">
        <v>1</v>
      </c>
    </row>
    <row r="728" spans="1:2" x14ac:dyDescent="0.3">
      <c r="A728" s="44" t="s">
        <v>4458</v>
      </c>
      <c r="B728">
        <v>1</v>
      </c>
    </row>
    <row r="729" spans="1:2" x14ac:dyDescent="0.3">
      <c r="A729" s="44" t="s">
        <v>3239</v>
      </c>
      <c r="B729">
        <v>1</v>
      </c>
    </row>
    <row r="730" spans="1:2" x14ac:dyDescent="0.3">
      <c r="A730" s="44" t="s">
        <v>3243</v>
      </c>
      <c r="B730">
        <v>1</v>
      </c>
    </row>
    <row r="731" spans="1:2" x14ac:dyDescent="0.3">
      <c r="A731" s="44" t="s">
        <v>3246</v>
      </c>
      <c r="B731">
        <v>1</v>
      </c>
    </row>
    <row r="732" spans="1:2" x14ac:dyDescent="0.3">
      <c r="A732" s="44" t="s">
        <v>3249</v>
      </c>
      <c r="B732">
        <v>1</v>
      </c>
    </row>
    <row r="733" spans="1:2" x14ac:dyDescent="0.3">
      <c r="A733" s="44" t="s">
        <v>3252</v>
      </c>
      <c r="B733">
        <v>1</v>
      </c>
    </row>
    <row r="734" spans="1:2" x14ac:dyDescent="0.3">
      <c r="A734" s="44" t="s">
        <v>3255</v>
      </c>
      <c r="B734">
        <v>1</v>
      </c>
    </row>
    <row r="735" spans="1:2" x14ac:dyDescent="0.3">
      <c r="A735" s="44" t="s">
        <v>3258</v>
      </c>
      <c r="B735">
        <v>1</v>
      </c>
    </row>
    <row r="736" spans="1:2" x14ac:dyDescent="0.3">
      <c r="A736" s="44" t="s">
        <v>3261</v>
      </c>
      <c r="B736">
        <v>1</v>
      </c>
    </row>
    <row r="737" spans="1:2" x14ac:dyDescent="0.3">
      <c r="A737" s="44" t="s">
        <v>3264</v>
      </c>
      <c r="B737">
        <v>1</v>
      </c>
    </row>
    <row r="738" spans="1:2" x14ac:dyDescent="0.3">
      <c r="A738" s="44" t="s">
        <v>3267</v>
      </c>
      <c r="B738">
        <v>1</v>
      </c>
    </row>
    <row r="739" spans="1:2" x14ac:dyDescent="0.3">
      <c r="A739" s="44" t="s">
        <v>1238</v>
      </c>
      <c r="B739">
        <v>1</v>
      </c>
    </row>
    <row r="740" spans="1:2" x14ac:dyDescent="0.3">
      <c r="A740" s="44" t="s">
        <v>3821</v>
      </c>
      <c r="B740">
        <v>1</v>
      </c>
    </row>
    <row r="741" spans="1:2" x14ac:dyDescent="0.3">
      <c r="A741" s="44" t="s">
        <v>1591</v>
      </c>
      <c r="B741">
        <v>1</v>
      </c>
    </row>
    <row r="742" spans="1:2" x14ac:dyDescent="0.3">
      <c r="A742" s="44" t="s">
        <v>328</v>
      </c>
      <c r="B742">
        <v>1</v>
      </c>
    </row>
    <row r="743" spans="1:2" x14ac:dyDescent="0.3">
      <c r="A743" s="44" t="s">
        <v>671</v>
      </c>
      <c r="B743">
        <v>1</v>
      </c>
    </row>
    <row r="744" spans="1:2" x14ac:dyDescent="0.3">
      <c r="A744" s="44" t="s">
        <v>309</v>
      </c>
      <c r="B744">
        <v>2</v>
      </c>
    </row>
    <row r="745" spans="1:2" x14ac:dyDescent="0.3">
      <c r="A745" s="44" t="s">
        <v>2510</v>
      </c>
      <c r="B745">
        <v>3</v>
      </c>
    </row>
    <row r="746" spans="1:2" x14ac:dyDescent="0.3">
      <c r="A746" s="44" t="s">
        <v>1687</v>
      </c>
      <c r="B746">
        <v>1</v>
      </c>
    </row>
    <row r="747" spans="1:2" x14ac:dyDescent="0.3">
      <c r="A747" s="44" t="s">
        <v>4395</v>
      </c>
      <c r="B747">
        <v>1</v>
      </c>
    </row>
    <row r="748" spans="1:2" x14ac:dyDescent="0.3">
      <c r="A748" s="44" t="s">
        <v>2142</v>
      </c>
      <c r="B748">
        <v>1</v>
      </c>
    </row>
    <row r="749" spans="1:2" x14ac:dyDescent="0.3">
      <c r="A749" s="44" t="s">
        <v>258</v>
      </c>
      <c r="B749">
        <v>2</v>
      </c>
    </row>
    <row r="750" spans="1:2" x14ac:dyDescent="0.3">
      <c r="A750" s="44" t="s">
        <v>652</v>
      </c>
      <c r="B750">
        <v>1</v>
      </c>
    </row>
    <row r="751" spans="1:2" x14ac:dyDescent="0.3">
      <c r="A751" s="44" t="s">
        <v>4385</v>
      </c>
      <c r="B751">
        <v>1</v>
      </c>
    </row>
    <row r="752" spans="1:2" x14ac:dyDescent="0.3">
      <c r="A752" s="44" t="s">
        <v>2982</v>
      </c>
      <c r="B752">
        <v>2</v>
      </c>
    </row>
    <row r="753" spans="1:2" x14ac:dyDescent="0.3">
      <c r="A753" s="44" t="s">
        <v>3312</v>
      </c>
      <c r="B753">
        <v>1</v>
      </c>
    </row>
    <row r="754" spans="1:2" x14ac:dyDescent="0.3">
      <c r="A754" s="44" t="s">
        <v>1538</v>
      </c>
      <c r="B754">
        <v>5</v>
      </c>
    </row>
    <row r="755" spans="1:2" x14ac:dyDescent="0.3">
      <c r="A755" s="44" t="s">
        <v>4047</v>
      </c>
      <c r="B755">
        <v>2</v>
      </c>
    </row>
    <row r="756" spans="1:2" x14ac:dyDescent="0.3">
      <c r="A756" s="44" t="s">
        <v>1675</v>
      </c>
      <c r="B756">
        <v>1</v>
      </c>
    </row>
    <row r="757" spans="1:2" x14ac:dyDescent="0.3">
      <c r="A757" s="44" t="s">
        <v>3616</v>
      </c>
      <c r="B757">
        <v>1</v>
      </c>
    </row>
    <row r="758" spans="1:2" x14ac:dyDescent="0.3">
      <c r="A758" s="44" t="s">
        <v>3590</v>
      </c>
      <c r="B758">
        <v>1</v>
      </c>
    </row>
    <row r="759" spans="1:2" x14ac:dyDescent="0.3">
      <c r="A759" s="44" t="s">
        <v>2070</v>
      </c>
      <c r="B759">
        <v>1</v>
      </c>
    </row>
    <row r="760" spans="1:2" x14ac:dyDescent="0.3">
      <c r="A760" s="44" t="s">
        <v>677</v>
      </c>
      <c r="B760">
        <v>1</v>
      </c>
    </row>
    <row r="761" spans="1:2" x14ac:dyDescent="0.3">
      <c r="A761" s="44" t="s">
        <v>2365</v>
      </c>
      <c r="B761">
        <v>1</v>
      </c>
    </row>
    <row r="762" spans="1:2" x14ac:dyDescent="0.3">
      <c r="A762" s="44" t="s">
        <v>3390</v>
      </c>
      <c r="B762">
        <v>1</v>
      </c>
    </row>
    <row r="763" spans="1:2" x14ac:dyDescent="0.3">
      <c r="A763" s="44" t="s">
        <v>69</v>
      </c>
      <c r="B763">
        <v>2</v>
      </c>
    </row>
    <row r="764" spans="1:2" x14ac:dyDescent="0.3">
      <c r="A764" s="44" t="s">
        <v>903</v>
      </c>
      <c r="B764">
        <v>1</v>
      </c>
    </row>
    <row r="765" spans="1:2" x14ac:dyDescent="0.3">
      <c r="A765" s="44" t="s">
        <v>393</v>
      </c>
      <c r="B765">
        <v>1</v>
      </c>
    </row>
    <row r="766" spans="1:2" x14ac:dyDescent="0.3">
      <c r="A766" s="44" t="s">
        <v>2704</v>
      </c>
      <c r="B766">
        <v>1</v>
      </c>
    </row>
    <row r="767" spans="1:2" x14ac:dyDescent="0.3">
      <c r="A767" s="44" t="s">
        <v>1380</v>
      </c>
      <c r="B767">
        <v>1</v>
      </c>
    </row>
    <row r="768" spans="1:2" x14ac:dyDescent="0.3">
      <c r="A768" s="44" t="s">
        <v>1106</v>
      </c>
      <c r="B768">
        <v>1</v>
      </c>
    </row>
    <row r="769" spans="1:2" x14ac:dyDescent="0.3">
      <c r="A769" s="44" t="s">
        <v>1064</v>
      </c>
      <c r="B769">
        <v>5</v>
      </c>
    </row>
    <row r="770" spans="1:2" x14ac:dyDescent="0.3">
      <c r="A770" s="44" t="s">
        <v>423</v>
      </c>
      <c r="B770">
        <v>1</v>
      </c>
    </row>
    <row r="771" spans="1:2" x14ac:dyDescent="0.3">
      <c r="A771" s="44" t="s">
        <v>1861</v>
      </c>
      <c r="B771">
        <v>1</v>
      </c>
    </row>
    <row r="772" spans="1:2" x14ac:dyDescent="0.3">
      <c r="A772" s="44" t="s">
        <v>2779</v>
      </c>
      <c r="B772">
        <v>1</v>
      </c>
    </row>
    <row r="773" spans="1:2" x14ac:dyDescent="0.3">
      <c r="A773" s="44" t="s">
        <v>4258</v>
      </c>
      <c r="B773">
        <v>1</v>
      </c>
    </row>
    <row r="774" spans="1:2" x14ac:dyDescent="0.3">
      <c r="A774" s="44" t="s">
        <v>4164</v>
      </c>
      <c r="B774">
        <v>1</v>
      </c>
    </row>
    <row r="775" spans="1:2" x14ac:dyDescent="0.3">
      <c r="A775" s="44" t="s">
        <v>974</v>
      </c>
      <c r="B775">
        <v>1</v>
      </c>
    </row>
    <row r="776" spans="1:2" x14ac:dyDescent="0.3">
      <c r="A776" s="44" t="s">
        <v>4137</v>
      </c>
      <c r="B776">
        <v>2</v>
      </c>
    </row>
    <row r="777" spans="1:2" x14ac:dyDescent="0.3">
      <c r="A777" s="44" t="s">
        <v>1983</v>
      </c>
      <c r="B777">
        <v>1</v>
      </c>
    </row>
    <row r="778" spans="1:2" x14ac:dyDescent="0.3">
      <c r="A778" s="44" t="s">
        <v>1228</v>
      </c>
      <c r="B778">
        <v>1</v>
      </c>
    </row>
    <row r="779" spans="1:2" x14ac:dyDescent="0.3">
      <c r="A779" s="44" t="s">
        <v>1026</v>
      </c>
      <c r="B779">
        <v>6</v>
      </c>
    </row>
    <row r="780" spans="1:2" x14ac:dyDescent="0.3">
      <c r="A780" s="44" t="s">
        <v>3886</v>
      </c>
      <c r="B780">
        <v>1</v>
      </c>
    </row>
    <row r="781" spans="1:2" x14ac:dyDescent="0.3">
      <c r="A781" s="44" t="s">
        <v>77</v>
      </c>
      <c r="B781">
        <v>1</v>
      </c>
    </row>
    <row r="782" spans="1:2" x14ac:dyDescent="0.3">
      <c r="A782" s="44" t="s">
        <v>4440</v>
      </c>
      <c r="B782">
        <v>1</v>
      </c>
    </row>
    <row r="783" spans="1:2" x14ac:dyDescent="0.3">
      <c r="A783" s="44" t="s">
        <v>2730</v>
      </c>
      <c r="B783">
        <v>1</v>
      </c>
    </row>
    <row r="784" spans="1:2" x14ac:dyDescent="0.3">
      <c r="A784" s="44" t="s">
        <v>2630</v>
      </c>
      <c r="B784">
        <v>1</v>
      </c>
    </row>
    <row r="785" spans="1:2" x14ac:dyDescent="0.3">
      <c r="A785" s="44" t="s">
        <v>465</v>
      </c>
      <c r="B785">
        <v>1</v>
      </c>
    </row>
    <row r="786" spans="1:2" x14ac:dyDescent="0.3">
      <c r="A786" s="44" t="s">
        <v>451</v>
      </c>
      <c r="B786">
        <v>1</v>
      </c>
    </row>
    <row r="787" spans="1:2" x14ac:dyDescent="0.3">
      <c r="A787" s="44" t="s">
        <v>2490</v>
      </c>
      <c r="B787">
        <v>1</v>
      </c>
    </row>
    <row r="788" spans="1:2" x14ac:dyDescent="0.3">
      <c r="A788" s="44" t="s">
        <v>2898</v>
      </c>
      <c r="B788">
        <v>1</v>
      </c>
    </row>
    <row r="789" spans="1:2" x14ac:dyDescent="0.3">
      <c r="A789" s="44" t="s">
        <v>2914</v>
      </c>
      <c r="B789">
        <v>2</v>
      </c>
    </row>
    <row r="790" spans="1:2" x14ac:dyDescent="0.3">
      <c r="A790" s="44" t="s">
        <v>3739</v>
      </c>
      <c r="B790">
        <v>1</v>
      </c>
    </row>
    <row r="791" spans="1:2" x14ac:dyDescent="0.3">
      <c r="A791" s="44" t="s">
        <v>800</v>
      </c>
      <c r="B791">
        <v>5</v>
      </c>
    </row>
    <row r="792" spans="1:2" x14ac:dyDescent="0.3">
      <c r="A792" s="44" t="s">
        <v>4130</v>
      </c>
      <c r="B792">
        <v>1</v>
      </c>
    </row>
    <row r="793" spans="1:2" x14ac:dyDescent="0.3">
      <c r="A793" s="44" t="s">
        <v>3853</v>
      </c>
      <c r="B793">
        <v>4</v>
      </c>
    </row>
    <row r="794" spans="1:2" x14ac:dyDescent="0.3">
      <c r="A794" s="44" t="s">
        <v>4306</v>
      </c>
      <c r="B794">
        <v>2</v>
      </c>
    </row>
    <row r="795" spans="1:2" x14ac:dyDescent="0.3">
      <c r="A795" s="44" t="s">
        <v>4308</v>
      </c>
      <c r="B795">
        <v>2</v>
      </c>
    </row>
    <row r="796" spans="1:2" x14ac:dyDescent="0.3">
      <c r="A796" s="44" t="s">
        <v>4310</v>
      </c>
      <c r="B796">
        <v>2</v>
      </c>
    </row>
    <row r="797" spans="1:2" x14ac:dyDescent="0.3">
      <c r="A797" s="44" t="s">
        <v>4312</v>
      </c>
      <c r="B797">
        <v>2</v>
      </c>
    </row>
    <row r="798" spans="1:2" x14ac:dyDescent="0.3">
      <c r="A798" s="44" t="s">
        <v>4337</v>
      </c>
      <c r="B798">
        <v>1</v>
      </c>
    </row>
    <row r="799" spans="1:2" x14ac:dyDescent="0.3">
      <c r="A799" s="44" t="s">
        <v>715</v>
      </c>
      <c r="B799">
        <v>2</v>
      </c>
    </row>
    <row r="800" spans="1:2" x14ac:dyDescent="0.3">
      <c r="A800" s="44" t="s">
        <v>3889</v>
      </c>
      <c r="B800">
        <v>3</v>
      </c>
    </row>
    <row r="801" spans="1:2" x14ac:dyDescent="0.3">
      <c r="A801" s="44" t="s">
        <v>3996</v>
      </c>
      <c r="B801">
        <v>13</v>
      </c>
    </row>
    <row r="802" spans="1:2" x14ac:dyDescent="0.3">
      <c r="A802" s="44" t="s">
        <v>4304</v>
      </c>
      <c r="B802">
        <v>11</v>
      </c>
    </row>
    <row r="803" spans="1:2" x14ac:dyDescent="0.3">
      <c r="A803" s="44" t="s">
        <v>3328</v>
      </c>
      <c r="B803">
        <v>1</v>
      </c>
    </row>
    <row r="804" spans="1:2" x14ac:dyDescent="0.3">
      <c r="A804" s="44" t="s">
        <v>74</v>
      </c>
      <c r="B804">
        <v>1</v>
      </c>
    </row>
    <row r="805" spans="1:2" x14ac:dyDescent="0.3">
      <c r="A805" s="44" t="s">
        <v>705</v>
      </c>
      <c r="B805">
        <v>1</v>
      </c>
    </row>
    <row r="806" spans="1:2" x14ac:dyDescent="0.3">
      <c r="A806" s="44" t="s">
        <v>4268</v>
      </c>
      <c r="B806">
        <v>2</v>
      </c>
    </row>
    <row r="807" spans="1:2" x14ac:dyDescent="0.3">
      <c r="A807" s="44" t="s">
        <v>1402</v>
      </c>
      <c r="B807">
        <v>1</v>
      </c>
    </row>
    <row r="808" spans="1:2" x14ac:dyDescent="0.3">
      <c r="A808" s="44" t="s">
        <v>1951</v>
      </c>
      <c r="B808">
        <v>1</v>
      </c>
    </row>
    <row r="809" spans="1:2" x14ac:dyDescent="0.3">
      <c r="A809" s="44" t="s">
        <v>3847</v>
      </c>
      <c r="B809">
        <v>1</v>
      </c>
    </row>
    <row r="810" spans="1:2" x14ac:dyDescent="0.3">
      <c r="A810" s="44" t="s">
        <v>3851</v>
      </c>
      <c r="B810">
        <v>1</v>
      </c>
    </row>
    <row r="811" spans="1:2" x14ac:dyDescent="0.3">
      <c r="A811" s="44" t="s">
        <v>90</v>
      </c>
      <c r="B811">
        <v>1</v>
      </c>
    </row>
    <row r="812" spans="1:2" x14ac:dyDescent="0.3">
      <c r="A812" s="44" t="s">
        <v>94</v>
      </c>
      <c r="B812">
        <v>1</v>
      </c>
    </row>
    <row r="813" spans="1:2" x14ac:dyDescent="0.3">
      <c r="A813" s="44" t="s">
        <v>4218</v>
      </c>
      <c r="B813">
        <v>1</v>
      </c>
    </row>
    <row r="814" spans="1:2" x14ac:dyDescent="0.3">
      <c r="A814" s="44" t="s">
        <v>3604</v>
      </c>
      <c r="B814">
        <v>1</v>
      </c>
    </row>
    <row r="815" spans="1:2" x14ac:dyDescent="0.3">
      <c r="A815" s="44" t="s">
        <v>4220</v>
      </c>
      <c r="B815">
        <v>1</v>
      </c>
    </row>
    <row r="816" spans="1:2" x14ac:dyDescent="0.3">
      <c r="A816" s="44" t="s">
        <v>808</v>
      </c>
      <c r="B816">
        <v>1</v>
      </c>
    </row>
    <row r="817" spans="1:2" x14ac:dyDescent="0.3">
      <c r="A817" s="44" t="s">
        <v>210</v>
      </c>
      <c r="B817">
        <v>1</v>
      </c>
    </row>
    <row r="818" spans="1:2" x14ac:dyDescent="0.3">
      <c r="A818" s="44" t="s">
        <v>805</v>
      </c>
      <c r="B818">
        <v>1</v>
      </c>
    </row>
    <row r="819" spans="1:2" x14ac:dyDescent="0.3">
      <c r="A819" s="44" t="s">
        <v>1109</v>
      </c>
      <c r="B819">
        <v>1</v>
      </c>
    </row>
    <row r="820" spans="1:2" x14ac:dyDescent="0.3">
      <c r="A820" s="44" t="s">
        <v>3511</v>
      </c>
      <c r="B820">
        <v>1</v>
      </c>
    </row>
    <row r="821" spans="1:2" x14ac:dyDescent="0.3">
      <c r="A821" s="44" t="s">
        <v>4031</v>
      </c>
      <c r="B821">
        <v>1</v>
      </c>
    </row>
    <row r="822" spans="1:2" x14ac:dyDescent="0.3">
      <c r="A822" s="44" t="s">
        <v>3515</v>
      </c>
      <c r="B822">
        <v>2</v>
      </c>
    </row>
    <row r="823" spans="1:2" x14ac:dyDescent="0.3">
      <c r="A823" s="44" t="s">
        <v>518</v>
      </c>
      <c r="B823">
        <v>1</v>
      </c>
    </row>
    <row r="824" spans="1:2" x14ac:dyDescent="0.3">
      <c r="A824" s="44" t="s">
        <v>2457</v>
      </c>
      <c r="B824">
        <v>1</v>
      </c>
    </row>
    <row r="825" spans="1:2" x14ac:dyDescent="0.3">
      <c r="A825" s="44" t="s">
        <v>2418</v>
      </c>
      <c r="B825">
        <v>1</v>
      </c>
    </row>
    <row r="826" spans="1:2" x14ac:dyDescent="0.3">
      <c r="A826" s="44" t="s">
        <v>2814</v>
      </c>
      <c r="B826">
        <v>2</v>
      </c>
    </row>
    <row r="827" spans="1:2" x14ac:dyDescent="0.3">
      <c r="A827" s="44" t="s">
        <v>1691</v>
      </c>
      <c r="B827">
        <v>1</v>
      </c>
    </row>
    <row r="828" spans="1:2" x14ac:dyDescent="0.3">
      <c r="A828" s="44" t="s">
        <v>1779</v>
      </c>
      <c r="B828">
        <v>1</v>
      </c>
    </row>
    <row r="829" spans="1:2" x14ac:dyDescent="0.3">
      <c r="A829" s="44" t="s">
        <v>2138</v>
      </c>
      <c r="B829">
        <v>1</v>
      </c>
    </row>
    <row r="830" spans="1:2" x14ac:dyDescent="0.3">
      <c r="A830" s="44" t="s">
        <v>2444</v>
      </c>
      <c r="B830">
        <v>7</v>
      </c>
    </row>
    <row r="831" spans="1:2" x14ac:dyDescent="0.3">
      <c r="A831" s="44" t="s">
        <v>1882</v>
      </c>
      <c r="B831">
        <v>4</v>
      </c>
    </row>
    <row r="832" spans="1:2" x14ac:dyDescent="0.3">
      <c r="A832" s="44" t="s">
        <v>2650</v>
      </c>
      <c r="B832">
        <v>1</v>
      </c>
    </row>
    <row r="833" spans="1:2" x14ac:dyDescent="0.3">
      <c r="A833" s="44" t="s">
        <v>1173</v>
      </c>
      <c r="B833">
        <v>1</v>
      </c>
    </row>
    <row r="834" spans="1:2" x14ac:dyDescent="0.3">
      <c r="A834" s="44" t="s">
        <v>3349</v>
      </c>
      <c r="B834">
        <v>1</v>
      </c>
    </row>
    <row r="835" spans="1:2" x14ac:dyDescent="0.3">
      <c r="A835" s="44" t="s">
        <v>4117</v>
      </c>
      <c r="B835">
        <v>1</v>
      </c>
    </row>
    <row r="836" spans="1:2" x14ac:dyDescent="0.3">
      <c r="A836" s="44" t="s">
        <v>1843</v>
      </c>
      <c r="B836">
        <v>3</v>
      </c>
    </row>
    <row r="837" spans="1:2" x14ac:dyDescent="0.3">
      <c r="A837" s="44" t="s">
        <v>1782</v>
      </c>
      <c r="B837">
        <v>1</v>
      </c>
    </row>
    <row r="838" spans="1:2" x14ac:dyDescent="0.3">
      <c r="A838" s="44" t="s">
        <v>4363</v>
      </c>
      <c r="B838">
        <v>1</v>
      </c>
    </row>
    <row r="839" spans="1:2" x14ac:dyDescent="0.3">
      <c r="A839" s="44" t="s">
        <v>4115</v>
      </c>
      <c r="B839">
        <v>1</v>
      </c>
    </row>
    <row r="840" spans="1:2" x14ac:dyDescent="0.3">
      <c r="A840" s="44" t="s">
        <v>1477</v>
      </c>
      <c r="B840">
        <v>1</v>
      </c>
    </row>
    <row r="841" spans="1:2" x14ac:dyDescent="0.3">
      <c r="A841" s="44" t="s">
        <v>3651</v>
      </c>
      <c r="B841">
        <v>1</v>
      </c>
    </row>
    <row r="842" spans="1:2" x14ac:dyDescent="0.3">
      <c r="A842" s="44" t="s">
        <v>3838</v>
      </c>
      <c r="B842">
        <v>1</v>
      </c>
    </row>
    <row r="843" spans="1:2" x14ac:dyDescent="0.3">
      <c r="A843" s="44" t="s">
        <v>3460</v>
      </c>
      <c r="B843">
        <v>1</v>
      </c>
    </row>
    <row r="844" spans="1:2" x14ac:dyDescent="0.3">
      <c r="A844" s="44" t="s">
        <v>3381</v>
      </c>
      <c r="B844">
        <v>1</v>
      </c>
    </row>
    <row r="845" spans="1:2" x14ac:dyDescent="0.3">
      <c r="A845" s="44" t="s">
        <v>955</v>
      </c>
      <c r="B845">
        <v>1</v>
      </c>
    </row>
    <row r="846" spans="1:2" x14ac:dyDescent="0.3">
      <c r="A846" s="44" t="s">
        <v>1455</v>
      </c>
      <c r="B846">
        <v>1</v>
      </c>
    </row>
    <row r="847" spans="1:2" x14ac:dyDescent="0.3">
      <c r="A847" s="44" t="s">
        <v>1649</v>
      </c>
      <c r="B847">
        <v>1</v>
      </c>
    </row>
    <row r="848" spans="1:2" x14ac:dyDescent="0.3">
      <c r="A848" s="44" t="s">
        <v>2169</v>
      </c>
      <c r="B848">
        <v>1</v>
      </c>
    </row>
    <row r="849" spans="1:2" x14ac:dyDescent="0.3">
      <c r="A849" s="44" t="s">
        <v>127</v>
      </c>
      <c r="B849">
        <v>1</v>
      </c>
    </row>
    <row r="850" spans="1:2" x14ac:dyDescent="0.3">
      <c r="A850" s="44" t="s">
        <v>471</v>
      </c>
      <c r="B850">
        <v>1</v>
      </c>
    </row>
    <row r="851" spans="1:2" x14ac:dyDescent="0.3">
      <c r="A851" s="44" t="s">
        <v>639</v>
      </c>
      <c r="B851">
        <v>3</v>
      </c>
    </row>
    <row r="852" spans="1:2" x14ac:dyDescent="0.3">
      <c r="A852" s="44" t="s">
        <v>3106</v>
      </c>
      <c r="B852">
        <v>1</v>
      </c>
    </row>
    <row r="853" spans="1:2" x14ac:dyDescent="0.3">
      <c r="A853" s="44" t="s">
        <v>632</v>
      </c>
      <c r="B853">
        <v>3</v>
      </c>
    </row>
    <row r="854" spans="1:2" x14ac:dyDescent="0.3">
      <c r="A854" s="44" t="s">
        <v>2392</v>
      </c>
      <c r="B854">
        <v>1</v>
      </c>
    </row>
    <row r="855" spans="1:2" x14ac:dyDescent="0.3">
      <c r="A855" s="44" t="s">
        <v>1494</v>
      </c>
      <c r="B855">
        <v>1</v>
      </c>
    </row>
    <row r="856" spans="1:2" x14ac:dyDescent="0.3">
      <c r="A856" s="44" t="s">
        <v>81</v>
      </c>
      <c r="B856">
        <v>1</v>
      </c>
    </row>
    <row r="857" spans="1:2" x14ac:dyDescent="0.3">
      <c r="A857" s="44" t="s">
        <v>63</v>
      </c>
      <c r="B857">
        <v>1</v>
      </c>
    </row>
    <row r="858" spans="1:2" x14ac:dyDescent="0.3">
      <c r="A858" s="44" t="s">
        <v>171</v>
      </c>
      <c r="B858">
        <v>1</v>
      </c>
    </row>
    <row r="859" spans="1:2" x14ac:dyDescent="0.3">
      <c r="A859" s="44" t="s">
        <v>36</v>
      </c>
      <c r="B859">
        <v>1</v>
      </c>
    </row>
    <row r="860" spans="1:2" x14ac:dyDescent="0.3">
      <c r="A860" s="44" t="s">
        <v>33</v>
      </c>
      <c r="B860">
        <v>1</v>
      </c>
    </row>
    <row r="861" spans="1:2" x14ac:dyDescent="0.3">
      <c r="A861" s="44" t="s">
        <v>2642</v>
      </c>
      <c r="B861">
        <v>1</v>
      </c>
    </row>
    <row r="862" spans="1:2" x14ac:dyDescent="0.3">
      <c r="A862" s="44" t="s">
        <v>3833</v>
      </c>
      <c r="B862">
        <v>1</v>
      </c>
    </row>
    <row r="863" spans="1:2" x14ac:dyDescent="0.3">
      <c r="A863" s="44" t="s">
        <v>700</v>
      </c>
      <c r="B863">
        <v>3</v>
      </c>
    </row>
    <row r="864" spans="1:2" x14ac:dyDescent="0.3">
      <c r="A864" s="44" t="s">
        <v>2828</v>
      </c>
      <c r="B864">
        <v>1</v>
      </c>
    </row>
    <row r="865" spans="1:2" x14ac:dyDescent="0.3">
      <c r="A865" s="44" t="s">
        <v>3155</v>
      </c>
      <c r="B865">
        <v>1</v>
      </c>
    </row>
    <row r="866" spans="1:2" x14ac:dyDescent="0.3">
      <c r="A866" s="44" t="s">
        <v>1876</v>
      </c>
      <c r="B866">
        <v>1</v>
      </c>
    </row>
    <row r="867" spans="1:2" x14ac:dyDescent="0.3">
      <c r="A867" s="44" t="s">
        <v>1184</v>
      </c>
      <c r="B867">
        <v>1</v>
      </c>
    </row>
    <row r="868" spans="1:2" x14ac:dyDescent="0.3">
      <c r="A868" s="44" t="s">
        <v>1568</v>
      </c>
      <c r="B868">
        <v>2</v>
      </c>
    </row>
    <row r="869" spans="1:2" x14ac:dyDescent="0.3">
      <c r="A869" s="44" t="s">
        <v>997</v>
      </c>
      <c r="B869">
        <v>1</v>
      </c>
    </row>
    <row r="870" spans="1:2" x14ac:dyDescent="0.3">
      <c r="A870" s="44" t="s">
        <v>1502</v>
      </c>
      <c r="B870">
        <v>1</v>
      </c>
    </row>
    <row r="871" spans="1:2" x14ac:dyDescent="0.3">
      <c r="A871" s="44" t="s">
        <v>2978</v>
      </c>
      <c r="B871">
        <v>1</v>
      </c>
    </row>
    <row r="872" spans="1:2" x14ac:dyDescent="0.3">
      <c r="A872" s="44" t="s">
        <v>4374</v>
      </c>
      <c r="B872">
        <v>1</v>
      </c>
    </row>
    <row r="873" spans="1:2" x14ac:dyDescent="0.3">
      <c r="A873" s="44" t="s">
        <v>3354</v>
      </c>
      <c r="B873">
        <v>1</v>
      </c>
    </row>
    <row r="874" spans="1:2" x14ac:dyDescent="0.3">
      <c r="A874" s="44" t="s">
        <v>1833</v>
      </c>
      <c r="B874">
        <v>1</v>
      </c>
    </row>
    <row r="875" spans="1:2" x14ac:dyDescent="0.3">
      <c r="A875" s="44" t="s">
        <v>1612</v>
      </c>
      <c r="B875">
        <v>1</v>
      </c>
    </row>
    <row r="876" spans="1:2" x14ac:dyDescent="0.3">
      <c r="A876" s="44" t="s">
        <v>1597</v>
      </c>
      <c r="B876">
        <v>1</v>
      </c>
    </row>
    <row r="877" spans="1:2" x14ac:dyDescent="0.3">
      <c r="A877" s="44" t="s">
        <v>1905</v>
      </c>
      <c r="B877">
        <v>1</v>
      </c>
    </row>
    <row r="878" spans="1:2" x14ac:dyDescent="0.3">
      <c r="A878" s="44" t="s">
        <v>2627</v>
      </c>
      <c r="B878">
        <v>1</v>
      </c>
    </row>
    <row r="879" spans="1:2" x14ac:dyDescent="0.3">
      <c r="A879" s="44" t="s">
        <v>3080</v>
      </c>
      <c r="B879">
        <v>1</v>
      </c>
    </row>
    <row r="880" spans="1:2" x14ac:dyDescent="0.3">
      <c r="A880" s="44" t="s">
        <v>3789</v>
      </c>
      <c r="B880">
        <v>1</v>
      </c>
    </row>
    <row r="881" spans="1:2" x14ac:dyDescent="0.3">
      <c r="A881" s="44" t="s">
        <v>4327</v>
      </c>
      <c r="B881">
        <v>3</v>
      </c>
    </row>
    <row r="882" spans="1:2" x14ac:dyDescent="0.3">
      <c r="A882" s="44" t="s">
        <v>3774</v>
      </c>
      <c r="B882">
        <v>1</v>
      </c>
    </row>
    <row r="883" spans="1:2" x14ac:dyDescent="0.3">
      <c r="A883" s="44" t="s">
        <v>2370</v>
      </c>
      <c r="B883">
        <v>1</v>
      </c>
    </row>
    <row r="884" spans="1:2" x14ac:dyDescent="0.3">
      <c r="A884" s="44" t="s">
        <v>1765</v>
      </c>
      <c r="B884">
        <v>1</v>
      </c>
    </row>
    <row r="885" spans="1:2" x14ac:dyDescent="0.3">
      <c r="A885" s="44" t="s">
        <v>3916</v>
      </c>
      <c r="B885">
        <v>1</v>
      </c>
    </row>
    <row r="886" spans="1:2" x14ac:dyDescent="0.3">
      <c r="A886" s="44" t="s">
        <v>1615</v>
      </c>
      <c r="B886">
        <v>4</v>
      </c>
    </row>
    <row r="887" spans="1:2" x14ac:dyDescent="0.3">
      <c r="A887" s="44" t="s">
        <v>1445</v>
      </c>
      <c r="B887">
        <v>5</v>
      </c>
    </row>
    <row r="888" spans="1:2" x14ac:dyDescent="0.3">
      <c r="A888" s="44" t="s">
        <v>3960</v>
      </c>
      <c r="B888">
        <v>2</v>
      </c>
    </row>
    <row r="889" spans="1:2" x14ac:dyDescent="0.3">
      <c r="A889" s="44" t="s">
        <v>2653</v>
      </c>
      <c r="B889">
        <v>3</v>
      </c>
    </row>
    <row r="890" spans="1:2" x14ac:dyDescent="0.3">
      <c r="A890" s="44" t="s">
        <v>3323</v>
      </c>
      <c r="B890">
        <v>1</v>
      </c>
    </row>
    <row r="891" spans="1:2" x14ac:dyDescent="0.3">
      <c r="A891" s="44" t="s">
        <v>3753</v>
      </c>
      <c r="B891">
        <v>3</v>
      </c>
    </row>
    <row r="892" spans="1:2" x14ac:dyDescent="0.3">
      <c r="A892" s="44" t="s">
        <v>489</v>
      </c>
      <c r="B892">
        <v>17</v>
      </c>
    </row>
    <row r="893" spans="1:2" x14ac:dyDescent="0.3">
      <c r="A893" s="44" t="s">
        <v>1850</v>
      </c>
      <c r="B893">
        <v>1</v>
      </c>
    </row>
    <row r="894" spans="1:2" x14ac:dyDescent="0.3">
      <c r="A894" s="44" t="s">
        <v>2354</v>
      </c>
      <c r="B894">
        <v>2</v>
      </c>
    </row>
    <row r="895" spans="1:2" x14ac:dyDescent="0.3">
      <c r="A895" s="44" t="s">
        <v>4389</v>
      </c>
      <c r="B895">
        <v>1</v>
      </c>
    </row>
    <row r="896" spans="1:2" x14ac:dyDescent="0.3">
      <c r="A896" s="44" t="s">
        <v>936</v>
      </c>
      <c r="B896">
        <v>1</v>
      </c>
    </row>
    <row r="897" spans="1:2" x14ac:dyDescent="0.3">
      <c r="A897" s="44" t="s">
        <v>195</v>
      </c>
      <c r="B897">
        <v>7</v>
      </c>
    </row>
    <row r="898" spans="1:2" x14ac:dyDescent="0.3">
      <c r="A898" s="44" t="s">
        <v>2581</v>
      </c>
      <c r="B898">
        <v>1</v>
      </c>
    </row>
    <row r="899" spans="1:2" x14ac:dyDescent="0.3">
      <c r="A899" s="44" t="s">
        <v>3988</v>
      </c>
      <c r="B899">
        <v>1</v>
      </c>
    </row>
    <row r="900" spans="1:2" x14ac:dyDescent="0.3">
      <c r="A900" s="44" t="s">
        <v>164</v>
      </c>
      <c r="B900">
        <v>1</v>
      </c>
    </row>
    <row r="901" spans="1:2" x14ac:dyDescent="0.3">
      <c r="A901" s="44" t="s">
        <v>1205</v>
      </c>
      <c r="B901">
        <v>1</v>
      </c>
    </row>
    <row r="902" spans="1:2" x14ac:dyDescent="0.3">
      <c r="A902" s="44" t="s">
        <v>2922</v>
      </c>
      <c r="B902">
        <v>1</v>
      </c>
    </row>
    <row r="903" spans="1:2" x14ac:dyDescent="0.3">
      <c r="A903" s="44" t="s">
        <v>4097</v>
      </c>
      <c r="B903">
        <v>1</v>
      </c>
    </row>
    <row r="904" spans="1:2" x14ac:dyDescent="0.3">
      <c r="A904" s="44" t="s">
        <v>3867</v>
      </c>
      <c r="B904">
        <v>1</v>
      </c>
    </row>
    <row r="905" spans="1:2" x14ac:dyDescent="0.3">
      <c r="A905" s="44" t="s">
        <v>2346</v>
      </c>
      <c r="B905">
        <v>1</v>
      </c>
    </row>
    <row r="906" spans="1:2" x14ac:dyDescent="0.3">
      <c r="A906" s="44" t="s">
        <v>515</v>
      </c>
      <c r="B906">
        <v>1</v>
      </c>
    </row>
    <row r="907" spans="1:2" x14ac:dyDescent="0.3">
      <c r="A907" s="44" t="s">
        <v>851</v>
      </c>
      <c r="B907">
        <v>1</v>
      </c>
    </row>
    <row r="908" spans="1:2" x14ac:dyDescent="0.3">
      <c r="A908" s="44" t="s">
        <v>84</v>
      </c>
      <c r="B908">
        <v>1</v>
      </c>
    </row>
    <row r="909" spans="1:2" x14ac:dyDescent="0.3">
      <c r="A909" s="44" t="s">
        <v>1360</v>
      </c>
      <c r="B909">
        <v>1</v>
      </c>
    </row>
    <row r="910" spans="1:2" x14ac:dyDescent="0.3">
      <c r="A910" s="44" t="s">
        <v>1212</v>
      </c>
      <c r="B910">
        <v>1</v>
      </c>
    </row>
    <row r="911" spans="1:2" x14ac:dyDescent="0.3">
      <c r="A911" s="44" t="s">
        <v>563</v>
      </c>
      <c r="B911">
        <v>1</v>
      </c>
    </row>
    <row r="912" spans="1:2" x14ac:dyDescent="0.3">
      <c r="A912" s="44" t="s">
        <v>2544</v>
      </c>
      <c r="B912">
        <v>1</v>
      </c>
    </row>
    <row r="913" spans="1:2" x14ac:dyDescent="0.3">
      <c r="A913" s="44" t="s">
        <v>2549</v>
      </c>
      <c r="B913">
        <v>1</v>
      </c>
    </row>
    <row r="914" spans="1:2" x14ac:dyDescent="0.3">
      <c r="A914" s="44" t="s">
        <v>3103</v>
      </c>
      <c r="B914">
        <v>1</v>
      </c>
    </row>
    <row r="915" spans="1:2" x14ac:dyDescent="0.3">
      <c r="A915" s="44" t="s">
        <v>3100</v>
      </c>
      <c r="B915">
        <v>1</v>
      </c>
    </row>
    <row r="916" spans="1:2" x14ac:dyDescent="0.3">
      <c r="A916" s="44" t="s">
        <v>846</v>
      </c>
      <c r="B916">
        <v>1</v>
      </c>
    </row>
    <row r="917" spans="1:2" x14ac:dyDescent="0.3">
      <c r="A917" s="44" t="s">
        <v>2555</v>
      </c>
      <c r="B917">
        <v>1</v>
      </c>
    </row>
    <row r="918" spans="1:2" x14ac:dyDescent="0.3">
      <c r="A918" s="44" t="s">
        <v>512</v>
      </c>
      <c r="B918">
        <v>1</v>
      </c>
    </row>
    <row r="919" spans="1:2" x14ac:dyDescent="0.3">
      <c r="A919" s="44" t="s">
        <v>454</v>
      </c>
      <c r="B919">
        <v>1</v>
      </c>
    </row>
    <row r="920" spans="1:2" x14ac:dyDescent="0.3">
      <c r="A920" s="44" t="s">
        <v>1133</v>
      </c>
      <c r="B920">
        <v>1</v>
      </c>
    </row>
    <row r="921" spans="1:2" x14ac:dyDescent="0.3">
      <c r="A921" s="44" t="s">
        <v>1128</v>
      </c>
      <c r="B921">
        <v>1</v>
      </c>
    </row>
    <row r="922" spans="1:2" x14ac:dyDescent="0.3">
      <c r="A922" s="44" t="s">
        <v>3377</v>
      </c>
      <c r="B922">
        <v>1</v>
      </c>
    </row>
    <row r="923" spans="1:2" x14ac:dyDescent="0.3">
      <c r="A923" s="44" t="s">
        <v>915</v>
      </c>
      <c r="B923">
        <v>1</v>
      </c>
    </row>
    <row r="924" spans="1:2" x14ac:dyDescent="0.3">
      <c r="A924" s="44" t="s">
        <v>1287</v>
      </c>
      <c r="B924">
        <v>1</v>
      </c>
    </row>
    <row r="925" spans="1:2" x14ac:dyDescent="0.3">
      <c r="A925" s="44" t="s">
        <v>3176</v>
      </c>
      <c r="B925">
        <v>1</v>
      </c>
    </row>
    <row r="926" spans="1:2" x14ac:dyDescent="0.3">
      <c r="A926" s="44" t="s">
        <v>3085</v>
      </c>
      <c r="B926">
        <v>1</v>
      </c>
    </row>
    <row r="927" spans="1:2" x14ac:dyDescent="0.3">
      <c r="A927" s="44" t="s">
        <v>1224</v>
      </c>
      <c r="B927">
        <v>1</v>
      </c>
    </row>
    <row r="928" spans="1:2" x14ac:dyDescent="0.3">
      <c r="A928" s="44" t="s">
        <v>1557</v>
      </c>
      <c r="B928">
        <v>1</v>
      </c>
    </row>
    <row r="929" spans="1:2" x14ac:dyDescent="0.3">
      <c r="A929" s="44" t="s">
        <v>2709</v>
      </c>
      <c r="B929">
        <v>1</v>
      </c>
    </row>
    <row r="930" spans="1:2" x14ac:dyDescent="0.3">
      <c r="A930" s="44" t="s">
        <v>3966</v>
      </c>
      <c r="B930">
        <v>1</v>
      </c>
    </row>
    <row r="931" spans="1:2" x14ac:dyDescent="0.3">
      <c r="A931" s="44" t="s">
        <v>3368</v>
      </c>
      <c r="B931">
        <v>1</v>
      </c>
    </row>
    <row r="932" spans="1:2" x14ac:dyDescent="0.3">
      <c r="A932" s="44" t="s">
        <v>2337</v>
      </c>
      <c r="B932">
        <v>1</v>
      </c>
    </row>
    <row r="933" spans="1:2" x14ac:dyDescent="0.3">
      <c r="A933" s="44" t="s">
        <v>1274</v>
      </c>
      <c r="B933">
        <v>1</v>
      </c>
    </row>
    <row r="934" spans="1:2" x14ac:dyDescent="0.3">
      <c r="A934" s="44" t="s">
        <v>3344</v>
      </c>
      <c r="B934">
        <v>1</v>
      </c>
    </row>
    <row r="935" spans="1:2" x14ac:dyDescent="0.3">
      <c r="A935" s="44" t="s">
        <v>390</v>
      </c>
      <c r="B935">
        <v>1</v>
      </c>
    </row>
    <row r="936" spans="1:2" x14ac:dyDescent="0.3">
      <c r="A936" s="44" t="s">
        <v>396</v>
      </c>
      <c r="B936">
        <v>1</v>
      </c>
    </row>
    <row r="937" spans="1:2" x14ac:dyDescent="0.3">
      <c r="A937" s="44" t="s">
        <v>3721</v>
      </c>
      <c r="B937">
        <v>1</v>
      </c>
    </row>
    <row r="938" spans="1:2" x14ac:dyDescent="0.3">
      <c r="A938" s="44" t="s">
        <v>4199</v>
      </c>
      <c r="B938">
        <v>1</v>
      </c>
    </row>
    <row r="939" spans="1:2" x14ac:dyDescent="0.3">
      <c r="A939" s="44" t="s">
        <v>966</v>
      </c>
      <c r="B939">
        <v>1</v>
      </c>
    </row>
    <row r="940" spans="1:2" x14ac:dyDescent="0.3">
      <c r="A940" s="44" t="s">
        <v>963</v>
      </c>
      <c r="B940">
        <v>1</v>
      </c>
    </row>
    <row r="941" spans="1:2" x14ac:dyDescent="0.3">
      <c r="A941" s="44" t="s">
        <v>977</v>
      </c>
      <c r="B941">
        <v>1</v>
      </c>
    </row>
    <row r="942" spans="1:2" x14ac:dyDescent="0.3">
      <c r="A942" s="44" t="s">
        <v>980</v>
      </c>
      <c r="B942">
        <v>1</v>
      </c>
    </row>
    <row r="943" spans="1:2" x14ac:dyDescent="0.3">
      <c r="A943" s="44" t="s">
        <v>2452</v>
      </c>
      <c r="B943">
        <v>1</v>
      </c>
    </row>
    <row r="944" spans="1:2" x14ac:dyDescent="0.3">
      <c r="A944" s="44" t="s">
        <v>3051</v>
      </c>
      <c r="B944">
        <v>1</v>
      </c>
    </row>
    <row r="945" spans="1:2" x14ac:dyDescent="0.3">
      <c r="A945" s="44" t="s">
        <v>627</v>
      </c>
      <c r="B945">
        <v>1</v>
      </c>
    </row>
    <row r="946" spans="1:2" x14ac:dyDescent="0.3">
      <c r="A946" s="44" t="s">
        <v>646</v>
      </c>
      <c r="B946">
        <v>4</v>
      </c>
    </row>
    <row r="947" spans="1:2" x14ac:dyDescent="0.3">
      <c r="A947" s="44" t="s">
        <v>3654</v>
      </c>
      <c r="B947">
        <v>10</v>
      </c>
    </row>
    <row r="948" spans="1:2" x14ac:dyDescent="0.3">
      <c r="A948" s="44" t="s">
        <v>3673</v>
      </c>
      <c r="B948">
        <v>7</v>
      </c>
    </row>
    <row r="949" spans="1:2" x14ac:dyDescent="0.3">
      <c r="A949" s="44" t="s">
        <v>4348</v>
      </c>
      <c r="B949">
        <v>5</v>
      </c>
    </row>
    <row r="950" spans="1:2" x14ac:dyDescent="0.3">
      <c r="A950" s="44" t="s">
        <v>4353</v>
      </c>
      <c r="B950">
        <v>3</v>
      </c>
    </row>
    <row r="951" spans="1:2" x14ac:dyDescent="0.3">
      <c r="A951" s="44" t="s">
        <v>4340</v>
      </c>
      <c r="B951">
        <v>4</v>
      </c>
    </row>
    <row r="952" spans="1:2" x14ac:dyDescent="0.3">
      <c r="A952" s="44" t="s">
        <v>1639</v>
      </c>
      <c r="B952">
        <v>3</v>
      </c>
    </row>
    <row r="953" spans="1:2" x14ac:dyDescent="0.3">
      <c r="A953" s="44" t="s">
        <v>175</v>
      </c>
      <c r="B953">
        <v>1</v>
      </c>
    </row>
    <row r="954" spans="1:2" x14ac:dyDescent="0.3">
      <c r="A954" s="44" t="s">
        <v>3769</v>
      </c>
      <c r="B954">
        <v>1</v>
      </c>
    </row>
    <row r="955" spans="1:2" x14ac:dyDescent="0.3">
      <c r="A955" s="44" t="s">
        <v>2944</v>
      </c>
      <c r="B955">
        <v>1</v>
      </c>
    </row>
    <row r="956" spans="1:2" x14ac:dyDescent="0.3">
      <c r="A956" s="44" t="s">
        <v>3905</v>
      </c>
      <c r="B956">
        <v>1</v>
      </c>
    </row>
    <row r="957" spans="1:2" x14ac:dyDescent="0.3">
      <c r="A957" s="44" t="s">
        <v>2197</v>
      </c>
      <c r="B957">
        <v>13</v>
      </c>
    </row>
    <row r="958" spans="1:2" x14ac:dyDescent="0.3">
      <c r="A958" s="44" t="s">
        <v>2213</v>
      </c>
      <c r="B958">
        <v>5</v>
      </c>
    </row>
    <row r="959" spans="1:2" x14ac:dyDescent="0.3">
      <c r="A959" s="44" t="s">
        <v>2400</v>
      </c>
      <c r="B959">
        <v>1</v>
      </c>
    </row>
    <row r="960" spans="1:2" x14ac:dyDescent="0.3">
      <c r="A960" s="44" t="s">
        <v>2217</v>
      </c>
      <c r="B960">
        <v>2</v>
      </c>
    </row>
    <row r="961" spans="1:2" x14ac:dyDescent="0.3">
      <c r="A961" s="44" t="s">
        <v>1044</v>
      </c>
      <c r="B961">
        <v>6</v>
      </c>
    </row>
    <row r="962" spans="1:2" x14ac:dyDescent="0.3">
      <c r="A962" s="44" t="s">
        <v>875</v>
      </c>
      <c r="B962">
        <v>5</v>
      </c>
    </row>
    <row r="963" spans="1:2" x14ac:dyDescent="0.3">
      <c r="A963" s="44" t="s">
        <v>220</v>
      </c>
      <c r="B963">
        <v>10</v>
      </c>
    </row>
    <row r="964" spans="1:2" x14ac:dyDescent="0.3">
      <c r="A964" s="44" t="s">
        <v>812</v>
      </c>
      <c r="B964">
        <v>5</v>
      </c>
    </row>
    <row r="965" spans="1:2" x14ac:dyDescent="0.3">
      <c r="A965" s="44" t="s">
        <v>55</v>
      </c>
      <c r="B965">
        <v>1</v>
      </c>
    </row>
    <row r="966" spans="1:2" x14ac:dyDescent="0.3">
      <c r="A966" s="44" t="s">
        <v>43</v>
      </c>
      <c r="B966">
        <v>1</v>
      </c>
    </row>
    <row r="967" spans="1:2" x14ac:dyDescent="0.3">
      <c r="A967" s="44" t="s">
        <v>48</v>
      </c>
      <c r="B967">
        <v>1</v>
      </c>
    </row>
    <row r="968" spans="1:2" x14ac:dyDescent="0.3">
      <c r="A968" s="44" t="s">
        <v>1164</v>
      </c>
      <c r="B968">
        <v>1</v>
      </c>
    </row>
    <row r="969" spans="1:2" x14ac:dyDescent="0.3">
      <c r="A969" s="44" t="s">
        <v>2254</v>
      </c>
      <c r="B969">
        <v>3</v>
      </c>
    </row>
    <row r="970" spans="1:2" x14ac:dyDescent="0.3">
      <c r="A970" s="44" t="s">
        <v>3374</v>
      </c>
      <c r="B970">
        <v>1</v>
      </c>
    </row>
    <row r="971" spans="1:2" x14ac:dyDescent="0.3">
      <c r="A971" s="44" t="s">
        <v>1136</v>
      </c>
      <c r="B971">
        <v>1</v>
      </c>
    </row>
    <row r="972" spans="1:2" x14ac:dyDescent="0.3">
      <c r="A972" s="44" t="s">
        <v>1302</v>
      </c>
      <c r="B972">
        <v>2</v>
      </c>
    </row>
    <row r="973" spans="1:2" x14ac:dyDescent="0.3">
      <c r="A973" s="44" t="s">
        <v>3179</v>
      </c>
      <c r="B973">
        <v>1</v>
      </c>
    </row>
    <row r="974" spans="1:2" x14ac:dyDescent="0.3">
      <c r="A974" s="44" t="s">
        <v>2675</v>
      </c>
      <c r="B974">
        <v>1</v>
      </c>
    </row>
    <row r="975" spans="1:2" x14ac:dyDescent="0.3">
      <c r="A975" s="44" t="s">
        <v>216</v>
      </c>
      <c r="B975">
        <v>1</v>
      </c>
    </row>
    <row r="976" spans="1:2" x14ac:dyDescent="0.3">
      <c r="A976" s="44" t="s">
        <v>3728</v>
      </c>
      <c r="B976">
        <v>2</v>
      </c>
    </row>
    <row r="977" spans="1:2" x14ac:dyDescent="0.3">
      <c r="A977" s="44" t="s">
        <v>2669</v>
      </c>
      <c r="B977">
        <v>1</v>
      </c>
    </row>
    <row r="978" spans="1:2" x14ac:dyDescent="0.3">
      <c r="A978" s="44" t="s">
        <v>1867</v>
      </c>
      <c r="B978">
        <v>1</v>
      </c>
    </row>
    <row r="979" spans="1:2" x14ac:dyDescent="0.3">
      <c r="A979" s="44" t="s">
        <v>1547</v>
      </c>
      <c r="B979">
        <v>1</v>
      </c>
    </row>
    <row r="980" spans="1:2" x14ac:dyDescent="0.3">
      <c r="A980" s="44" t="s">
        <v>696</v>
      </c>
      <c r="B980">
        <v>1</v>
      </c>
    </row>
    <row r="981" spans="1:2" x14ac:dyDescent="0.3">
      <c r="A981" s="44" t="s">
        <v>1278</v>
      </c>
      <c r="B981">
        <v>1</v>
      </c>
    </row>
    <row r="982" spans="1:2" x14ac:dyDescent="0.3">
      <c r="A982" s="44" t="s">
        <v>2482</v>
      </c>
      <c r="B982">
        <v>1</v>
      </c>
    </row>
    <row r="983" spans="1:2" x14ac:dyDescent="0.3">
      <c r="A983" s="44" t="s">
        <v>2905</v>
      </c>
      <c r="B983">
        <v>1</v>
      </c>
    </row>
    <row r="984" spans="1:2" x14ac:dyDescent="0.3">
      <c r="A984" s="44" t="s">
        <v>1069</v>
      </c>
      <c r="B984">
        <v>1</v>
      </c>
    </row>
    <row r="985" spans="1:2" x14ac:dyDescent="0.3">
      <c r="A985" s="44" t="s">
        <v>3533</v>
      </c>
      <c r="B985">
        <v>1</v>
      </c>
    </row>
    <row r="986" spans="1:2" x14ac:dyDescent="0.3">
      <c r="A986" s="44" t="s">
        <v>2933</v>
      </c>
      <c r="B986">
        <v>1</v>
      </c>
    </row>
    <row r="987" spans="1:2" x14ac:dyDescent="0.3">
      <c r="A987" s="44" t="s">
        <v>2866</v>
      </c>
      <c r="B987">
        <v>1</v>
      </c>
    </row>
    <row r="988" spans="1:2" x14ac:dyDescent="0.3">
      <c r="A988" s="44" t="s">
        <v>468</v>
      </c>
      <c r="B988">
        <v>1</v>
      </c>
    </row>
    <row r="989" spans="1:2" x14ac:dyDescent="0.3">
      <c r="A989" s="44" t="s">
        <v>2506</v>
      </c>
      <c r="B989">
        <v>1</v>
      </c>
    </row>
    <row r="990" spans="1:2" x14ac:dyDescent="0.3">
      <c r="A990" s="44" t="s">
        <v>2322</v>
      </c>
      <c r="B990">
        <v>1</v>
      </c>
    </row>
    <row r="991" spans="1:2" x14ac:dyDescent="0.3">
      <c r="A991" s="44" t="s">
        <v>2447</v>
      </c>
      <c r="B991">
        <v>1</v>
      </c>
    </row>
    <row r="992" spans="1:2" x14ac:dyDescent="0.3">
      <c r="A992" s="44" t="s">
        <v>3686</v>
      </c>
      <c r="B992">
        <v>1</v>
      </c>
    </row>
    <row r="993" spans="1:2" x14ac:dyDescent="0.3">
      <c r="A993" s="44" t="s">
        <v>3955</v>
      </c>
      <c r="B993">
        <v>1</v>
      </c>
    </row>
    <row r="994" spans="1:2" x14ac:dyDescent="0.3">
      <c r="A994" s="44" t="s">
        <v>3907</v>
      </c>
      <c r="B994">
        <v>1</v>
      </c>
    </row>
    <row r="995" spans="1:2" x14ac:dyDescent="0.3">
      <c r="A995" s="44" t="s">
        <v>4005</v>
      </c>
      <c r="B995">
        <v>1</v>
      </c>
    </row>
    <row r="996" spans="1:2" x14ac:dyDescent="0.3">
      <c r="A996" s="44" t="s">
        <v>1281</v>
      </c>
      <c r="B996">
        <v>1</v>
      </c>
    </row>
    <row r="997" spans="1:2" x14ac:dyDescent="0.3">
      <c r="A997" s="44" t="s">
        <v>586</v>
      </c>
      <c r="B997">
        <v>1</v>
      </c>
    </row>
    <row r="998" spans="1:2" x14ac:dyDescent="0.3">
      <c r="A998" s="44" t="s">
        <v>1603</v>
      </c>
      <c r="B998">
        <v>2</v>
      </c>
    </row>
    <row r="999" spans="1:2" x14ac:dyDescent="0.3">
      <c r="A999" s="44" t="s">
        <v>926</v>
      </c>
      <c r="B999">
        <v>1</v>
      </c>
    </row>
    <row r="1000" spans="1:2" x14ac:dyDescent="0.3">
      <c r="A1000" s="44" t="s">
        <v>4297</v>
      </c>
      <c r="B1000">
        <v>1</v>
      </c>
    </row>
    <row r="1001" spans="1:2" x14ac:dyDescent="0.3">
      <c r="A1001" s="44" t="s">
        <v>1641</v>
      </c>
      <c r="B1001">
        <v>1</v>
      </c>
    </row>
    <row r="1002" spans="1:2" x14ac:dyDescent="0.3">
      <c r="A1002" s="44" t="s">
        <v>4459</v>
      </c>
      <c r="B1002">
        <v>1</v>
      </c>
    </row>
    <row r="1003" spans="1:2" x14ac:dyDescent="0.3">
      <c r="A1003" s="44" t="s">
        <v>4460</v>
      </c>
      <c r="B1003">
        <v>1519</v>
      </c>
    </row>
  </sheetData>
  <pageMargins left="0.511811024" right="0.511811024" top="0.78740157499999996" bottom="0.78740157499999996" header="0.31496062000000002" footer="0.31496062000000002"/>
  <pageSetup paperSize="9" orientation="portrait"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EEA25CC0A0AC24199CDC46C25B8B0BC" ma:contentTypeVersion="10" ma:contentTypeDescription="Create a new document." ma:contentTypeScope="" ma:versionID="e3b47856d4cf355c0dacb39e1084d14f">
  <xsd:schema xmlns:xsd="http://www.w3.org/2001/XMLSchema" xmlns:xs="http://www.w3.org/2001/XMLSchema" xmlns:p="http://schemas.microsoft.com/office/2006/metadata/properties" xmlns:ns1="http://schemas.microsoft.com/sharepoint/v3" xmlns:ns2="6dc4bcd6-49db-4c07-9060-8acfc67cef9f" xmlns:ns3="fb0879af-3eba-417a-a55a-ffe6dcd6ca77" targetNamespace="http://schemas.microsoft.com/office/2006/metadata/properties" ma:root="true" ma:fieldsID="a845a615265fdb1f7b12cc65ac20ecbd" ns1:_="" ns2:_="" ns3:_="">
    <xsd:import namespace="http://schemas.microsoft.com/sharepoint/v3"/>
    <xsd:import namespace="6dc4bcd6-49db-4c07-9060-8acfc67cef9f"/>
    <xsd:import namespace="fb0879af-3eba-417a-a55a-ffe6dcd6ca7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CR" minOccurs="0"/>
                <xsd:element ref="ns3:SharedWithUsers" minOccurs="0"/>
                <xsd:element ref="ns3:SharedWithDetails" minOccurs="0"/>
                <xsd:element ref="ns3:LastSharedByUser" minOccurs="0"/>
                <xsd:element ref="ns3:LastSharedByTime" minOccurs="0"/>
                <xsd:element ref="ns1:_ip_UnifiedCompliancePolicyProperties" minOccurs="0"/>
                <xsd:element ref="ns1:_ip_UnifiedCompliancePolicyUIAction" minOccurs="0"/>
                <xsd:element ref="ns2:MediaServiceAutoTag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15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16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c4bcd6-49db-4c07-9060-8acfc67cef9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CR" ma:index="10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AutoTags" ma:index="17" nillable="true" ma:displayName="MediaServiceAutoTags" ma:internalName="MediaServiceAutoTag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b0879af-3eba-417a-a55a-ffe6dcd6ca77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LastSharedByUser" ma:index="13" nillable="true" ma:displayName="Last Shared By User" ma:hidden="true" ma:internalName="LastSharedByUser" ma:readOnly="true">
      <xsd:simpleType>
        <xsd:restriction base="dms:Note"/>
      </xsd:simpleType>
    </xsd:element>
    <xsd:element name="LastSharedByTime" ma:index="14" nillable="true" ma:displayName="Last Shared By Time" ma:hidden="true" ma:internalName="LastSharedByTime" ma:readOnly="true">
      <xsd:simpleType>
        <xsd:restriction base="dms:DateTim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_ip_UnifiedCompliancePolicyProperties xmlns="http://schemas.microsoft.com/sharepoint/v3" xsi:nil="true"/>
  </documentManagement>
</p:properties>
</file>

<file path=customXml/itemProps1.xml><?xml version="1.0" encoding="utf-8"?>
<ds:datastoreItem xmlns:ds="http://schemas.openxmlformats.org/officeDocument/2006/customXml" ds:itemID="{D20296E8-AEB1-4961-8D7A-9AE62BB206AA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DE17AD16-C3BD-472A-B362-8A85F95573C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1227E31-123E-44EE-A422-2705DF3A591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6dc4bcd6-49db-4c07-9060-8acfc67cef9f"/>
    <ds:schemaRef ds:uri="fb0879af-3eba-417a-a55a-ffe6dcd6ca7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81F3298A-223B-42B2-9FEF-AB506EA6B5F6}">
  <ds:schemaRefs>
    <ds:schemaRef ds:uri="http://schemas.microsoft.com/office/2006/metadata/properties"/>
    <ds:schemaRef ds:uri="http://schemas.microsoft.com/office/infopath/2007/PartnerControls"/>
    <ds:schemaRef ds:uri="http://schemas.microsoft.com/sharepoint/v3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Patrimonio 2025</vt:lpstr>
      <vt:lpstr>Planilha2</vt:lpstr>
      <vt:lpstr>Analise de Dados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Edson Junior Francisco dos Santos</dc:creator>
  <cp:keywords/>
  <dc:description/>
  <cp:lastModifiedBy>Yan Felipe Rodrigues Vieira</cp:lastModifiedBy>
  <cp:revision/>
  <dcterms:created xsi:type="dcterms:W3CDTF">2018-08-16T20:38:00Z</dcterms:created>
  <dcterms:modified xsi:type="dcterms:W3CDTF">2026-04-01T15:50:17Z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0x010100DEEA25CC0A0AC24199CDC46C25B8B0BC</vt:lpwstr>
  </property>
  <property fmtid="{D5CDD505-2E9C-101B-9397-08002B2CF9AE}" pid="3" name="ICV">
    <vt:lpwstr>82435FB7D445470682C9B5FBE26C232E</vt:lpwstr>
  </property>
  <property fmtid="{D5CDD505-2E9C-101B-9397-08002B2CF9AE}" pid="4" name="KSOProductBuildVer">
    <vt:lpwstr>1046-11.2.0.11341</vt:lpwstr>
  </property>
</Properties>
</file>